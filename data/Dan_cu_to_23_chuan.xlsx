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ướng dẫn" sheetId="1" state="visible" r:id="rId3"/>
    <sheet name="Thống kê" sheetId="2" state="visible" r:id="rId4"/>
    <sheet name="Hộ gia đình" sheetId="3" state="visible" r:id="rId5"/>
    <sheet name="Cư dân" sheetId="4" state="visible" r:id="rId6"/>
    <sheet name="Biến động" sheetId="5" state="visible" r:id="rId7"/>
  </sheets>
  <definedNames>
    <definedName function="false" hidden="true" localSheetId="3" name="_xlnm._FilterDatabase" vbProcedure="false">'Cư dân'!$A$1:$R$680</definedName>
    <definedName function="false" hidden="true" localSheetId="2" name="_xlnm._FilterDatabase" vbProcedure="false">'Hộ gia đình'!$A$1:$F$162</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G1" authorId="0">
      <text>
        <r>
          <rPr>
            <sz val="10"/>
            <rFont val="Arial"/>
            <family val="2"/>
          </rPr>
          <t xml:space="preserve">Tuổi tính theo năm (năm hiện tại − năm sinh), theo cách tính thường dùng ở tổ dân phố.</t>
        </r>
      </text>
    </comment>
  </commentList>
</comments>
</file>

<file path=xl/sharedStrings.xml><?xml version="1.0" encoding="utf-8"?>
<sst xmlns="http://schemas.openxmlformats.org/spreadsheetml/2006/main" count="5875" uniqueCount="2232">
  <si>
    <t xml:space="preserve">SỔ QUẢN LÝ DÂN CƯ – TỔ 23</t>
  </si>
  <si>
    <t xml:space="preserve">Cách dùng</t>
  </si>
  <si>
    <t xml:space="preserve">• Mỗi người là MỘT dòng trong sheet "Cư dân". Mỗi hộ là MỘT dòng trong sheet "Hộ gia đình".</t>
  </si>
  <si>
    <t xml:space="preserve">• Người và hộ nối với nhau bằng cột "Mã hộ". Địa chỉ chỉ ghi một lần ở sheet "Hộ gia đình"; sheet "Cư dân" tự lấy theo.</t>
  </si>
  <si>
    <t xml:space="preserve">• Cột nền XÁM là công thức tự tính (Tuổi, Nhóm tuổi, Địa chỉ, Số nhân khẩu, Chủ hộ): không gõ vào.</t>
  </si>
  <si>
    <t xml:space="preserve">• Cột nền TRẮNG là ô nhập. Các cột có mũi tên (Giới tính, Quan hệ, Cử tri, Tình trạng…) chọn từ danh sách.</t>
  </si>
  <si>
    <t xml:space="preserve">• Không xóa người đã chuyển đi hay đã mất: đổi "Tình trạng" để giữ lịch sử. Thống kê chỉ đếm người "Đang ở".</t>
  </si>
  <si>
    <t xml:space="preserve">• Cột "Cần kiểm tra" (nền vàng) ghi các điểm không khớp giữa các danh sách cũ. Kiểm tra xong thì xóa nội dung ô.</t>
  </si>
  <si>
    <t xml:space="preserve">Khi có biến động</t>
  </si>
  <si>
    <t xml:space="preserve">1. Sinh / chuyển đến: thêm một dòng ở cuối sheet "Cư dân" với mã mới (CD tiếp theo) và Mã hộ.</t>
  </si>
  <si>
    <t xml:space="preserve">2. Hộ mới: thêm một dòng ở cuối sheet "Hộ gia đình" với mã mới (H tiếp theo), rồi thêm các thành viên.</t>
  </si>
  <si>
    <t xml:space="preserve">3. Chuyển đi / mất: đổi "Tình trạng" của người đó.</t>
  </si>
  <si>
    <t xml:space="preserve">4. Ghi một dòng vào sheet "Biến động" để biết ai, việc gì, ngày nào.</t>
  </si>
  <si>
    <t xml:space="preserve">Ví dụ một dòng Biến động</t>
  </si>
  <si>
    <t xml:space="preserve">Ngày: 15/10/2026 · Loại: Sinh · Mã cư dân: CD0612 · Mã hộ: H012 · Nội dung: Con của Nguyễn Văn A, sinh tại BV Bạch Mai</t>
  </si>
  <si>
    <t xml:space="preserve">Nguồn dữ liệu</t>
  </si>
  <si>
    <t xml:space="preserve">Dựng lại từ file cu_dan_to_23.xlsx: danh sách chính "Cư dân tổ 23", bổ sung ngày sinh, giới tính, CCCD, nghề nghiệp từ "DS cử tri tổ 23", "Quân sự 2005", "Bsung CDC".</t>
  </si>
  <si>
    <t xml:space="preserve">Khi hai nguồn khác nhau: tên và ngày sinh lấy theo DS cử tri (danh sách chính thức), giá trị cũ ghi lại ở cột "Cần kiểm tra". Khác năm sinh thì giữ số liệu sổ cũ và ghi chú lại.</t>
  </si>
  <si>
    <t xml:space="preserve">Người đầu tiên của mỗi hộ trong sổ cũ được đặt là "Chủ hộ"; quan hệ của các thành viên khác để trống cho anh/chị bổ sung.</t>
  </si>
  <si>
    <t xml:space="preserve">Người có trong DS cử tri / Quân sự 2005 mà không có trong sổ cũ đã được thêm vào (sau khi kiểm tra trùng tên, kể cả tên viết gần giống). Họ được xếp vào hộ cùng địa chỉ, hoặc hộ mới; người không ghi địa chỉ nằm ở hộ "Chưa xác định địa chỉ". Người có trong DS cử tri là cư dân của tổ, nên không bị đánh dấu "Cần kiểm tra" vì lý do này.</t>
  </si>
  <si>
    <t xml:space="preserve">Cột "Nguồn thông tin" cho biết thông tin của mỗi người lấy từ danh sách nào.</t>
  </si>
  <si>
    <t xml:space="preserve">Bổ sung 2 người từ danh sách người cao tuổi (ĐỔI_TÊN_nct.xlsx) ở 6 ngõ 15 Tạ Quang Bửu. Những người ở Đê Tô Hoàng và Ngõ Chùa Liên Phái trong danh sách đó không thuộc tổ nên không được thêm.</t>
  </si>
  <si>
    <t xml:space="preserve">THỐNG KÊ (chỉ tính người "Đang ở")</t>
  </si>
  <si>
    <t xml:space="preserve">Số hộ có người đang ở</t>
  </si>
  <si>
    <t xml:space="preserve">Tổng số nhân khẩu</t>
  </si>
  <si>
    <t xml:space="preserve">   Nam</t>
  </si>
  <si>
    <t xml:space="preserve">   Nữ</t>
  </si>
  <si>
    <t xml:space="preserve">   Chưa ghi giới tính</t>
  </si>
  <si>
    <t xml:space="preserve">Cử tri</t>
  </si>
  <si>
    <t xml:space="preserve">Theo nhóm tuổi</t>
  </si>
  <si>
    <t xml:space="preserve">   Trẻ em</t>
  </si>
  <si>
    <t xml:space="preserve">   Học sinh / Sinh viên</t>
  </si>
  <si>
    <t xml:space="preserve">   Đang đi làm</t>
  </si>
  <si>
    <t xml:space="preserve">   Nghỉ hưu</t>
  </si>
  <si>
    <t xml:space="preserve">   Thiếu thông tin</t>
  </si>
  <si>
    <t xml:space="preserve">Mừng thọ năm nay (theo tuổi)</t>
  </si>
  <si>
    <t xml:space="preserve">   70 tuổi</t>
  </si>
  <si>
    <t xml:space="preserve">   75 tuổi</t>
  </si>
  <si>
    <t xml:space="preserve">   80 tuổi</t>
  </si>
  <si>
    <t xml:space="preserve">   85 tuổi</t>
  </si>
  <si>
    <t xml:space="preserve">   90 tuổi</t>
  </si>
  <si>
    <t xml:space="preserve">   95 tuổi</t>
  </si>
  <si>
    <t xml:space="preserve">   Từ 100 tuổi</t>
  </si>
  <si>
    <t xml:space="preserve">Nam trong độ tuổi nghĩa vụ quân sự (18–27)</t>
  </si>
  <si>
    <t xml:space="preserve">Tình trạng khác</t>
  </si>
  <si>
    <t xml:space="preserve">   Tạm vắng</t>
  </si>
  <si>
    <t xml:space="preserve">   Đã chuyển đi</t>
  </si>
  <si>
    <t xml:space="preserve">   Đã mất</t>
  </si>
  <si>
    <t xml:space="preserve">Dòng còn "Cần kiểm tra"</t>
  </si>
  <si>
    <t xml:space="preserve">Muốn có danh sách (mừng thọ, nghĩa vụ quân sự…): vào sheet "Cư dân", dùng bộ lọc ở cột Tuổi / Giới tính / Tình trạng.</t>
  </si>
  <si>
    <t xml:space="preserve">Mã hộ</t>
  </si>
  <si>
    <t xml:space="preserve">Địa chỉ</t>
  </si>
  <si>
    <t xml:space="preserve">Chủ hộ</t>
  </si>
  <si>
    <t xml:space="preserve">Số nhân khẩu
(đang ở)</t>
  </si>
  <si>
    <t xml:space="preserve">Ghi chú</t>
  </si>
  <si>
    <t xml:space="preserve">Cần kiểm tra</t>
  </si>
  <si>
    <t xml:space="preserve">H001</t>
  </si>
  <si>
    <t xml:space="preserve">40 Lê Thanh Nghị</t>
  </si>
  <si>
    <t xml:space="preserve">H002</t>
  </si>
  <si>
    <t xml:space="preserve">42 Lê Thanh Nghị</t>
  </si>
  <si>
    <t xml:space="preserve">H003</t>
  </si>
  <si>
    <t xml:space="preserve">44 Lê Thanh Nghị</t>
  </si>
  <si>
    <t xml:space="preserve">H004</t>
  </si>
  <si>
    <t xml:space="preserve">H005</t>
  </si>
  <si>
    <t xml:space="preserve">H006</t>
  </si>
  <si>
    <t xml:space="preserve">46 Lê Thanh Nghị</t>
  </si>
  <si>
    <t xml:space="preserve">H007</t>
  </si>
  <si>
    <t xml:space="preserve">48 Lê Thanh Nghị</t>
  </si>
  <si>
    <t xml:space="preserve">H008</t>
  </si>
  <si>
    <t xml:space="preserve">50 Lê Thanh Nghị</t>
  </si>
  <si>
    <t xml:space="preserve">H009</t>
  </si>
  <si>
    <t xml:space="preserve">52+54 Lê Thanh Nghị</t>
  </si>
  <si>
    <t xml:space="preserve">Chủ hộ có ghi chú bán nhà/không ở – kiểm tra cả hộ</t>
  </si>
  <si>
    <t xml:space="preserve">H010</t>
  </si>
  <si>
    <t xml:space="preserve">56 Lê Thanh Nghị</t>
  </si>
  <si>
    <t xml:space="preserve">H011</t>
  </si>
  <si>
    <t xml:space="preserve">H012</t>
  </si>
  <si>
    <t xml:space="preserve">60 Lê Thanh Nghị</t>
  </si>
  <si>
    <t xml:space="preserve">H013</t>
  </si>
  <si>
    <t xml:space="preserve">62 Lê Thanh Nghị</t>
  </si>
  <si>
    <t xml:space="preserve">H014</t>
  </si>
  <si>
    <t xml:space="preserve">64 Lê Thanh Nghị</t>
  </si>
  <si>
    <t xml:space="preserve">H015</t>
  </si>
  <si>
    <t xml:space="preserve">66 Lê Thanh Nghị</t>
  </si>
  <si>
    <t xml:space="preserve">H016</t>
  </si>
  <si>
    <t xml:space="preserve">70 Lê Thanh Nghị</t>
  </si>
  <si>
    <t xml:space="preserve">H017</t>
  </si>
  <si>
    <t xml:space="preserve">72 Lê Thanh Nghị</t>
  </si>
  <si>
    <t xml:space="preserve">H018</t>
  </si>
  <si>
    <t xml:space="preserve">H019</t>
  </si>
  <si>
    <t xml:space="preserve">H020</t>
  </si>
  <si>
    <t xml:space="preserve">74 Lê Thanh Nghị</t>
  </si>
  <si>
    <t xml:space="preserve">H021</t>
  </si>
  <si>
    <t xml:space="preserve">76 Lê Thanh Nghị</t>
  </si>
  <si>
    <t xml:space="preserve">H022</t>
  </si>
  <si>
    <t xml:space="preserve">78 Lê Thanh Nghị</t>
  </si>
  <si>
    <t xml:space="preserve">H023</t>
  </si>
  <si>
    <t xml:space="preserve">84 Lê Thanh Nghị</t>
  </si>
  <si>
    <t xml:space="preserve">H024</t>
  </si>
  <si>
    <t xml:space="preserve">86 Lê Thanh Nghị</t>
  </si>
  <si>
    <t xml:space="preserve">H025</t>
  </si>
  <si>
    <t xml:space="preserve">88 Lê Thanh Nghị</t>
  </si>
  <si>
    <t xml:space="preserve">H026</t>
  </si>
  <si>
    <t xml:space="preserve">1 ngõ 78 Lê Thanh Nghị</t>
  </si>
  <si>
    <t xml:space="preserve">H027</t>
  </si>
  <si>
    <t xml:space="preserve">5 ngõ 78 Lê Thanh Nghị</t>
  </si>
  <si>
    <t xml:space="preserve">H028</t>
  </si>
  <si>
    <t xml:space="preserve">7 ngõ 78 Lê Thanh Nghị</t>
  </si>
  <si>
    <t xml:space="preserve">H029</t>
  </si>
  <si>
    <t xml:space="preserve">9 ngõ 78 Lê Thanh Nghị</t>
  </si>
  <si>
    <t xml:space="preserve">H030</t>
  </si>
  <si>
    <t xml:space="preserve">11 ngõ 78 Lê Thanh Nghị</t>
  </si>
  <si>
    <t xml:space="preserve">H031</t>
  </si>
  <si>
    <t xml:space="preserve">13 ngõ 78 Lê Thanh Nghị</t>
  </si>
  <si>
    <t xml:space="preserve">H032</t>
  </si>
  <si>
    <t xml:space="preserve">15 ngõ 78 Lê Thanh Nghị</t>
  </si>
  <si>
    <t xml:space="preserve">H033</t>
  </si>
  <si>
    <t xml:space="preserve">H034</t>
  </si>
  <si>
    <t xml:space="preserve">17 ngõ 78 Lê Thanh Nghị</t>
  </si>
  <si>
    <t xml:space="preserve">H035</t>
  </si>
  <si>
    <t xml:space="preserve">19 ngõ 78 Lê Thanh Nghị</t>
  </si>
  <si>
    <t xml:space="preserve">H036</t>
  </si>
  <si>
    <t xml:space="preserve">21 ngõ 78 Lê Thanh Nghị</t>
  </si>
  <si>
    <t xml:space="preserve">H037</t>
  </si>
  <si>
    <t xml:space="preserve">H038</t>
  </si>
  <si>
    <t xml:space="preserve">3 ngõ 17 Lê Thanh Nghị</t>
  </si>
  <si>
    <t xml:space="preserve">H039</t>
  </si>
  <si>
    <t xml:space="preserve">4 ngõ 17 Tạ Quang Bửu</t>
  </si>
  <si>
    <t xml:space="preserve">H040</t>
  </si>
  <si>
    <t xml:space="preserve">6 ngõ 17 Tạ Quang Bửu</t>
  </si>
  <si>
    <t xml:space="preserve">H041</t>
  </si>
  <si>
    <t xml:space="preserve">8+10 ngõ 17 Tạ Quang Bửu</t>
  </si>
  <si>
    <t xml:space="preserve">H042</t>
  </si>
  <si>
    <t xml:space="preserve">12 ngõ 17 Tạ Quang Bửu</t>
  </si>
  <si>
    <t xml:space="preserve">H043</t>
  </si>
  <si>
    <t xml:space="preserve">14 ngõ 17 Tạ Quang Bửu</t>
  </si>
  <si>
    <t xml:space="preserve">H044</t>
  </si>
  <si>
    <t xml:space="preserve">18 ngõ 17 Tạ Quang Bửu</t>
  </si>
  <si>
    <t xml:space="preserve">H045</t>
  </si>
  <si>
    <t xml:space="preserve">20 ngõ 17 Tạ Quang Bửu</t>
  </si>
  <si>
    <t xml:space="preserve">H046</t>
  </si>
  <si>
    <t xml:space="preserve">24 ngõ 17 Tạ Quang Bửu</t>
  </si>
  <si>
    <t xml:space="preserve">H047</t>
  </si>
  <si>
    <t xml:space="preserve">26 ngõ 17 Tạ Quang Bửu</t>
  </si>
  <si>
    <t xml:space="preserve">H048</t>
  </si>
  <si>
    <t xml:space="preserve">28 ngõ 17 Tạ Quang Bửu</t>
  </si>
  <si>
    <t xml:space="preserve">H049</t>
  </si>
  <si>
    <t xml:space="preserve">30 ngõ 17 Tạ Quang Bửu</t>
  </si>
  <si>
    <t xml:space="preserve">H050</t>
  </si>
  <si>
    <t xml:space="preserve">32 ngõ 17 Tạ Quang Bửu</t>
  </si>
  <si>
    <t xml:space="preserve">H051</t>
  </si>
  <si>
    <t xml:space="preserve">34 ngõ 17 Tạ Quang Bửu</t>
  </si>
  <si>
    <t xml:space="preserve">H052</t>
  </si>
  <si>
    <t xml:space="preserve">36 ngõ 17 Tạ Quang Bửu</t>
  </si>
  <si>
    <t xml:space="preserve">H053</t>
  </si>
  <si>
    <t xml:space="preserve">36A ngõ 17 Tạ Quang Bửu</t>
  </si>
  <si>
    <t xml:space="preserve">H054</t>
  </si>
  <si>
    <t xml:space="preserve">36B ngõ 17 Tạ Quang Bửu</t>
  </si>
  <si>
    <t xml:space="preserve">H055</t>
  </si>
  <si>
    <t xml:space="preserve">38 ngõ 17 Tạ Quang Bửu</t>
  </si>
  <si>
    <t xml:space="preserve">H056</t>
  </si>
  <si>
    <t xml:space="preserve">3 ngõ 17 Tạ Quang Bửu</t>
  </si>
  <si>
    <t xml:space="preserve">H057</t>
  </si>
  <si>
    <t xml:space="preserve">7 ngõ 17 Tạ Quang Bửu</t>
  </si>
  <si>
    <t xml:space="preserve">H058</t>
  </si>
  <si>
    <t xml:space="preserve">9 ngõ 17 Tạ Quang Bửu</t>
  </si>
  <si>
    <t xml:space="preserve">H059</t>
  </si>
  <si>
    <t xml:space="preserve">H060</t>
  </si>
  <si>
    <t xml:space="preserve">11 ngõ 17 Tạ Quang Bửu</t>
  </si>
  <si>
    <t xml:space="preserve">H061</t>
  </si>
  <si>
    <t xml:space="preserve">11A ngõ 17 Tạ Quang Bửu</t>
  </si>
  <si>
    <t xml:space="preserve">H062</t>
  </si>
  <si>
    <t xml:space="preserve">15 ngõ 17 Tạ Quang Bửu</t>
  </si>
  <si>
    <t xml:space="preserve">H063</t>
  </si>
  <si>
    <t xml:space="preserve">2 ngách 17/2 Tạ Quang Bửu</t>
  </si>
  <si>
    <t xml:space="preserve">H064</t>
  </si>
  <si>
    <t xml:space="preserve">4 ngách 17/2 Tạ Quang Bửu</t>
  </si>
  <si>
    <t xml:space="preserve">H065</t>
  </si>
  <si>
    <t xml:space="preserve">H066</t>
  </si>
  <si>
    <t xml:space="preserve">H067</t>
  </si>
  <si>
    <t xml:space="preserve">6 ngách 17/2 Tạ Quang Bửu</t>
  </si>
  <si>
    <t xml:space="preserve">H068</t>
  </si>
  <si>
    <t xml:space="preserve">7 ngách 17/2 Tạ Quang Bửu</t>
  </si>
  <si>
    <t xml:space="preserve">H069</t>
  </si>
  <si>
    <t xml:space="preserve">8 ngách 17/2 Tạ Quang Bửu</t>
  </si>
  <si>
    <t xml:space="preserve">H070</t>
  </si>
  <si>
    <t xml:space="preserve">10 ngách 17/2 Tạ Quang Bửu</t>
  </si>
  <si>
    <t xml:space="preserve">H071</t>
  </si>
  <si>
    <t xml:space="preserve">14 ngách 17/2 Tạ Quang Bửu</t>
  </si>
  <si>
    <t xml:space="preserve">Thành viên ghi khác địa chỉ: 12 ngách 17/2 Tạ Quang Bửu / 14 ngách 17/2 Tạ Quang Bửu</t>
  </si>
  <si>
    <t xml:space="preserve">H072</t>
  </si>
  <si>
    <t xml:space="preserve">18 ngách 17/2 Tạ Quang Bửu</t>
  </si>
  <si>
    <t xml:space="preserve">H073</t>
  </si>
  <si>
    <t xml:space="preserve">H074</t>
  </si>
  <si>
    <t xml:space="preserve">20 ngách 17/2 Tạ Quang Bửu</t>
  </si>
  <si>
    <t xml:space="preserve">H075</t>
  </si>
  <si>
    <t xml:space="preserve">22 ngách 17/2 Tạ Quang Bửu</t>
  </si>
  <si>
    <t xml:space="preserve">H076</t>
  </si>
  <si>
    <t xml:space="preserve">1 ngách 17/2 Tạ Quang Bửu</t>
  </si>
  <si>
    <t xml:space="preserve">H077</t>
  </si>
  <si>
    <t xml:space="preserve">5 ngách 17/2 Tạ Quang Bửu</t>
  </si>
  <si>
    <t xml:space="preserve">H078</t>
  </si>
  <si>
    <t xml:space="preserve">H079</t>
  </si>
  <si>
    <t xml:space="preserve">9 ngách 17/2 Tạ Quang Bửu</t>
  </si>
  <si>
    <t xml:space="preserve">H080</t>
  </si>
  <si>
    <t xml:space="preserve">1 ngách 17/9 Tạ Quang Bửu</t>
  </si>
  <si>
    <t xml:space="preserve">H081</t>
  </si>
  <si>
    <t xml:space="preserve">1A ngách 17/9 Tạ Quang Bửu</t>
  </si>
  <si>
    <t xml:space="preserve">H082</t>
  </si>
  <si>
    <t xml:space="preserve">2 ngách 17/9 Tạ Quang Bửu</t>
  </si>
  <si>
    <t xml:space="preserve">H083</t>
  </si>
  <si>
    <t xml:space="preserve">4 ngách 17/9 Tạ Quang Bửu</t>
  </si>
  <si>
    <t xml:space="preserve">H084</t>
  </si>
  <si>
    <t xml:space="preserve">6 ngách 17/9 Tạ Quang Bửu</t>
  </si>
  <si>
    <t xml:space="preserve">H085</t>
  </si>
  <si>
    <t xml:space="preserve">10 ngách 17/9 Tạ Quang Bửu</t>
  </si>
  <si>
    <t xml:space="preserve">H086</t>
  </si>
  <si>
    <t xml:space="preserve">5 ngách 17/9 Tạ Quang Bửu</t>
  </si>
  <si>
    <t xml:space="preserve">H087</t>
  </si>
  <si>
    <t xml:space="preserve">7 ngõ 17/9 Tạ Quang Bửu</t>
  </si>
  <si>
    <t xml:space="preserve">H088</t>
  </si>
  <si>
    <t xml:space="preserve">11 ngách 17/9 Tạ Quang Bửu</t>
  </si>
  <si>
    <t xml:space="preserve">H089</t>
  </si>
  <si>
    <t xml:space="preserve">11A ngách 17/9 Tạ Quang Bửu</t>
  </si>
  <si>
    <t xml:space="preserve">H090</t>
  </si>
  <si>
    <t xml:space="preserve">101 E4 Bách Khoa</t>
  </si>
  <si>
    <t xml:space="preserve">H091</t>
  </si>
  <si>
    <t xml:space="preserve">H092</t>
  </si>
  <si>
    <t xml:space="preserve">103 E4 Bách Khoa</t>
  </si>
  <si>
    <t xml:space="preserve">Thành viên ghi khác địa chỉ: 103 E4 Bách Khoa / 104 E4 Bách Khoa</t>
  </si>
  <si>
    <t xml:space="preserve">H093</t>
  </si>
  <si>
    <t xml:space="preserve">104 E4 Bách Khoa</t>
  </si>
  <si>
    <t xml:space="preserve">H094</t>
  </si>
  <si>
    <t xml:space="preserve">108 E4 Bách Khoa</t>
  </si>
  <si>
    <t xml:space="preserve">H095</t>
  </si>
  <si>
    <t xml:space="preserve">109 E4 Bách Khoa</t>
  </si>
  <si>
    <t xml:space="preserve">H096</t>
  </si>
  <si>
    <t xml:space="preserve">113 E4 Bách Khoa</t>
  </si>
  <si>
    <t xml:space="preserve">H097</t>
  </si>
  <si>
    <t xml:space="preserve">114 E4 Bách Khoa</t>
  </si>
  <si>
    <t xml:space="preserve">H098</t>
  </si>
  <si>
    <t xml:space="preserve">115 E4 Bách Khoa</t>
  </si>
  <si>
    <t xml:space="preserve">H099</t>
  </si>
  <si>
    <t xml:space="preserve">201 E4 Bách Khoa</t>
  </si>
  <si>
    <t xml:space="preserve">H100</t>
  </si>
  <si>
    <t xml:space="preserve">203 E4 Bách Khoa</t>
  </si>
  <si>
    <t xml:space="preserve">H101</t>
  </si>
  <si>
    <t xml:space="preserve">204 E4 Bách Khoa</t>
  </si>
  <si>
    <t xml:space="preserve">H102</t>
  </si>
  <si>
    <t xml:space="preserve">205 E4 Bách Khoa</t>
  </si>
  <si>
    <t xml:space="preserve">H103</t>
  </si>
  <si>
    <t xml:space="preserve">206 E4 Bách Khoa</t>
  </si>
  <si>
    <t xml:space="preserve">H104</t>
  </si>
  <si>
    <t xml:space="preserve">207 E4 Bách Khoa</t>
  </si>
  <si>
    <t xml:space="preserve">H105</t>
  </si>
  <si>
    <t xml:space="preserve">209 E4 Bách Khoa</t>
  </si>
  <si>
    <t xml:space="preserve">H106</t>
  </si>
  <si>
    <t xml:space="preserve">210 E4 Bách Khoa</t>
  </si>
  <si>
    <t xml:space="preserve">H107</t>
  </si>
  <si>
    <t xml:space="preserve">212 E4 Bách Khoa</t>
  </si>
  <si>
    <t xml:space="preserve">H108</t>
  </si>
  <si>
    <t xml:space="preserve">213 E4 Bách Khoa</t>
  </si>
  <si>
    <t xml:space="preserve">H109</t>
  </si>
  <si>
    <t xml:space="preserve">214 E4 Bách Khoa</t>
  </si>
  <si>
    <t xml:space="preserve">H110</t>
  </si>
  <si>
    <t xml:space="preserve">215 E4 Bách Khoa</t>
  </si>
  <si>
    <t xml:space="preserve">H111</t>
  </si>
  <si>
    <t xml:space="preserve">216 E4 Bách Khoa</t>
  </si>
  <si>
    <t xml:space="preserve">H112</t>
  </si>
  <si>
    <t xml:space="preserve">301 E4 Bách Khoa</t>
  </si>
  <si>
    <t xml:space="preserve">H113</t>
  </si>
  <si>
    <t xml:space="preserve">302 E4 Bách Khoa</t>
  </si>
  <si>
    <t xml:space="preserve">H114</t>
  </si>
  <si>
    <t xml:space="preserve">303 E4 Bách Khoa</t>
  </si>
  <si>
    <t xml:space="preserve">H115</t>
  </si>
  <si>
    <t xml:space="preserve">304 E4 Bách Khoa</t>
  </si>
  <si>
    <t xml:space="preserve">H116</t>
  </si>
  <si>
    <t xml:space="preserve">305 E4 Bách Khoa</t>
  </si>
  <si>
    <t xml:space="preserve">H117</t>
  </si>
  <si>
    <t xml:space="preserve">306 E4 Bách Khoa</t>
  </si>
  <si>
    <t xml:space="preserve">H118</t>
  </si>
  <si>
    <t xml:space="preserve">307 E4 Bách Khoa</t>
  </si>
  <si>
    <t xml:space="preserve">H119</t>
  </si>
  <si>
    <t xml:space="preserve">309 E4 Bách Khoa</t>
  </si>
  <si>
    <t xml:space="preserve">H120</t>
  </si>
  <si>
    <t xml:space="preserve">310 E4 Bách Khoa</t>
  </si>
  <si>
    <t xml:space="preserve">H121</t>
  </si>
  <si>
    <t xml:space="preserve">311 E4 Bách Khoa</t>
  </si>
  <si>
    <t xml:space="preserve">H122</t>
  </si>
  <si>
    <t xml:space="preserve">312 E4 Bách Khoa</t>
  </si>
  <si>
    <t xml:space="preserve">H123</t>
  </si>
  <si>
    <t xml:space="preserve">313 E4 Bách Khoa</t>
  </si>
  <si>
    <t xml:space="preserve">H124</t>
  </si>
  <si>
    <t xml:space="preserve">314 E4 Bách Khoa</t>
  </si>
  <si>
    <t xml:space="preserve">H125</t>
  </si>
  <si>
    <t xml:space="preserve">315 E4 Bách Khoa</t>
  </si>
  <si>
    <t xml:space="preserve">H126</t>
  </si>
  <si>
    <t xml:space="preserve">316 E4 Bách Khoa</t>
  </si>
  <si>
    <t xml:space="preserve">H127</t>
  </si>
  <si>
    <t xml:space="preserve">402 E4 Bách Khoa</t>
  </si>
  <si>
    <t xml:space="preserve">H128</t>
  </si>
  <si>
    <t xml:space="preserve">403 E4 Bách Khoa</t>
  </si>
  <si>
    <t xml:space="preserve">H129</t>
  </si>
  <si>
    <t xml:space="preserve">404 E4 Bách Khoa</t>
  </si>
  <si>
    <t xml:space="preserve">H130</t>
  </si>
  <si>
    <t xml:space="preserve">405 E4 Bách Khoa</t>
  </si>
  <si>
    <t xml:space="preserve">H131</t>
  </si>
  <si>
    <t xml:space="preserve">406 E4 Bách Khoa</t>
  </si>
  <si>
    <t xml:space="preserve">H132</t>
  </si>
  <si>
    <t xml:space="preserve">407 E4 Bách Khoa</t>
  </si>
  <si>
    <t xml:space="preserve">H133</t>
  </si>
  <si>
    <t xml:space="preserve">408 E4 Bách Khoa</t>
  </si>
  <si>
    <t xml:space="preserve">H134</t>
  </si>
  <si>
    <t xml:space="preserve">409 E4 Bách Khoa</t>
  </si>
  <si>
    <t xml:space="preserve">H135</t>
  </si>
  <si>
    <t xml:space="preserve">410 E4 Bách Khoa</t>
  </si>
  <si>
    <t xml:space="preserve">H136</t>
  </si>
  <si>
    <t xml:space="preserve">412 E4 Bách Khoa</t>
  </si>
  <si>
    <t xml:space="preserve">H137</t>
  </si>
  <si>
    <t xml:space="preserve">414 E4 Bách Khoa</t>
  </si>
  <si>
    <t xml:space="preserve">H138</t>
  </si>
  <si>
    <t xml:space="preserve">415 E4 Bách Khoa</t>
  </si>
  <si>
    <t xml:space="preserve">H139</t>
  </si>
  <si>
    <t xml:space="preserve">416 E4 Bách Khoa</t>
  </si>
  <si>
    <t xml:space="preserve">H140</t>
  </si>
  <si>
    <t xml:space="preserve">501 E4 Bách Khoa</t>
  </si>
  <si>
    <t xml:space="preserve">H141</t>
  </si>
  <si>
    <t xml:space="preserve">502 E4 Bách Khoa</t>
  </si>
  <si>
    <t xml:space="preserve">H142</t>
  </si>
  <si>
    <t xml:space="preserve">504 E4 Bách Khoa</t>
  </si>
  <si>
    <t xml:space="preserve">H143</t>
  </si>
  <si>
    <t xml:space="preserve">506 E4 Bách Khoa</t>
  </si>
  <si>
    <t xml:space="preserve">H144</t>
  </si>
  <si>
    <t xml:space="preserve">507 E4 Bách Khoa</t>
  </si>
  <si>
    <t xml:space="preserve">H145</t>
  </si>
  <si>
    <t xml:space="preserve">508 E4 Bách Khoa</t>
  </si>
  <si>
    <t xml:space="preserve">H146</t>
  </si>
  <si>
    <t xml:space="preserve">509 E4 Bách Khoa</t>
  </si>
  <si>
    <t xml:space="preserve">H147</t>
  </si>
  <si>
    <t xml:space="preserve">510 E4 Bách Khoa</t>
  </si>
  <si>
    <t xml:space="preserve">H148</t>
  </si>
  <si>
    <t xml:space="preserve">511 E4 Bách Khoa</t>
  </si>
  <si>
    <t xml:space="preserve">H149</t>
  </si>
  <si>
    <t xml:space="preserve">512 E4 Bách Khoa</t>
  </si>
  <si>
    <t xml:space="preserve">H150</t>
  </si>
  <si>
    <t xml:space="preserve">513 E4 Bách Khoa</t>
  </si>
  <si>
    <t xml:space="preserve">H151</t>
  </si>
  <si>
    <t xml:space="preserve">514 E4 Bách Khoa</t>
  </si>
  <si>
    <t xml:space="preserve">H152</t>
  </si>
  <si>
    <t xml:space="preserve">515 E4 Bách Khoa</t>
  </si>
  <si>
    <t xml:space="preserve">H153</t>
  </si>
  <si>
    <t xml:space="preserve">516 E4 Bách Khoa</t>
  </si>
  <si>
    <t xml:space="preserve">H154</t>
  </si>
  <si>
    <t xml:space="preserve">5 ngõ 17 Tạ Quang Bửu</t>
  </si>
  <si>
    <t xml:space="preserve">Hộ mới, thêm từ DS cử tri / Quân sự – kiểm tra chủ hộ và thành viên</t>
  </si>
  <si>
    <t xml:space="preserve">H155</t>
  </si>
  <si>
    <t xml:space="preserve">16 ngõ 17 Tạ Quang Bửu</t>
  </si>
  <si>
    <t xml:space="preserve">H156</t>
  </si>
  <si>
    <t xml:space="preserve">7 ngách 17/9 Tạ Quang Bửu</t>
  </si>
  <si>
    <t xml:space="preserve">H157</t>
  </si>
  <si>
    <t xml:space="preserve">105 E4 Bách Khoa</t>
  </si>
  <si>
    <t xml:space="preserve">H158</t>
  </si>
  <si>
    <t xml:space="preserve">phòng 3 dãy 46, Tạ Quang Bửu</t>
  </si>
  <si>
    <t xml:space="preserve">H159</t>
  </si>
  <si>
    <t xml:space="preserve">11 ngách 40/2 Tạ Quang Bửu</t>
  </si>
  <si>
    <t xml:space="preserve">H160</t>
  </si>
  <si>
    <t xml:space="preserve">Chưa xác định địa chỉ</t>
  </si>
  <si>
    <t xml:space="preserve">Người từ danh sách Quân sự 2005 không ghi địa chỉ – chuyển từng người sang đúng hộ</t>
  </si>
  <si>
    <t xml:space="preserve">H161</t>
  </si>
  <si>
    <t xml:space="preserve">6 ngõ 15 Tạ Quang Bửu</t>
  </si>
  <si>
    <t xml:space="preserve">Mã CD</t>
  </si>
  <si>
    <t xml:space="preserve">Họ và tên</t>
  </si>
  <si>
    <t xml:space="preserve">Giới tính</t>
  </si>
  <si>
    <t xml:space="preserve">Ngày sinh</t>
  </si>
  <si>
    <t xml:space="preserve">Năm sinh</t>
  </si>
  <si>
    <t xml:space="preserve">Tuổi</t>
  </si>
  <si>
    <t xml:space="preserve">Nhóm tuổi</t>
  </si>
  <si>
    <t xml:space="preserve">Quan hệ với chủ hộ</t>
  </si>
  <si>
    <t xml:space="preserve">CCCD</t>
  </si>
  <si>
    <t xml:space="preserve">Điện thoại</t>
  </si>
  <si>
    <t xml:space="preserve">Nghề nghiệp</t>
  </si>
  <si>
    <t xml:space="preserve">Tình trạng</t>
  </si>
  <si>
    <t xml:space="preserve">Nguồn thông tin</t>
  </si>
  <si>
    <t xml:space="preserve">CD0001</t>
  </si>
  <si>
    <t xml:space="preserve">Phạm Thị Ngân</t>
  </si>
  <si>
    <t xml:space="preserve">Nữ</t>
  </si>
  <si>
    <t xml:space="preserve">001136007902</t>
  </si>
  <si>
    <t xml:space="preserve">Hưu trí</t>
  </si>
  <si>
    <t xml:space="preserve">Có</t>
  </si>
  <si>
    <t xml:space="preserve">Đang ở</t>
  </si>
  <si>
    <t xml:space="preserve">Ở quê</t>
  </si>
  <si>
    <t xml:space="preserve">Sổ cư dân, DS cử tri</t>
  </si>
  <si>
    <t xml:space="preserve">Ghi chú cho thấy có thể không còn ở tổ – kiểm tra Tình trạng</t>
  </si>
  <si>
    <t xml:space="preserve">CD0002</t>
  </si>
  <si>
    <t xml:space="preserve">Tạ Văn Long</t>
  </si>
  <si>
    <t xml:space="preserve">Không</t>
  </si>
  <si>
    <t xml:space="preserve">Sổ cư dân</t>
  </si>
  <si>
    <t xml:space="preserve">CD0003</t>
  </si>
  <si>
    <t xml:space="preserve">Trần Mai Anh</t>
  </si>
  <si>
    <t xml:space="preserve">CD0004</t>
  </si>
  <si>
    <t xml:space="preserve">Tạ Anh Quân</t>
  </si>
  <si>
    <t xml:space="preserve">CD0005</t>
  </si>
  <si>
    <t xml:space="preserve">Tạ Đình Đức</t>
  </si>
  <si>
    <t xml:space="preserve">Sổ cư dân, Quân sự 2005</t>
  </si>
  <si>
    <t xml:space="preserve">CD0006</t>
  </si>
  <si>
    <t xml:space="preserve">Tạ Đình Quang Hưng</t>
  </si>
  <si>
    <t xml:space="preserve">CD0007</t>
  </si>
  <si>
    <t xml:space="preserve">Nguyễn Tiến Tiến</t>
  </si>
  <si>
    <t xml:space="preserve">Nam</t>
  </si>
  <si>
    <t xml:space="preserve">001060008221</t>
  </si>
  <si>
    <t xml:space="preserve">DS cử tri</t>
  </si>
  <si>
    <t xml:space="preserve">CD0008</t>
  </si>
  <si>
    <t xml:space="preserve">Tạ Thi Lan</t>
  </si>
  <si>
    <t xml:space="preserve">011677014757</t>
  </si>
  <si>
    <t xml:space="preserve">CN</t>
  </si>
  <si>
    <t xml:space="preserve">CD0009</t>
  </si>
  <si>
    <t xml:space="preserve">Nguyễn Thị Thảo My</t>
  </si>
  <si>
    <t xml:space="preserve">001196013999</t>
  </si>
  <si>
    <t xml:space="preserve">nhân viên</t>
  </si>
  <si>
    <t xml:space="preserve">CD0010</t>
  </si>
  <si>
    <t xml:space="preserve">Nguyễn Khoa Đăng</t>
  </si>
  <si>
    <t xml:space="preserve">001204031774</t>
  </si>
  <si>
    <t xml:space="preserve">sinh viên</t>
  </si>
  <si>
    <t xml:space="preserve">CD0011</t>
  </si>
  <si>
    <t xml:space="preserve">Tạ Đình Tuấn</t>
  </si>
  <si>
    <t xml:space="preserve">CD0012</t>
  </si>
  <si>
    <t xml:space="preserve">Doãn Ngọc Diệp</t>
  </si>
  <si>
    <t xml:space="preserve">CD0013</t>
  </si>
  <si>
    <t xml:space="preserve">Tạ Tuấn Việt</t>
  </si>
  <si>
    <t xml:space="preserve">CD0014</t>
  </si>
  <si>
    <t xml:space="preserve">Tạ Tuấn Phương</t>
  </si>
  <si>
    <t xml:space="preserve">CD0015</t>
  </si>
  <si>
    <t xml:space="preserve">Tạ Đình Tuấn Khôi</t>
  </si>
  <si>
    <t xml:space="preserve">CD0016</t>
  </si>
  <si>
    <t xml:space="preserve">Lê Thị Hồng</t>
  </si>
  <si>
    <t xml:space="preserve">001145006244</t>
  </si>
  <si>
    <t xml:space="preserve">CD0017</t>
  </si>
  <si>
    <t xml:space="preserve">Nguyễn Thị Bích Huệ</t>
  </si>
  <si>
    <t xml:space="preserve">CD0018</t>
  </si>
  <si>
    <t xml:space="preserve">Nguyễn Thị Thu Hằng</t>
  </si>
  <si>
    <t xml:space="preserve">001177003308</t>
  </si>
  <si>
    <t xml:space="preserve">Kế toán</t>
  </si>
  <si>
    <t xml:space="preserve">CD0019</t>
  </si>
  <si>
    <t xml:space="preserve">Nguyễn Công Giảng</t>
  </si>
  <si>
    <t xml:space="preserve">CD0020</t>
  </si>
  <si>
    <t xml:space="preserve">Nguyễn Minh Ngân</t>
  </si>
  <si>
    <t xml:space="preserve">CD0021</t>
  </si>
  <si>
    <t xml:space="preserve">Nguyễn Công Giang</t>
  </si>
  <si>
    <t xml:space="preserve">CD0022</t>
  </si>
  <si>
    <t xml:space="preserve">Phạm Văn Khôi</t>
  </si>
  <si>
    <t xml:space="preserve">001034000857</t>
  </si>
  <si>
    <t xml:space="preserve">hưu trí</t>
  </si>
  <si>
    <t xml:space="preserve">DS cử tri ghi ngày sinh 13/05/1943</t>
  </si>
  <si>
    <t xml:space="preserve">CD0023</t>
  </si>
  <si>
    <t xml:space="preserve">Đỗ Thị Hạnh</t>
  </si>
  <si>
    <t xml:space="preserve">001143004697</t>
  </si>
  <si>
    <t xml:space="preserve">CD0024</t>
  </si>
  <si>
    <t xml:space="preserve">Phạm Mai Khánh</t>
  </si>
  <si>
    <t xml:space="preserve">001074003138</t>
  </si>
  <si>
    <t xml:space="preserve">cán bộ</t>
  </si>
  <si>
    <t xml:space="preserve">CD0025</t>
  </si>
  <si>
    <t xml:space="preserve">Vũ Thị Giêng</t>
  </si>
  <si>
    <t xml:space="preserve">033187000118</t>
  </si>
  <si>
    <t xml:space="preserve">CD0026</t>
  </si>
  <si>
    <t xml:space="preserve">Phạm Tuyết Mai</t>
  </si>
  <si>
    <t xml:space="preserve">001164022483</t>
  </si>
  <si>
    <t xml:space="preserve">CD0027</t>
  </si>
  <si>
    <t xml:space="preserve">Phạm Lê Đức</t>
  </si>
  <si>
    <t xml:space="preserve">CD0028</t>
  </si>
  <si>
    <t xml:space="preserve">Phạm Vũ Khôi Nguyên</t>
  </si>
  <si>
    <t xml:space="preserve">CD0029</t>
  </si>
  <si>
    <t xml:space="preserve">Phạm Vũ Khánh Hà</t>
  </si>
  <si>
    <t xml:space="preserve">CD0030</t>
  </si>
  <si>
    <t xml:space="preserve">Quách Thị Hương</t>
  </si>
  <si>
    <t xml:space="preserve">026154001748</t>
  </si>
  <si>
    <t xml:space="preserve">CD0031</t>
  </si>
  <si>
    <t xml:space="preserve">Đoàn Minh Mẫn</t>
  </si>
  <si>
    <t xml:space="preserve">001039002876</t>
  </si>
  <si>
    <t xml:space="preserve">CD0032</t>
  </si>
  <si>
    <t xml:space="preserve">Đoàn Duy Thành</t>
  </si>
  <si>
    <t xml:space="preserve">CD0033</t>
  </si>
  <si>
    <t xml:space="preserve">Nguyễn Thanh Vân</t>
  </si>
  <si>
    <t xml:space="preserve">CD0034</t>
  </si>
  <si>
    <t xml:space="preserve">Đoàn Duy Tùng</t>
  </si>
  <si>
    <t xml:space="preserve">031089012896</t>
  </si>
  <si>
    <t xml:space="preserve">CD0035</t>
  </si>
  <si>
    <t xml:space="preserve">Đoàn Nguyễn Gia Vinh</t>
  </si>
  <si>
    <t xml:space="preserve">CD0036</t>
  </si>
  <si>
    <t xml:space="preserve">Phạm Quế Anh</t>
  </si>
  <si>
    <t xml:space="preserve">001162019842</t>
  </si>
  <si>
    <t xml:space="preserve">CD0037</t>
  </si>
  <si>
    <t xml:space="preserve">Trần Văn Lượng</t>
  </si>
  <si>
    <t xml:space="preserve">034060008609</t>
  </si>
  <si>
    <t xml:space="preserve">CD0038</t>
  </si>
  <si>
    <t xml:space="preserve">Trấn Quang Anh</t>
  </si>
  <si>
    <t xml:space="preserve">ở NN</t>
  </si>
  <si>
    <t xml:space="preserve">CD0039</t>
  </si>
  <si>
    <t xml:space="preserve">Trần Hoàng Long</t>
  </si>
  <si>
    <t xml:space="preserve">CD0040</t>
  </si>
  <si>
    <t xml:space="preserve">Lê Hồng Tịnh</t>
  </si>
  <si>
    <t xml:space="preserve">Không ở Bkhoa</t>
  </si>
  <si>
    <t xml:space="preserve">CD0041</t>
  </si>
  <si>
    <t xml:space="preserve">Đỗ Thị Hiền</t>
  </si>
  <si>
    <t xml:space="preserve">CD0042</t>
  </si>
  <si>
    <t xml:space="preserve">Lê Huyền Trang</t>
  </si>
  <si>
    <t xml:space="preserve">CD0043</t>
  </si>
  <si>
    <t xml:space="preserve">Lê Mạnh Đức</t>
  </si>
  <si>
    <t xml:space="preserve">CD0044</t>
  </si>
  <si>
    <t xml:space="preserve">Hoàng Đức Huy</t>
  </si>
  <si>
    <t xml:space="preserve">CD0045</t>
  </si>
  <si>
    <t xml:space="preserve">Phạm Quý Đức</t>
  </si>
  <si>
    <t xml:space="preserve">đã bán nhà</t>
  </si>
  <si>
    <t xml:space="preserve">CD0046</t>
  </si>
  <si>
    <t xml:space="preserve">Trương Phương Lan</t>
  </si>
  <si>
    <t xml:space="preserve">CD0047</t>
  </si>
  <si>
    <t xml:space="preserve">Phạm Quang Anh</t>
  </si>
  <si>
    <t xml:space="preserve">CD0048</t>
  </si>
  <si>
    <t xml:space="preserve">Phạm Thị Lan Hương</t>
  </si>
  <si>
    <t xml:space="preserve">CD0049</t>
  </si>
  <si>
    <t xml:space="preserve">Phạm Phương Nhung</t>
  </si>
  <si>
    <t xml:space="preserve">CD0050</t>
  </si>
  <si>
    <t xml:space="preserve">Trần Thị Kim Mai</t>
  </si>
  <si>
    <t xml:space="preserve">Thiếu năm sinh</t>
  </si>
  <si>
    <t xml:space="preserve">CD0051</t>
  </si>
  <si>
    <t xml:space="preserve">Đào Hoàng Lân</t>
  </si>
  <si>
    <t xml:space="preserve">CD0052</t>
  </si>
  <si>
    <t xml:space="preserve">Đào Đức Hoàn</t>
  </si>
  <si>
    <t xml:space="preserve">CD0053</t>
  </si>
  <si>
    <t xml:space="preserve">Đào Mai Trang</t>
  </si>
  <si>
    <t xml:space="preserve">CD0054</t>
  </si>
  <si>
    <t xml:space="preserve">Nguyễn Quốc Thắng</t>
  </si>
  <si>
    <t xml:space="preserve">Hộ khấu: Hàng Bài</t>
  </si>
  <si>
    <t xml:space="preserve">CD0055</t>
  </si>
  <si>
    <t xml:space="preserve">Dương Thị Tố Tâm</t>
  </si>
  <si>
    <t xml:space="preserve">CD0056</t>
  </si>
  <si>
    <t xml:space="preserve">Nguyễn Quốc Đạt</t>
  </si>
  <si>
    <t xml:space="preserve">CD0057</t>
  </si>
  <si>
    <t xml:space="preserve">Nguyễn Ánh Uyên</t>
  </si>
  <si>
    <t xml:space="preserve">CD0058</t>
  </si>
  <si>
    <t xml:space="preserve">Cao Trọng Ngọc</t>
  </si>
  <si>
    <t xml:space="preserve">040050000067</t>
  </si>
  <si>
    <t xml:space="preserve">CD0059</t>
  </si>
  <si>
    <t xml:space="preserve">Bùi Thị Kim Hoa</t>
  </si>
  <si>
    <t xml:space="preserve">001166016929</t>
  </si>
  <si>
    <t xml:space="preserve">CD0060</t>
  </si>
  <si>
    <t xml:space="preserve">Cao Mạnh Cường</t>
  </si>
  <si>
    <t xml:space="preserve">001082012831</t>
  </si>
  <si>
    <t xml:space="preserve">CD0061</t>
  </si>
  <si>
    <t xml:space="preserve">Cao Bảo Trung</t>
  </si>
  <si>
    <t xml:space="preserve">CD0062</t>
  </si>
  <si>
    <t xml:space="preserve">Bùi Thu Hương (1976</t>
  </si>
  <si>
    <t xml:space="preserve">CD0063</t>
  </si>
  <si>
    <t xml:space="preserve">Ngô Văn Khiếu</t>
  </si>
  <si>
    <t xml:space="preserve">034078004938</t>
  </si>
  <si>
    <t xml:space="preserve">Thuê nhà</t>
  </si>
  <si>
    <t xml:space="preserve">Đã lấy tên theo DS cử tri; sổ cũ ghi: Ngô Năng Khiếu</t>
  </si>
  <si>
    <t xml:space="preserve">CD0064</t>
  </si>
  <si>
    <t xml:space="preserve">Trần Xuân Thu</t>
  </si>
  <si>
    <t xml:space="preserve">001181037144</t>
  </si>
  <si>
    <t xml:space="preserve">CD0065</t>
  </si>
  <si>
    <t xml:space="preserve">Ngô Quang Minh</t>
  </si>
  <si>
    <t xml:space="preserve">CD0066</t>
  </si>
  <si>
    <t xml:space="preserve">Ngô Linh Đan</t>
  </si>
  <si>
    <t xml:space="preserve">CD0067</t>
  </si>
  <si>
    <t xml:space="preserve">Lê Minh Thông</t>
  </si>
  <si>
    <t xml:space="preserve">CD0068</t>
  </si>
  <si>
    <t xml:space="preserve">Vũ Thị Anh</t>
  </si>
  <si>
    <t xml:space="preserve">CD0069</t>
  </si>
  <si>
    <t xml:space="preserve">Lê Trúc Linh</t>
  </si>
  <si>
    <t xml:space="preserve">CD0070</t>
  </si>
  <si>
    <t xml:space="preserve">Nguyễn Thị Mai Tần</t>
  </si>
  <si>
    <t xml:space="preserve">042148000026</t>
  </si>
  <si>
    <t xml:space="preserve">Bán nhà</t>
  </si>
  <si>
    <t xml:space="preserve">Đã lấy tên theo DS cử tri; sổ cũ ghi: Nguyễn Mai Tần; Ghi chú cho thấy có thể không còn ở tổ – kiểm tra Tình trạng</t>
  </si>
  <si>
    <t xml:space="preserve">CD0071</t>
  </si>
  <si>
    <t xml:space="preserve">Trần Xuân Dương</t>
  </si>
  <si>
    <t xml:space="preserve">001075022011</t>
  </si>
  <si>
    <t xml:space="preserve">CD0072</t>
  </si>
  <si>
    <t xml:space="preserve">Nguyễn Thị Bích Hạnh</t>
  </si>
  <si>
    <t xml:space="preserve">001175025877</t>
  </si>
  <si>
    <t xml:space="preserve">CD0073</t>
  </si>
  <si>
    <t xml:space="preserve">Trần Mai Trang</t>
  </si>
  <si>
    <t xml:space="preserve">001303001222</t>
  </si>
  <si>
    <t xml:space="preserve">Sổ cư dân, DS cử tri, Quân sự 2005</t>
  </si>
  <si>
    <t xml:space="preserve">CD0074</t>
  </si>
  <si>
    <t xml:space="preserve">Trần Mai Linh</t>
  </si>
  <si>
    <t xml:space="preserve">001307019170</t>
  </si>
  <si>
    <t xml:space="preserve">CD0075</t>
  </si>
  <si>
    <t xml:space="preserve">Trần Minh Dũng</t>
  </si>
  <si>
    <t xml:space="preserve">CD0076</t>
  </si>
  <si>
    <t xml:space="preserve">Lê Thị Kim Quy (1989</t>
  </si>
  <si>
    <t xml:space="preserve">CD0077</t>
  </si>
  <si>
    <t xml:space="preserve">Trần Minh Sơn 09/03/2017</t>
  </si>
  <si>
    <t xml:space="preserve">CD0078</t>
  </si>
  <si>
    <t xml:space="preserve">Trần Minh Thành</t>
  </si>
  <si>
    <t xml:space="preserve">CD0079</t>
  </si>
  <si>
    <t xml:space="preserve">Đặng Huyền Thái</t>
  </si>
  <si>
    <t xml:space="preserve">CD0080</t>
  </si>
  <si>
    <t xml:space="preserve">Phùng Ngọc Quý</t>
  </si>
  <si>
    <t xml:space="preserve">CD0081</t>
  </si>
  <si>
    <t xml:space="preserve">Phùng Đức Trung</t>
  </si>
  <si>
    <t xml:space="preserve">CD0082</t>
  </si>
  <si>
    <t xml:space="preserve">Phùng Huyền Trang</t>
  </si>
  <si>
    <t xml:space="preserve">CD0083</t>
  </si>
  <si>
    <t xml:space="preserve">Lucia</t>
  </si>
  <si>
    <t xml:space="preserve">CD0084</t>
  </si>
  <si>
    <t xml:space="preserve">Dennis Anh Quân</t>
  </si>
  <si>
    <t xml:space="preserve">CD0085</t>
  </si>
  <si>
    <t xml:space="preserve">Võ Trí Hải</t>
  </si>
  <si>
    <t xml:space="preserve">001073041060</t>
  </si>
  <si>
    <t xml:space="preserve">KD</t>
  </si>
  <si>
    <t xml:space="preserve">Đã lấy tên theo DS cử tri; sổ cũ ghi: Võ Chí Hải; Ghi chú cho thấy có thể không còn ở tổ – kiểm tra Tình trạng</t>
  </si>
  <si>
    <t xml:space="preserve">CD0086</t>
  </si>
  <si>
    <t xml:space="preserve">Nguyễn Thị Thúy</t>
  </si>
  <si>
    <t xml:space="preserve">001175046915</t>
  </si>
  <si>
    <t xml:space="preserve">Công chức</t>
  </si>
  <si>
    <t xml:space="preserve">CD0087</t>
  </si>
  <si>
    <t xml:space="preserve">Võ Phương Linh</t>
  </si>
  <si>
    <t xml:space="preserve">CD0088</t>
  </si>
  <si>
    <t xml:space="preserve">Võ Chí Hiếu</t>
  </si>
  <si>
    <t xml:space="preserve">CD0089</t>
  </si>
  <si>
    <t xml:space="preserve">Đào Văn Đô</t>
  </si>
  <si>
    <t xml:space="preserve">001060024586</t>
  </si>
  <si>
    <t xml:space="preserve">CD0090</t>
  </si>
  <si>
    <t xml:space="preserve">Nguyễn Lệ Thủy</t>
  </si>
  <si>
    <t xml:space="preserve">001158006210</t>
  </si>
  <si>
    <t xml:space="preserve">Đã lấy tên theo DS cử tri; sổ cũ ghi: Nguyễn Thị Lệ Thủy</t>
  </si>
  <si>
    <t xml:space="preserve">CD0091</t>
  </si>
  <si>
    <t xml:space="preserve">Đào Tuấn Sơn</t>
  </si>
  <si>
    <t xml:space="preserve">001086004307</t>
  </si>
  <si>
    <t xml:space="preserve">CD0092</t>
  </si>
  <si>
    <t xml:space="preserve">Lý Thị Thu Trang</t>
  </si>
  <si>
    <t xml:space="preserve">001186047102</t>
  </si>
  <si>
    <t xml:space="preserve">Đã lấy tên theo DS cử tri; sổ cũ ghi: Lê Thị Thu Trang</t>
  </si>
  <si>
    <t xml:space="preserve">CD0093</t>
  </si>
  <si>
    <t xml:space="preserve">Đào Tú Chi</t>
  </si>
  <si>
    <t xml:space="preserve">CD0094</t>
  </si>
  <si>
    <t xml:space="preserve">Đào Phúc Khang</t>
  </si>
  <si>
    <t xml:space="preserve">CD0095</t>
  </si>
  <si>
    <t xml:space="preserve">Đào Thùy Vân</t>
  </si>
  <si>
    <t xml:space="preserve">001192023375</t>
  </si>
  <si>
    <t xml:space="preserve">CD0096</t>
  </si>
  <si>
    <t xml:space="preserve">Hoàng Thị Tỉnh</t>
  </si>
  <si>
    <t xml:space="preserve">CD0097</t>
  </si>
  <si>
    <t xml:space="preserve">Trần Vĩnh Diệu</t>
  </si>
  <si>
    <t xml:space="preserve">CD0098</t>
  </si>
  <si>
    <t xml:space="preserve">Trần Lê Trung</t>
  </si>
  <si>
    <t xml:space="preserve">CD0099</t>
  </si>
  <si>
    <t xml:space="preserve">Vũ Thị Phương Thảo</t>
  </si>
  <si>
    <t xml:space="preserve">CD0100</t>
  </si>
  <si>
    <t xml:space="preserve">Trần Vũ Hà My</t>
  </si>
  <si>
    <t xml:space="preserve">CD0101</t>
  </si>
  <si>
    <t xml:space="preserve">Lê Thị Phấn</t>
  </si>
  <si>
    <t xml:space="preserve">001136000033</t>
  </si>
  <si>
    <t xml:space="preserve">CD0102</t>
  </si>
  <si>
    <t xml:space="preserve">Hồ Chí Dũng</t>
  </si>
  <si>
    <t xml:space="preserve">001064005010</t>
  </si>
  <si>
    <t xml:space="preserve">CD0103</t>
  </si>
  <si>
    <t xml:space="preserve">Nguyễn Thị Tuyết Thanh</t>
  </si>
  <si>
    <t xml:space="preserve">001166000227</t>
  </si>
  <si>
    <t xml:space="preserve">CD0104</t>
  </si>
  <si>
    <t xml:space="preserve">Hồ Anh Minh</t>
  </si>
  <si>
    <t xml:space="preserve">001092004389</t>
  </si>
  <si>
    <t xml:space="preserve">CD0105</t>
  </si>
  <si>
    <t xml:space="preserve">Hồ Minh Anh</t>
  </si>
  <si>
    <t xml:space="preserve">001196040444</t>
  </si>
  <si>
    <t xml:space="preserve">CD0106</t>
  </si>
  <si>
    <t xml:space="preserve">Bùi Thị Bích Phương</t>
  </si>
  <si>
    <t xml:space="preserve">025197000322</t>
  </si>
  <si>
    <t xml:space="preserve">CD0107</t>
  </si>
  <si>
    <t xml:space="preserve">Nguyễn Việt Anh</t>
  </si>
  <si>
    <t xml:space="preserve">001071007589</t>
  </si>
  <si>
    <t xml:space="preserve">Đã lấy ngày sinh theo DS cử tri; sổ cũ ghi: 02/01/1971</t>
  </si>
  <si>
    <t xml:space="preserve">CD0108</t>
  </si>
  <si>
    <t xml:space="preserve">Nguyễn Hoàng Yến</t>
  </si>
  <si>
    <t xml:space="preserve">001172025290</t>
  </si>
  <si>
    <t xml:space="preserve">CD0109</t>
  </si>
  <si>
    <t xml:space="preserve">Nguyễn Anh Minh</t>
  </si>
  <si>
    <t xml:space="preserve">CD0110</t>
  </si>
  <si>
    <t xml:space="preserve">Nguyễn Anh Hùng</t>
  </si>
  <si>
    <t xml:space="preserve">001203001265</t>
  </si>
  <si>
    <t xml:space="preserve">CD0111</t>
  </si>
  <si>
    <t xml:space="preserve">Phạm Ngọc Cảnh</t>
  </si>
  <si>
    <t xml:space="preserve">001043003508</t>
  </si>
  <si>
    <t xml:space="preserve">CD0112</t>
  </si>
  <si>
    <t xml:space="preserve">Nguyễn Minh Thư</t>
  </si>
  <si>
    <t xml:space="preserve">026145000712</t>
  </si>
  <si>
    <t xml:space="preserve">Đã lấy tên theo DS cử tri; sổ cũ ghi: Nguyễn Thị Minh Thư</t>
  </si>
  <si>
    <t xml:space="preserve">CD0113</t>
  </si>
  <si>
    <t xml:space="preserve">Phạm Ngọc Mai</t>
  </si>
  <si>
    <t xml:space="preserve">CD0114</t>
  </si>
  <si>
    <t xml:space="preserve">Phạm Thành Long</t>
  </si>
  <si>
    <t xml:space="preserve">CD0115</t>
  </si>
  <si>
    <t xml:space="preserve">Trần Hà Liên</t>
  </si>
  <si>
    <t xml:space="preserve">001069007296</t>
  </si>
  <si>
    <t xml:space="preserve">Đã lấy ngày sinh theo DS cử tri; sổ cũ ghi: 05/04/1969</t>
  </si>
  <si>
    <t xml:space="preserve">CD0116</t>
  </si>
  <si>
    <t xml:space="preserve">Hình Tú Lệ</t>
  </si>
  <si>
    <t xml:space="preserve">001170007404</t>
  </si>
  <si>
    <t xml:space="preserve">Đã lấy ngày sinh theo DS cử tri; sổ cũ ghi: 06/01/1970</t>
  </si>
  <si>
    <t xml:space="preserve">CD0117</t>
  </si>
  <si>
    <t xml:space="preserve">Trần Đăng Huy</t>
  </si>
  <si>
    <t xml:space="preserve">001097013831</t>
  </si>
  <si>
    <t xml:space="preserve">CD0118</t>
  </si>
  <si>
    <t xml:space="preserve">Nguyễn Tú Uyên</t>
  </si>
  <si>
    <t xml:space="preserve">CD0119</t>
  </si>
  <si>
    <t xml:space="preserve">Trần Minh Hà</t>
  </si>
  <si>
    <t xml:space="preserve">001303027174</t>
  </si>
  <si>
    <t xml:space="preserve">CD0120</t>
  </si>
  <si>
    <t xml:space="preserve">Trần Văn Nhân</t>
  </si>
  <si>
    <t xml:space="preserve">035047000912</t>
  </si>
  <si>
    <t xml:space="preserve">Đã lấy ngày sinh theo DS cử tri; sổ cũ ghi: 06/01/1951; Ghi chú cho thấy có thể không còn ở tổ – kiểm tra Tình trạng</t>
  </si>
  <si>
    <t xml:space="preserve">CD0121</t>
  </si>
  <si>
    <t xml:space="preserve">Đinh Thị Như Phương</t>
  </si>
  <si>
    <t xml:space="preserve">001151003782</t>
  </si>
  <si>
    <t xml:space="preserve">Đã lấy ngày sinh theo DS cử tri; sổ cũ ghi: 01/05/1947</t>
  </si>
  <si>
    <t xml:space="preserve">CD0122</t>
  </si>
  <si>
    <t xml:space="preserve">Trần Thị Phương Thùy</t>
  </si>
  <si>
    <t xml:space="preserve">001177016468</t>
  </si>
  <si>
    <t xml:space="preserve">Đã lấy ngày sinh theo DS cử tri; sổ cũ ghi: 02/01/1977</t>
  </si>
  <si>
    <t xml:space="preserve">CD0123</t>
  </si>
  <si>
    <t xml:space="preserve">Trần Phương Hà</t>
  </si>
  <si>
    <t xml:space="preserve">CD0124</t>
  </si>
  <si>
    <t xml:space="preserve">Phạm Trần Bảo Linh</t>
  </si>
  <si>
    <t xml:space="preserve">CD0125</t>
  </si>
  <si>
    <t xml:space="preserve">Phạm Trần Linh An</t>
  </si>
  <si>
    <t xml:space="preserve">CD0126</t>
  </si>
  <si>
    <t xml:space="preserve">Vũ Trần Minh</t>
  </si>
  <si>
    <t xml:space="preserve">CD0127</t>
  </si>
  <si>
    <t xml:space="preserve">Trịnh Thị Minh Hằng</t>
  </si>
  <si>
    <t xml:space="preserve">CD0128</t>
  </si>
  <si>
    <t xml:space="preserve">001187016172</t>
  </si>
  <si>
    <t xml:space="preserve">tự do</t>
  </si>
  <si>
    <t xml:space="preserve">CD0129</t>
  </si>
  <si>
    <t xml:space="preserve">Nguyễn Thị Minh Hòa</t>
  </si>
  <si>
    <t xml:space="preserve">038152003050</t>
  </si>
  <si>
    <t xml:space="preserve">Đã lấy tên theo DS cử tri; sổ cũ ghi: Nguyễn Thị Hòa</t>
  </si>
  <si>
    <t xml:space="preserve">CD0130</t>
  </si>
  <si>
    <t xml:space="preserve">Trần Thị Thanh Hải</t>
  </si>
  <si>
    <t xml:space="preserve">001191021938</t>
  </si>
  <si>
    <t xml:space="preserve">DS cử tri ghi ngày sinh 28/01/1991</t>
  </si>
  <si>
    <t xml:space="preserve">CD0131</t>
  </si>
  <si>
    <t xml:space="preserve">Trần Thị Lan</t>
  </si>
  <si>
    <t xml:space="preserve">CD0132</t>
  </si>
  <si>
    <t xml:space="preserve">Nguyễn Văn Quyển</t>
  </si>
  <si>
    <t xml:space="preserve">Hộ mới =2025</t>
  </si>
  <si>
    <t xml:space="preserve">CD0133</t>
  </si>
  <si>
    <t xml:space="preserve">Nguyễn Hải Nhung</t>
  </si>
  <si>
    <t xml:space="preserve">HK ở A1</t>
  </si>
  <si>
    <t xml:space="preserve">CD0134</t>
  </si>
  <si>
    <t xml:space="preserve">Nguyễn Dức Phong</t>
  </si>
  <si>
    <t xml:space="preserve">CD0135</t>
  </si>
  <si>
    <t xml:space="preserve">Nguyễn Ngọc Mai</t>
  </si>
  <si>
    <t xml:space="preserve">001181037035</t>
  </si>
  <si>
    <t xml:space="preserve">NCV</t>
  </si>
  <si>
    <t xml:space="preserve">CD0136</t>
  </si>
  <si>
    <t xml:space="preserve">Nguyễn Nhật Minh</t>
  </si>
  <si>
    <t xml:space="preserve">001206038503</t>
  </si>
  <si>
    <t xml:space="preserve">DS cử tri, Quân sự 2005</t>
  </si>
  <si>
    <t xml:space="preserve">CD0137</t>
  </si>
  <si>
    <t xml:space="preserve">Nguyễn Thị Uyển</t>
  </si>
  <si>
    <t xml:space="preserve">CD0138</t>
  </si>
  <si>
    <t xml:space="preserve">Lê Thị Hải Anh</t>
  </si>
  <si>
    <t xml:space="preserve">001173025554</t>
  </si>
  <si>
    <t xml:space="preserve">CD0139</t>
  </si>
  <si>
    <t xml:space="preserve">Phạm Thanh Trung</t>
  </si>
  <si>
    <t xml:space="preserve">036072009136</t>
  </si>
  <si>
    <t xml:space="preserve">CD0140</t>
  </si>
  <si>
    <t xml:space="preserve">Đặng Đức Mạnh</t>
  </si>
  <si>
    <t xml:space="preserve">CD0141</t>
  </si>
  <si>
    <t xml:space="preserve">Phạm Lê Khánh Mỹ</t>
  </si>
  <si>
    <t xml:space="preserve">001305039932</t>
  </si>
  <si>
    <t xml:space="preserve">Quân sự 2005 ghi tên: Phạm Lê Khánh My</t>
  </si>
  <si>
    <t xml:space="preserve">CD0142</t>
  </si>
  <si>
    <t xml:space="preserve">Vũ Phương Thảo</t>
  </si>
  <si>
    <t xml:space="preserve">030301006662</t>
  </si>
  <si>
    <t xml:space="preserve">CD0143</t>
  </si>
  <si>
    <t xml:space="preserve">Phạm Đức Mạnh</t>
  </si>
  <si>
    <t xml:space="preserve">001098033771</t>
  </si>
  <si>
    <t xml:space="preserve">CD0144</t>
  </si>
  <si>
    <t xml:space="preserve">Đỗ Năng Anh</t>
  </si>
  <si>
    <t xml:space="preserve">Có thể trùng với CD0232 (cùng tên, cùng năm sinh)</t>
  </si>
  <si>
    <t xml:space="preserve">CD0145</t>
  </si>
  <si>
    <t xml:space="preserve">Nguyễn Thị Minh Trang</t>
  </si>
  <si>
    <t xml:space="preserve">HK ở K7</t>
  </si>
  <si>
    <t xml:space="preserve">CD0146</t>
  </si>
  <si>
    <t xml:space="preserve">Đỗ Ngọc Minh Anh</t>
  </si>
  <si>
    <t xml:space="preserve">CD0147</t>
  </si>
  <si>
    <t xml:space="preserve">Đỗ Năng Huy</t>
  </si>
  <si>
    <t xml:space="preserve">CD0148</t>
  </si>
  <si>
    <t xml:space="preserve">Thái Thị Chiến</t>
  </si>
  <si>
    <t xml:space="preserve">001149020720</t>
  </si>
  <si>
    <t xml:space="preserve">CD0149</t>
  </si>
  <si>
    <t xml:space="preserve">Vũ Minh Tuấn</t>
  </si>
  <si>
    <t xml:space="preserve">001073000460</t>
  </si>
  <si>
    <t xml:space="preserve">CD0150</t>
  </si>
  <si>
    <t xml:space="preserve">Vũ Minh Quân</t>
  </si>
  <si>
    <t xml:space="preserve">CD0151</t>
  </si>
  <si>
    <t xml:space="preserve">Nguyễn Thị Hải Yến</t>
  </si>
  <si>
    <t xml:space="preserve">036176010663</t>
  </si>
  <si>
    <t xml:space="preserve">DS cử tri ghi năm sinh 01/08/1976</t>
  </si>
  <si>
    <t xml:space="preserve">CD0152</t>
  </si>
  <si>
    <t xml:space="preserve">Vũ Hoàng Tú</t>
  </si>
  <si>
    <t xml:space="preserve">001076057296</t>
  </si>
  <si>
    <t xml:space="preserve">CD0153</t>
  </si>
  <si>
    <t xml:space="preserve">Vũ Minh Tuệ</t>
  </si>
  <si>
    <t xml:space="preserve">037048005844</t>
  </si>
  <si>
    <t xml:space="preserve">DS cử tri ghi năm sinh 20/07/1948</t>
  </si>
  <si>
    <t xml:space="preserve">CD0154</t>
  </si>
  <si>
    <t xml:space="preserve">Vũ Quang Minh</t>
  </si>
  <si>
    <t xml:space="preserve">CD0155</t>
  </si>
  <si>
    <t xml:space="preserve">Vũ Gia Bảo</t>
  </si>
  <si>
    <t xml:space="preserve">CD0156</t>
  </si>
  <si>
    <t xml:space="preserve">001203001263</t>
  </si>
  <si>
    <t xml:space="preserve">CD0157</t>
  </si>
  <si>
    <t xml:space="preserve">Nguyễn Phương Thùy</t>
  </si>
  <si>
    <t xml:space="preserve">CD0158</t>
  </si>
  <si>
    <t xml:space="preserve">Phạm Văn Thu</t>
  </si>
  <si>
    <t xml:space="preserve">Sổ cư dân, Bsung CDC</t>
  </si>
  <si>
    <t xml:space="preserve">CD0159</t>
  </si>
  <si>
    <t xml:space="preserve">Phạm Quang Long (8/1/2009)</t>
  </si>
  <si>
    <t xml:space="preserve">CD0160</t>
  </si>
  <si>
    <t xml:space="preserve">Phạm Duy Việt (6/6/2015</t>
  </si>
  <si>
    <t xml:space="preserve">CD0161</t>
  </si>
  <si>
    <t xml:space="preserve">Bùi Ngọc Quang</t>
  </si>
  <si>
    <t xml:space="preserve">036052005653</t>
  </si>
  <si>
    <t xml:space="preserve">CD0162</t>
  </si>
  <si>
    <t xml:space="preserve">Nguyễn Thị Như Hiên</t>
  </si>
  <si>
    <t xml:space="preserve">015155000314</t>
  </si>
  <si>
    <t xml:space="preserve">CD0163</t>
  </si>
  <si>
    <t xml:space="preserve">Bùi Ngọc Hân</t>
  </si>
  <si>
    <t xml:space="preserve">001184015553</t>
  </si>
  <si>
    <t xml:space="preserve">DS cử tri ghi năm sinh 11/04/1984</t>
  </si>
  <si>
    <t xml:space="preserve">CD0164</t>
  </si>
  <si>
    <t xml:space="preserve">Dương Thị Tường</t>
  </si>
  <si>
    <t xml:space="preserve">CD0165</t>
  </si>
  <si>
    <t xml:space="preserve">Lưu Vĩnh Tuy</t>
  </si>
  <si>
    <t xml:space="preserve">CD0166</t>
  </si>
  <si>
    <t xml:space="preserve">Lưu Vĩnh Toàn</t>
  </si>
  <si>
    <t xml:space="preserve">CD0167</t>
  </si>
  <si>
    <t xml:space="preserve">Lưu Ngọc Hân</t>
  </si>
  <si>
    <t xml:space="preserve">CD0168</t>
  </si>
  <si>
    <t xml:space="preserve">Lưu Khánh Linh</t>
  </si>
  <si>
    <t xml:space="preserve">CD0169</t>
  </si>
  <si>
    <t xml:space="preserve">Hoàng Mạnh Luân</t>
  </si>
  <si>
    <t xml:space="preserve">001073014015</t>
  </si>
  <si>
    <t xml:space="preserve">CD0170</t>
  </si>
  <si>
    <t xml:space="preserve">Nguyễn Lan Anh</t>
  </si>
  <si>
    <t xml:space="preserve">001177028241</t>
  </si>
  <si>
    <t xml:space="preserve">DS cử tri ghi ngày sinh 09/12/1977</t>
  </si>
  <si>
    <t xml:space="preserve">CD0171</t>
  </si>
  <si>
    <t xml:space="preserve">Hoàng Anh Dũng</t>
  </si>
  <si>
    <t xml:space="preserve">001205005878</t>
  </si>
  <si>
    <t xml:space="preserve">CD0172</t>
  </si>
  <si>
    <t xml:space="preserve">Hoàng Phương Linh</t>
  </si>
  <si>
    <t xml:space="preserve">CD0173</t>
  </si>
  <si>
    <t xml:space="preserve">Trần Hoàng Anh</t>
  </si>
  <si>
    <t xml:space="preserve">CD0174</t>
  </si>
  <si>
    <t xml:space="preserve">Trương Thị Phương Thảo</t>
  </si>
  <si>
    <t xml:space="preserve">001181011621</t>
  </si>
  <si>
    <t xml:space="preserve">CD0175</t>
  </si>
  <si>
    <t xml:space="preserve">Trần Hoàng Dương</t>
  </si>
  <si>
    <t xml:space="preserve">CD0176</t>
  </si>
  <si>
    <t xml:space="preserve">Trần T.phương Ngân</t>
  </si>
  <si>
    <t xml:space="preserve">CD0177</t>
  </si>
  <si>
    <t xml:space="preserve">Phan Ái Thơ</t>
  </si>
  <si>
    <t xml:space="preserve">040150000310</t>
  </si>
  <si>
    <t xml:space="preserve">CD0178</t>
  </si>
  <si>
    <t xml:space="preserve">Nguyễn Đình Cúc</t>
  </si>
  <si>
    <t xml:space="preserve">040040000196</t>
  </si>
  <si>
    <t xml:space="preserve">CD0179</t>
  </si>
  <si>
    <t xml:space="preserve">Nguyễn Minh Châu</t>
  </si>
  <si>
    <t xml:space="preserve">CD0180</t>
  </si>
  <si>
    <t xml:space="preserve">Nguyễn Bình Minh</t>
  </si>
  <si>
    <t xml:space="preserve">CD0181</t>
  </si>
  <si>
    <t xml:space="preserve">Nguyễn Thị Hằng</t>
  </si>
  <si>
    <t xml:space="preserve">038173006305</t>
  </si>
  <si>
    <t xml:space="preserve">Tự do</t>
  </si>
  <si>
    <t xml:space="preserve">CD0182</t>
  </si>
  <si>
    <t xml:space="preserve">Nguyễn Thị Tuấn Sửu</t>
  </si>
  <si>
    <t xml:space="preserve">001150004761</t>
  </si>
  <si>
    <t xml:space="preserve">CD0183</t>
  </si>
  <si>
    <t xml:space="preserve">Trần Hoàng Đối</t>
  </si>
  <si>
    <t xml:space="preserve">042042000182</t>
  </si>
  <si>
    <t xml:space="preserve">Đã lấy tên theo DS cử tri; sổ cũ ghi: Hoàng Văn Đối</t>
  </si>
  <si>
    <t xml:space="preserve">CD0184</t>
  </si>
  <si>
    <t xml:space="preserve">Trần Hoàng Hải</t>
  </si>
  <si>
    <t xml:space="preserve">001081033378</t>
  </si>
  <si>
    <t xml:space="preserve">CD0185</t>
  </si>
  <si>
    <t xml:space="preserve">Trần Lệ Thủy</t>
  </si>
  <si>
    <t xml:space="preserve">031190018501</t>
  </si>
  <si>
    <t xml:space="preserve">CD0186</t>
  </si>
  <si>
    <t xml:space="preserve">Trần Mỹ Anh</t>
  </si>
  <si>
    <t xml:space="preserve">CD0187</t>
  </si>
  <si>
    <t xml:space="preserve">Trần Hoàng Minh</t>
  </si>
  <si>
    <t xml:space="preserve">CD0188</t>
  </si>
  <si>
    <t xml:space="preserve">001076000224</t>
  </si>
  <si>
    <t xml:space="preserve">CD0189</t>
  </si>
  <si>
    <t xml:space="preserve">Nguyễn Mộng Thược</t>
  </si>
  <si>
    <t xml:space="preserve">001148004645</t>
  </si>
  <si>
    <t xml:space="preserve">CD0190</t>
  </si>
  <si>
    <t xml:space="preserve">Trịnh Thị Phương</t>
  </si>
  <si>
    <t xml:space="preserve">038148000008</t>
  </si>
  <si>
    <t xml:space="preserve">CD0191</t>
  </si>
  <si>
    <t xml:space="preserve">Nguyễn Công Quát</t>
  </si>
  <si>
    <t xml:space="preserve">026052000061</t>
  </si>
  <si>
    <t xml:space="preserve">Đã lấy tên theo DS cử tri; sổ cũ ghi: Nguyễn Văn Quát</t>
  </si>
  <si>
    <t xml:space="preserve">CD0192</t>
  </si>
  <si>
    <t xml:space="preserve">Nguyễn Viết Hải</t>
  </si>
  <si>
    <t xml:space="preserve">001068022249</t>
  </si>
  <si>
    <t xml:space="preserve">DS cử tri ghi năm sinh 10/04/1968</t>
  </si>
  <si>
    <t xml:space="preserve">CD0193</t>
  </si>
  <si>
    <t xml:space="preserve">Trần Tố Liên</t>
  </si>
  <si>
    <t xml:space="preserve">019169000250</t>
  </si>
  <si>
    <t xml:space="preserve">CD0194</t>
  </si>
  <si>
    <t xml:space="preserve">Nguyễn Hoàng Phúc</t>
  </si>
  <si>
    <t xml:space="preserve">001202017283</t>
  </si>
  <si>
    <t xml:space="preserve">Đã lấy ngày sinh theo DS cử tri; sổ cũ ghi: 07/12/2002</t>
  </si>
  <si>
    <t xml:space="preserve">CD0195</t>
  </si>
  <si>
    <t xml:space="preserve">Nguyễn Thị Thu Hiền</t>
  </si>
  <si>
    <t xml:space="preserve">001304017513</t>
  </si>
  <si>
    <t xml:space="preserve">Đã lấy tên theo DS cử tri; sổ cũ ghi: Nguyễn T. Thu Hiền; Đã lấy ngày sinh theo DS cử tri; sổ cũ ghi: 17/12/2004</t>
  </si>
  <si>
    <t xml:space="preserve">CD0196</t>
  </si>
  <si>
    <t xml:space="preserve">Nguyễn Hoàng An</t>
  </si>
  <si>
    <t xml:space="preserve">001208023511</t>
  </si>
  <si>
    <t xml:space="preserve">Đã lấy ngày sinh theo DS cử tri; sổ cũ ghi: 06/03/2008</t>
  </si>
  <si>
    <t xml:space="preserve">CD0197</t>
  </si>
  <si>
    <t xml:space="preserve">Nguyễn Việt Dũng</t>
  </si>
  <si>
    <t xml:space="preserve">CD0198</t>
  </si>
  <si>
    <t xml:space="preserve">Nguyễn Mai Chi</t>
  </si>
  <si>
    <t xml:space="preserve">CD0199</t>
  </si>
  <si>
    <t xml:space="preserve">Nguyễn Thị Gia Uyên</t>
  </si>
  <si>
    <t xml:space="preserve">CD0200</t>
  </si>
  <si>
    <t xml:space="preserve">Nghiêm Thị Mai</t>
  </si>
  <si>
    <t xml:space="preserve">001152014046</t>
  </si>
  <si>
    <t xml:space="preserve">CD0201</t>
  </si>
  <si>
    <t xml:space="preserve">Chu Minh Tùng</t>
  </si>
  <si>
    <t xml:space="preserve">001077044735</t>
  </si>
  <si>
    <t xml:space="preserve">CD0202</t>
  </si>
  <si>
    <t xml:space="preserve">Chu Thị Kiều Trinh</t>
  </si>
  <si>
    <t xml:space="preserve">CD0203</t>
  </si>
  <si>
    <t xml:space="preserve">Chu Thị Kiều Chinh</t>
  </si>
  <si>
    <t xml:space="preserve">001183030744</t>
  </si>
  <si>
    <t xml:space="preserve">CD0204</t>
  </si>
  <si>
    <t xml:space="preserve">Nguyễn Viết Thu La</t>
  </si>
  <si>
    <t xml:space="preserve">031153002976</t>
  </si>
  <si>
    <t xml:space="preserve">CD0205</t>
  </si>
  <si>
    <t xml:space="preserve">Nguyễn Hồng Cẩm</t>
  </si>
  <si>
    <t xml:space="preserve">038052004547</t>
  </si>
  <si>
    <t xml:space="preserve">CD0206</t>
  </si>
  <si>
    <t xml:space="preserve">Nguyễn Tường Minh</t>
  </si>
  <si>
    <t xml:space="preserve">CD0207</t>
  </si>
  <si>
    <t xml:space="preserve">Trần Thị Thanh Loan</t>
  </si>
  <si>
    <t xml:space="preserve">CD0208</t>
  </si>
  <si>
    <t xml:space="preserve">Nguyễn Cẩm Thu</t>
  </si>
  <si>
    <t xml:space="preserve">CD0209</t>
  </si>
  <si>
    <t xml:space="preserve">Nguyễn Thái Tú</t>
  </si>
  <si>
    <t xml:space="preserve">026203002641</t>
  </si>
  <si>
    <t xml:space="preserve">CD0210</t>
  </si>
  <si>
    <t xml:space="preserve">Cao Thế Thiên</t>
  </si>
  <si>
    <t xml:space="preserve">CD0211</t>
  </si>
  <si>
    <t xml:space="preserve">Cao Thế An</t>
  </si>
  <si>
    <t xml:space="preserve">CD0212</t>
  </si>
  <si>
    <t xml:space="preserve">Nguyễn Hạc Linh Đan</t>
  </si>
  <si>
    <t xml:space="preserve">CD0213</t>
  </si>
  <si>
    <t xml:space="preserve">Nguyễn Tiến Thanh</t>
  </si>
  <si>
    <t xml:space="preserve">CD0214</t>
  </si>
  <si>
    <t xml:space="preserve">Sùng Thị Xuân</t>
  </si>
  <si>
    <t xml:space="preserve">CD0215</t>
  </si>
  <si>
    <t xml:space="preserve">Nguyễn Tiến Phúc</t>
  </si>
  <si>
    <t xml:space="preserve">CD0216</t>
  </si>
  <si>
    <t xml:space="preserve">Nguyễn Thị Bằng</t>
  </si>
  <si>
    <t xml:space="preserve">004154000019</t>
  </si>
  <si>
    <t xml:space="preserve">CD0217</t>
  </si>
  <si>
    <t xml:space="preserve">Phạm Hữu Nam</t>
  </si>
  <si>
    <t xml:space="preserve">036048000062</t>
  </si>
  <si>
    <t xml:space="preserve">CD0218</t>
  </si>
  <si>
    <t xml:space="preserve">Phạm Hữu Tri</t>
  </si>
  <si>
    <t xml:space="preserve">036026002886</t>
  </si>
  <si>
    <t xml:space="preserve">Đã mất</t>
  </si>
  <si>
    <t xml:space="preserve">CD0219</t>
  </si>
  <si>
    <t xml:space="preserve">Phạm Quang Hưng</t>
  </si>
  <si>
    <t xml:space="preserve">CD0220</t>
  </si>
  <si>
    <t xml:space="preserve">Lê Thị Hoàng Linh</t>
  </si>
  <si>
    <t xml:space="preserve">040188001397</t>
  </si>
  <si>
    <t xml:space="preserve">Giáo viên</t>
  </si>
  <si>
    <t xml:space="preserve">CD0221</t>
  </si>
  <si>
    <t xml:space="preserve">Phạm Lê Huyền Anh</t>
  </si>
  <si>
    <t xml:space="preserve">CD0222</t>
  </si>
  <si>
    <t xml:space="preserve">Phạm Minh Khôi</t>
  </si>
  <si>
    <t xml:space="preserve">CD0223</t>
  </si>
  <si>
    <t xml:space="preserve">Phạm Minh Khoa</t>
  </si>
  <si>
    <t xml:space="preserve">CD0224</t>
  </si>
  <si>
    <t xml:space="preserve">Nguyễn Thị Thanh Quang</t>
  </si>
  <si>
    <t xml:space="preserve">001145017085</t>
  </si>
  <si>
    <t xml:space="preserve">CD0225</t>
  </si>
  <si>
    <t xml:space="preserve">Hoàng Văn Ngọc</t>
  </si>
  <si>
    <t xml:space="preserve">001040002400</t>
  </si>
  <si>
    <t xml:space="preserve">CD0226</t>
  </si>
  <si>
    <t xml:space="preserve">Hoàng Thị Thanh Mai</t>
  </si>
  <si>
    <t xml:space="preserve">CD0227</t>
  </si>
  <si>
    <t xml:space="preserve">Lương Quang Huy</t>
  </si>
  <si>
    <t xml:space="preserve">CD0228</t>
  </si>
  <si>
    <t xml:space="preserve">Lương Nguyệt Minh</t>
  </si>
  <si>
    <t xml:space="preserve">232308000014</t>
  </si>
  <si>
    <t xml:space="preserve">CD0229</t>
  </si>
  <si>
    <t xml:space="preserve">Lương Uyên Thi</t>
  </si>
  <si>
    <t xml:space="preserve">CD0230</t>
  </si>
  <si>
    <t xml:space="preserve">Hoàng Bích Ngọc</t>
  </si>
  <si>
    <t xml:space="preserve">CD0231</t>
  </si>
  <si>
    <t xml:space="preserve">Nguyễn Bảo Long</t>
  </si>
  <si>
    <t xml:space="preserve">CD0232</t>
  </si>
  <si>
    <t xml:space="preserve">Nguyễn Ngọc Loan</t>
  </si>
  <si>
    <t xml:space="preserve">Có thể trùng với CD0144 (cùng tên, cùng năm sinh)</t>
  </si>
  <si>
    <t xml:space="preserve">CD0233</t>
  </si>
  <si>
    <t xml:space="preserve">Nguyễn Thị Trúc</t>
  </si>
  <si>
    <t xml:space="preserve">001151003903</t>
  </si>
  <si>
    <t xml:space="preserve">CD0234</t>
  </si>
  <si>
    <t xml:space="preserve">Nguyễn Đắc Dương</t>
  </si>
  <si>
    <t xml:space="preserve">Năm sinh 1972 khác ngày sinh 11/07/1975</t>
  </si>
  <si>
    <t xml:space="preserve">CD0235</t>
  </si>
  <si>
    <t xml:space="preserve">Nguyễn Thị Tươi</t>
  </si>
  <si>
    <t xml:space="preserve">027172000330</t>
  </si>
  <si>
    <t xml:space="preserve">Năm sinh 1975 khác ngày sinh 06/01/1972; DS cử tri ghi ngày sinh 06/01/1972</t>
  </si>
  <si>
    <t xml:space="preserve">CD0236</t>
  </si>
  <si>
    <t xml:space="preserve">Nguyễn Minh Tâm</t>
  </si>
  <si>
    <t xml:space="preserve">CD0237</t>
  </si>
  <si>
    <t xml:space="preserve">Nguyễn Tố Hảo</t>
  </si>
  <si>
    <t xml:space="preserve">001304004874</t>
  </si>
  <si>
    <t xml:space="preserve">CD0238</t>
  </si>
  <si>
    <t xml:space="preserve">Nguyễn Đức Dương</t>
  </si>
  <si>
    <t xml:space="preserve">001075046313</t>
  </si>
  <si>
    <t xml:space="preserve">mất sức</t>
  </si>
  <si>
    <t xml:space="preserve">CD0239</t>
  </si>
  <si>
    <t xml:space="preserve">Trần Thúy Hồng</t>
  </si>
  <si>
    <t xml:space="preserve">033149001998</t>
  </si>
  <si>
    <t xml:space="preserve">CD0240</t>
  </si>
  <si>
    <t xml:space="preserve">Lê Văn Giám</t>
  </si>
  <si>
    <t xml:space="preserve">030040001446</t>
  </si>
  <si>
    <t xml:space="preserve">CD0241</t>
  </si>
  <si>
    <t xml:space="preserve">Lê Thành Trung</t>
  </si>
  <si>
    <t xml:space="preserve">001080026193</t>
  </si>
  <si>
    <t xml:space="preserve">Đã lấy tên theo DS cử tri; sổ cũ ghi: Lê Thanh Trung</t>
  </si>
  <si>
    <t xml:space="preserve">CD0242</t>
  </si>
  <si>
    <t xml:space="preserve">Tô Thị Minh Trang</t>
  </si>
  <si>
    <t xml:space="preserve">001181050603</t>
  </si>
  <si>
    <t xml:space="preserve">CD0243</t>
  </si>
  <si>
    <t xml:space="preserve">Lê Hoàng Đạt</t>
  </si>
  <si>
    <t xml:space="preserve">CD0244</t>
  </si>
  <si>
    <t xml:space="preserve">Lê Minh Quân</t>
  </si>
  <si>
    <t xml:space="preserve">CD0245</t>
  </si>
  <si>
    <t xml:space="preserve">Lê Minh Đức</t>
  </si>
  <si>
    <t xml:space="preserve">001083010508</t>
  </si>
  <si>
    <t xml:space="preserve">CD0246</t>
  </si>
  <si>
    <t xml:space="preserve">Nguyễn Thị Thu Tuyến</t>
  </si>
  <si>
    <t xml:space="preserve">033185003373</t>
  </si>
  <si>
    <t xml:space="preserve">CD0247</t>
  </si>
  <si>
    <t xml:space="preserve">Lê Minh Anh</t>
  </si>
  <si>
    <t xml:space="preserve">CD0248</t>
  </si>
  <si>
    <t xml:space="preserve">Lê Hồng Nhung</t>
  </si>
  <si>
    <t xml:space="preserve">CD0249</t>
  </si>
  <si>
    <t xml:space="preserve">0978080109</t>
  </si>
  <si>
    <t xml:space="preserve">CD0250</t>
  </si>
  <si>
    <t xml:space="preserve">CD0251</t>
  </si>
  <si>
    <t xml:space="preserve">Phạm Duy Việt</t>
  </si>
  <si>
    <t xml:space="preserve">CD0252</t>
  </si>
  <si>
    <t xml:space="preserve">Phạm Quang Long</t>
  </si>
  <si>
    <t xml:space="preserve">Sổ cư dân, Quân sự 2005, Bsung CDC</t>
  </si>
  <si>
    <t xml:space="preserve">CD0253</t>
  </si>
  <si>
    <t xml:space="preserve">Văn Như Lai</t>
  </si>
  <si>
    <t xml:space="preserve">001041002463</t>
  </si>
  <si>
    <t xml:space="preserve">Sổ cư dân, DS cử tri, Bsung CDC</t>
  </si>
  <si>
    <t xml:space="preserve">CD0254</t>
  </si>
  <si>
    <t xml:space="preserve">Vũ Thị Nhâm</t>
  </si>
  <si>
    <t xml:space="preserve">038145002320</t>
  </si>
  <si>
    <t xml:space="preserve">CD0255</t>
  </si>
  <si>
    <t xml:space="preserve">Văn Đức Chung</t>
  </si>
  <si>
    <t xml:space="preserve">001073013716</t>
  </si>
  <si>
    <t xml:space="preserve">CD0256</t>
  </si>
  <si>
    <t xml:space="preserve">Vũ Thị Vi</t>
  </si>
  <si>
    <t xml:space="preserve">034174001824</t>
  </si>
  <si>
    <t xml:space="preserve">CD0257</t>
  </si>
  <si>
    <t xml:space="preserve">Văn Thị Thu Hương</t>
  </si>
  <si>
    <t xml:space="preserve">001180035338</t>
  </si>
  <si>
    <t xml:space="preserve">Đã lấy ngày sinh theo DS cử tri; sổ cũ ghi: 28/08/1980; Bsung CDC ghi ngày sinh 28/08/1980</t>
  </si>
  <si>
    <t xml:space="preserve">CD0258</t>
  </si>
  <si>
    <t xml:space="preserve">Văn Vũ Phương Thảo</t>
  </si>
  <si>
    <t xml:space="preserve">001302002582</t>
  </si>
  <si>
    <t xml:space="preserve">Đã lấy ngày sinh theo DS cử tri; sổ cũ ghi: 26/02/2002; Quân sự 2005 ghi ngày sinh 26/02/2002</t>
  </si>
  <si>
    <t xml:space="preserve">CD0259</t>
  </si>
  <si>
    <t xml:space="preserve">Văn Vũ Đức Hùng</t>
  </si>
  <si>
    <t xml:space="preserve">001099036535</t>
  </si>
  <si>
    <t xml:space="preserve">Đã lấy ngày sinh theo DS cử tri; sổ cũ ghi: 08/01/1999; Quân sự 2005 ghi ngày sinh 08/01/1999</t>
  </si>
  <si>
    <t xml:space="preserve">CD0260</t>
  </si>
  <si>
    <t xml:space="preserve">Nguyễn Vũ Gia Bảo</t>
  </si>
  <si>
    <t xml:space="preserve">001208061749</t>
  </si>
  <si>
    <t xml:space="preserve">CD0261</t>
  </si>
  <si>
    <t xml:space="preserve">Nguyễn Vũ Bảo Phúc</t>
  </si>
  <si>
    <t xml:space="preserve">CD0262</t>
  </si>
  <si>
    <t xml:space="preserve">Phạm Văn Hà</t>
  </si>
  <si>
    <t xml:space="preserve">001081019600</t>
  </si>
  <si>
    <t xml:space="preserve">0976117610</t>
  </si>
  <si>
    <t xml:space="preserve">CD0263</t>
  </si>
  <si>
    <t xml:space="preserve">Nguyễn Phương Thúy</t>
  </si>
  <si>
    <t xml:space="preserve">001183013161</t>
  </si>
  <si>
    <t xml:space="preserve">Đã lấy ngày sinh theo DS cử tri; sổ cũ ghi: 04/10/1983; Bsung CDC ghi ngày sinh 04/10/1983</t>
  </si>
  <si>
    <t xml:space="preserve">CD0264</t>
  </si>
  <si>
    <t xml:space="preserve">Phạm Hà Anh</t>
  </si>
  <si>
    <t xml:space="preserve">CD0265</t>
  </si>
  <si>
    <t xml:space="preserve">Phạm Châm Anh</t>
  </si>
  <si>
    <t xml:space="preserve">CD0266</t>
  </si>
  <si>
    <t xml:space="preserve">Phạm Văn Tuấn</t>
  </si>
  <si>
    <t xml:space="preserve">001071006798</t>
  </si>
  <si>
    <t xml:space="preserve">0986544634</t>
  </si>
  <si>
    <t xml:space="preserve">CD0267</t>
  </si>
  <si>
    <t xml:space="preserve">Đỗ Thị Nhường</t>
  </si>
  <si>
    <t xml:space="preserve">001174041815</t>
  </si>
  <si>
    <t xml:space="preserve">CD0268</t>
  </si>
  <si>
    <t xml:space="preserve">Phạm Văn Cảnh</t>
  </si>
  <si>
    <t xml:space="preserve">001097043508</t>
  </si>
  <si>
    <t xml:space="preserve">Sổ cư dân, DS cử tri, Quân sự 2005, Bsung CDC</t>
  </si>
  <si>
    <t xml:space="preserve">CD0269</t>
  </si>
  <si>
    <t xml:space="preserve">Phạm Văn Hoằng</t>
  </si>
  <si>
    <t xml:space="preserve">001200018175</t>
  </si>
  <si>
    <t xml:space="preserve">CD0270</t>
  </si>
  <si>
    <t xml:space="preserve">Phạm Sỹ Tú</t>
  </si>
  <si>
    <t xml:space="preserve">033035000423</t>
  </si>
  <si>
    <t xml:space="preserve">2438693292</t>
  </si>
  <si>
    <t xml:space="preserve">Đã lấy tên theo DS cử tri; sổ cũ ghi: Phạm Sĩ Tú</t>
  </si>
  <si>
    <t xml:space="preserve">CD0271</t>
  </si>
  <si>
    <t xml:space="preserve">Phạm Minh Uyên</t>
  </si>
  <si>
    <t xml:space="preserve">001172020526</t>
  </si>
  <si>
    <t xml:space="preserve">CD0272</t>
  </si>
  <si>
    <t xml:space="preserve">Trần Xuân Hà</t>
  </si>
  <si>
    <t xml:space="preserve">035074004119</t>
  </si>
  <si>
    <t xml:space="preserve">Đã lấy ngày sinh theo DS cử tri; sổ cũ ghi: 01/01/1974; Bsung CDC ghi ngày sinh 01/01/1974</t>
  </si>
  <si>
    <t xml:space="preserve">CD0273</t>
  </si>
  <si>
    <t xml:space="preserve">Trần Anh Hà</t>
  </si>
  <si>
    <t xml:space="preserve">001208010875</t>
  </si>
  <si>
    <t xml:space="preserve">Đã lấy ngày sinh theo DS cử tri; sổ cũ ghi: 03/01/2008; Quân sự 2005 ghi ngày sinh 03/01/2008; Giới tính khác Quân sự 2005 (Nữ); Bsung CDC ghi ngày sinh 03/01/2008; Quân sự 2005 ghi tên: Trần Hà Anh</t>
  </si>
  <si>
    <t xml:space="preserve">CD0274</t>
  </si>
  <si>
    <t xml:space="preserve">Trần Minh Khánh</t>
  </si>
  <si>
    <t xml:space="preserve">CD0275</t>
  </si>
  <si>
    <t xml:space="preserve">Phạm Minh Tuấn</t>
  </si>
  <si>
    <t xml:space="preserve">035066002173</t>
  </si>
  <si>
    <t xml:space="preserve">0912126633</t>
  </si>
  <si>
    <t xml:space="preserve">DS cử tri ghi ngày sinh 03/03/1966</t>
  </si>
  <si>
    <t xml:space="preserve">CD0276</t>
  </si>
  <si>
    <t xml:space="preserve">Đặng Thị Hồng Vân</t>
  </si>
  <si>
    <t xml:space="preserve">CD0277</t>
  </si>
  <si>
    <t xml:space="preserve">Phạm Minh Đức</t>
  </si>
  <si>
    <t xml:space="preserve">CD0278</t>
  </si>
  <si>
    <t xml:space="preserve">Phạm Minh Nghĩa</t>
  </si>
  <si>
    <t xml:space="preserve">001202017286</t>
  </si>
  <si>
    <t xml:space="preserve">Đã lấy ngày sinh theo DS cử tri; sổ cũ ghi: 17/11/2002; Quân sự 2005 ghi ngày sinh 17/11/2002; Bsung CDC ghi ngày sinh 17/11/2002</t>
  </si>
  <si>
    <t xml:space="preserve">CD0279</t>
  </si>
  <si>
    <t xml:space="preserve">Nguyễn Thị Thu Hà</t>
  </si>
  <si>
    <t xml:space="preserve">001144004491</t>
  </si>
  <si>
    <t xml:space="preserve">0816053083</t>
  </si>
  <si>
    <t xml:space="preserve">CD0280</t>
  </si>
  <si>
    <t xml:space="preserve">Nguyễn Thiện Hoàng</t>
  </si>
  <si>
    <t xml:space="preserve">001076028997</t>
  </si>
  <si>
    <t xml:space="preserve">CD0281</t>
  </si>
  <si>
    <t xml:space="preserve">Nguyễn Thu Hiền</t>
  </si>
  <si>
    <t xml:space="preserve">CD0282</t>
  </si>
  <si>
    <t xml:space="preserve">Lê Văn Phúc</t>
  </si>
  <si>
    <t xml:space="preserve">CD0283</t>
  </si>
  <si>
    <t xml:space="preserve">Lê Minh Vũ</t>
  </si>
  <si>
    <t xml:space="preserve">Thiếu năm sinh; Có thể trùng với CD0338 (cùng tên, cùng năm sinh)</t>
  </si>
  <si>
    <t xml:space="preserve">CD0284</t>
  </si>
  <si>
    <t xml:space="preserve">Nguyễn Ngọc Linh</t>
  </si>
  <si>
    <t xml:space="preserve">hộ mới</t>
  </si>
  <si>
    <t xml:space="preserve">Thiếu năm sinh; Có thể trùng với CD0339 (cùng tên, cùng năm sinh)</t>
  </si>
  <si>
    <t xml:space="preserve">CD0285</t>
  </si>
  <si>
    <t xml:space="preserve">Lê Khoa Bách</t>
  </si>
  <si>
    <t xml:space="preserve">Thiếu năm sinh; Có thể trùng với CD0340 (cùng tên, cùng năm sinh)</t>
  </si>
  <si>
    <t xml:space="preserve">CD0286</t>
  </si>
  <si>
    <t xml:space="preserve">Lưu Thị Lan Anh</t>
  </si>
  <si>
    <t xml:space="preserve">038175037262</t>
  </si>
  <si>
    <t xml:space="preserve">về hưu (1-2026) -Chi bộ</t>
  </si>
  <si>
    <t xml:space="preserve">Có thể trùng với CD0341 (cùng tên, cùng năm sinh)</t>
  </si>
  <si>
    <t xml:space="preserve">CD0287</t>
  </si>
  <si>
    <t xml:space="preserve">Trần Kim Quốc Tuấn</t>
  </si>
  <si>
    <t xml:space="preserve">001099041001</t>
  </si>
  <si>
    <t xml:space="preserve">CNTT</t>
  </si>
  <si>
    <t xml:space="preserve">Có thể trùng với CD0342 (cùng tên, cùng năm sinh)</t>
  </si>
  <si>
    <t xml:space="preserve">CD0288</t>
  </si>
  <si>
    <t xml:space="preserve">Nguyễn Thị Quế</t>
  </si>
  <si>
    <t xml:space="preserve">033154000994</t>
  </si>
  <si>
    <t xml:space="preserve">Đã lấy tên theo DS cử tri; sổ cũ ghi: Nguyễn Phương Quế</t>
  </si>
  <si>
    <t xml:space="preserve">CD0289</t>
  </si>
  <si>
    <t xml:space="preserve">Phạm Phúc Hải</t>
  </si>
  <si>
    <t xml:space="preserve">001046002176</t>
  </si>
  <si>
    <t xml:space="preserve">Đã lấy tên theo DS cử tri; sổ cũ ghi: Phạm Trần Phúc Hải</t>
  </si>
  <si>
    <t xml:space="preserve">CD0290</t>
  </si>
  <si>
    <t xml:space="preserve">Phạm Việt Hoàng Tùng</t>
  </si>
  <si>
    <t xml:space="preserve">001085036941</t>
  </si>
  <si>
    <t xml:space="preserve">DS cử tri ghi năm sinh 16/02/1984</t>
  </si>
  <si>
    <t xml:space="preserve">CD0291</t>
  </si>
  <si>
    <t xml:space="preserve">Lương Quỳnh Thương</t>
  </si>
  <si>
    <t xml:space="preserve">001192019213</t>
  </si>
  <si>
    <t xml:space="preserve">CD0292</t>
  </si>
  <si>
    <t xml:space="preserve">Phạm Tuấn Dương</t>
  </si>
  <si>
    <t xml:space="preserve">CD0293</t>
  </si>
  <si>
    <t xml:space="preserve">Phạm Bá Tùng</t>
  </si>
  <si>
    <t xml:space="preserve">001079008925</t>
  </si>
  <si>
    <t xml:space="preserve">CD0294</t>
  </si>
  <si>
    <t xml:space="preserve">Đặng Thị Mai</t>
  </si>
  <si>
    <t xml:space="preserve">015184001793</t>
  </si>
  <si>
    <t xml:space="preserve">CD0295</t>
  </si>
  <si>
    <t xml:space="preserve">Phạm Duy</t>
  </si>
  <si>
    <t xml:space="preserve">001206009969</t>
  </si>
  <si>
    <t xml:space="preserve">CD0296</t>
  </si>
  <si>
    <t xml:space="preserve">Phạm An</t>
  </si>
  <si>
    <t xml:space="preserve">001207013684</t>
  </si>
  <si>
    <t xml:space="preserve">CD0297</t>
  </si>
  <si>
    <t xml:space="preserve">Phùng Xuân An</t>
  </si>
  <si>
    <t xml:space="preserve">040069003393</t>
  </si>
  <si>
    <t xml:space="preserve">CD0298</t>
  </si>
  <si>
    <t xml:space="preserve">Đỗ Thị Bích Ngọc</t>
  </si>
  <si>
    <t xml:space="preserve">024178001576</t>
  </si>
  <si>
    <t xml:space="preserve">Đã lấy tên theo DS cử tri; sổ cũ ghi: Đỗ Bích Ngọc</t>
  </si>
  <si>
    <t xml:space="preserve">CD0299</t>
  </si>
  <si>
    <t xml:space="preserve">Phùng Châu Anh 15/06/2005</t>
  </si>
  <si>
    <t xml:space="preserve">CD0300</t>
  </si>
  <si>
    <t xml:space="preserve">Phùng Mỹ Hạnh 18/11/2012</t>
  </si>
  <si>
    <t xml:space="preserve">CD0301</t>
  </si>
  <si>
    <t xml:space="preserve">Nguyễn Xuân Khiêm</t>
  </si>
  <si>
    <t xml:space="preserve">001069002134</t>
  </si>
  <si>
    <t xml:space="preserve">Đã lấy ngày sinh theo DS cử tri; sổ cũ ghi: 26/03/1968</t>
  </si>
  <si>
    <t xml:space="preserve">CD0302</t>
  </si>
  <si>
    <t xml:space="preserve">Lê Thị Thoa</t>
  </si>
  <si>
    <t xml:space="preserve">001174014919</t>
  </si>
  <si>
    <t xml:space="preserve">CD0303</t>
  </si>
  <si>
    <t xml:space="preserve">Nguyễn Lê Hà Chi</t>
  </si>
  <si>
    <t xml:space="preserve">CD0304</t>
  </si>
  <si>
    <t xml:space="preserve">Nguyễn Lê Minh Ngọc</t>
  </si>
  <si>
    <t xml:space="preserve">001307013852</t>
  </si>
  <si>
    <t xml:space="preserve">CD0305</t>
  </si>
  <si>
    <t xml:space="preserve">Nguyễn Lê Nhật Quân</t>
  </si>
  <si>
    <t xml:space="preserve">CD0306</t>
  </si>
  <si>
    <t xml:space="preserve">Trần Đình Hải</t>
  </si>
  <si>
    <t xml:space="preserve">042068000027</t>
  </si>
  <si>
    <t xml:space="preserve">CD0307</t>
  </si>
  <si>
    <t xml:space="preserve">Trần Thị Vân</t>
  </si>
  <si>
    <t xml:space="preserve">036179000236</t>
  </si>
  <si>
    <t xml:space="preserve">CD0308</t>
  </si>
  <si>
    <t xml:space="preserve">Trần Đình Hoàng Hải</t>
  </si>
  <si>
    <t xml:space="preserve">001200006234</t>
  </si>
  <si>
    <t xml:space="preserve">CD0309</t>
  </si>
  <si>
    <t xml:space="preserve">Trần Đình Nguyên Hải</t>
  </si>
  <si>
    <t xml:space="preserve">001204004824</t>
  </si>
  <si>
    <t xml:space="preserve">CD0310</t>
  </si>
  <si>
    <t xml:space="preserve">Phạm Thanh Nam</t>
  </si>
  <si>
    <t xml:space="preserve">036087014275</t>
  </si>
  <si>
    <t xml:space="preserve">CD0311</t>
  </si>
  <si>
    <t xml:space="preserve">Trần Thị Huê</t>
  </si>
  <si>
    <t xml:space="preserve">036187013688</t>
  </si>
  <si>
    <t xml:space="preserve">CD0312</t>
  </si>
  <si>
    <t xml:space="preserve">Trần Thị Diệu Anh</t>
  </si>
  <si>
    <t xml:space="preserve">036306002788</t>
  </si>
  <si>
    <t xml:space="preserve">CD0313</t>
  </si>
  <si>
    <t xml:space="preserve">Đinh Xuân Bái</t>
  </si>
  <si>
    <t xml:space="preserve">036048002993</t>
  </si>
  <si>
    <t xml:space="preserve">CD0314</t>
  </si>
  <si>
    <t xml:space="preserve">Đào Thị Nghiêm</t>
  </si>
  <si>
    <t xml:space="preserve">001153001770</t>
  </si>
  <si>
    <t xml:space="preserve">CD0315</t>
  </si>
  <si>
    <t xml:space="preserve">Đinh Thị Bảo Trang</t>
  </si>
  <si>
    <t xml:space="preserve">CD0316</t>
  </si>
  <si>
    <t xml:space="preserve">Lê Tùng Lâm</t>
  </si>
  <si>
    <t xml:space="preserve">CD0317</t>
  </si>
  <si>
    <t xml:space="preserve">Đinh Thị Hương Giang</t>
  </si>
  <si>
    <t xml:space="preserve">CD0318</t>
  </si>
  <si>
    <t xml:space="preserve">Nguyễn Hạnh Minh</t>
  </si>
  <si>
    <t xml:space="preserve">CD0319</t>
  </si>
  <si>
    <t xml:space="preserve">Nguyễn Huy Khôi</t>
  </si>
  <si>
    <t xml:space="preserve">CD0320</t>
  </si>
  <si>
    <t xml:space="preserve">Nguyễn Duy Chính</t>
  </si>
  <si>
    <t xml:space="preserve">019061004418</t>
  </si>
  <si>
    <t xml:space="preserve">CD0321</t>
  </si>
  <si>
    <t xml:space="preserve">Nguyễn Thị Kim Dung</t>
  </si>
  <si>
    <t xml:space="preserve">001161005220</t>
  </si>
  <si>
    <t xml:space="preserve">CD0322</t>
  </si>
  <si>
    <t xml:space="preserve">Nguyễn Thành Thái</t>
  </si>
  <si>
    <t xml:space="preserve">001096000427</t>
  </si>
  <si>
    <t xml:space="preserve">CD0323</t>
  </si>
  <si>
    <t xml:space="preserve">Tạ Văn Thuận</t>
  </si>
  <si>
    <t xml:space="preserve">033084015782</t>
  </si>
  <si>
    <t xml:space="preserve">CD0324</t>
  </si>
  <si>
    <t xml:space="preserve">Mai Thị Tươi</t>
  </si>
  <si>
    <t xml:space="preserve">033189012293</t>
  </si>
  <si>
    <t xml:space="preserve">hộ mới =2026</t>
  </si>
  <si>
    <t xml:space="preserve">CD0325</t>
  </si>
  <si>
    <t xml:space="preserve">Tạ Mai Hương</t>
  </si>
  <si>
    <t xml:space="preserve">CD0326</t>
  </si>
  <si>
    <t xml:space="preserve">Tạ Thanh Tùng</t>
  </si>
  <si>
    <t xml:space="preserve">CD0327</t>
  </si>
  <si>
    <t xml:space="preserve">Đỗ Thị Thúy</t>
  </si>
  <si>
    <t xml:space="preserve">001148007911</t>
  </si>
  <si>
    <t xml:space="preserve">CD0328</t>
  </si>
  <si>
    <t xml:space="preserve">Đổng Trọng Long</t>
  </si>
  <si>
    <t xml:space="preserve">001076009590</t>
  </si>
  <si>
    <t xml:space="preserve">KTS</t>
  </si>
  <si>
    <t xml:space="preserve">Đã lấy ngày sinh theo DS cử tri; sổ cũ ghi: 12/08/1976</t>
  </si>
  <si>
    <t xml:space="preserve">CD0329</t>
  </si>
  <si>
    <t xml:space="preserve">Nguyễn Hồng Vân</t>
  </si>
  <si>
    <t xml:space="preserve">CD0330</t>
  </si>
  <si>
    <t xml:space="preserve">Đổng Trung Kiên</t>
  </si>
  <si>
    <t xml:space="preserve">Quân sự 2005 ghi tên: Đổng Trong Kiên</t>
  </si>
  <si>
    <t xml:space="preserve">CD0331</t>
  </si>
  <si>
    <t xml:space="preserve">Đổng Trung Quân</t>
  </si>
  <si>
    <t xml:space="preserve">CD0332</t>
  </si>
  <si>
    <t xml:space="preserve">Đổng Thành Trung</t>
  </si>
  <si>
    <t xml:space="preserve">CD0333</t>
  </si>
  <si>
    <t xml:space="preserve">Đổng Thị Phượng</t>
  </si>
  <si>
    <t xml:space="preserve">001174028491</t>
  </si>
  <si>
    <t xml:space="preserve">CD0334</t>
  </si>
  <si>
    <t xml:space="preserve">Nguyễn Minh Hà</t>
  </si>
  <si>
    <t xml:space="preserve">001300010742</t>
  </si>
  <si>
    <t xml:space="preserve">Giới tính khác DS cử tri (Nam)</t>
  </si>
  <si>
    <t xml:space="preserve">CD0335</t>
  </si>
  <si>
    <t xml:space="preserve">Nguyễn Hà Hiền Anh</t>
  </si>
  <si>
    <t xml:space="preserve">CD0336</t>
  </si>
  <si>
    <t xml:space="preserve">Đỗ Thị Việt Nga</t>
  </si>
  <si>
    <t xml:space="preserve">027171000429</t>
  </si>
  <si>
    <t xml:space="preserve">Đã lấy tên theo DS cử tri; sổ cũ ghi: Đỗ Việt Nga</t>
  </si>
  <si>
    <t xml:space="preserve">CD0337</t>
  </si>
  <si>
    <t xml:space="preserve">Lê Trung Thành</t>
  </si>
  <si>
    <t xml:space="preserve">Mai</t>
  </si>
  <si>
    <t xml:space="preserve">CD0338</t>
  </si>
  <si>
    <t xml:space="preserve">Lê Phương Hà</t>
  </si>
  <si>
    <t xml:space="preserve">001302013212</t>
  </si>
  <si>
    <t xml:space="preserve">Có thể trùng với CD0283 (cùng tên, cùng năm sinh)</t>
  </si>
  <si>
    <t xml:space="preserve">CD0339</t>
  </si>
  <si>
    <t xml:space="preserve">Lê Việt Dũng</t>
  </si>
  <si>
    <t xml:space="preserve">001099037729</t>
  </si>
  <si>
    <t xml:space="preserve">Có thể trùng với CD0284 (cùng tên, cùng năm sinh)</t>
  </si>
  <si>
    <t xml:space="preserve">CD0340</t>
  </si>
  <si>
    <t xml:space="preserve">Thân Thị Hiền</t>
  </si>
  <si>
    <t xml:space="preserve">024199003356</t>
  </si>
  <si>
    <t xml:space="preserve">Có thể trùng với CD0285 (cùng tên, cùng năm sinh)</t>
  </si>
  <si>
    <t xml:space="preserve">CD0341</t>
  </si>
  <si>
    <t xml:space="preserve">Đỗ Nhật Anh</t>
  </si>
  <si>
    <t xml:space="preserve">Có thể trùng với CD0286 (cùng tên, cùng năm sinh)</t>
  </si>
  <si>
    <t xml:space="preserve">CD0342</t>
  </si>
  <si>
    <t xml:space="preserve">Đỗ Minh Đức</t>
  </si>
  <si>
    <t xml:space="preserve">Có thể trùng với CD0287 (cùng tên, cùng năm sinh)</t>
  </si>
  <si>
    <t xml:space="preserve">CD0343</t>
  </si>
  <si>
    <t xml:space="preserve">Nguyễn Thị Bích Xuyến</t>
  </si>
  <si>
    <t xml:space="preserve">CD0344</t>
  </si>
  <si>
    <t xml:space="preserve">Đỗ Việt Anh</t>
  </si>
  <si>
    <t xml:space="preserve">Năm sinh 1974 khác ngày sinh 01/01/1988</t>
  </si>
  <si>
    <t xml:space="preserve">CD0345</t>
  </si>
  <si>
    <t xml:space="preserve">Đỗ Trà My</t>
  </si>
  <si>
    <t xml:space="preserve">CD0346</t>
  </si>
  <si>
    <t xml:space="preserve">Đỗ Nhật Minh</t>
  </si>
  <si>
    <t xml:space="preserve">CD0347</t>
  </si>
  <si>
    <t xml:space="preserve">Vũ Thị Minh</t>
  </si>
  <si>
    <t xml:space="preserve">CD0348</t>
  </si>
  <si>
    <t xml:space="preserve">Lê Thị Thanh Hằng</t>
  </si>
  <si>
    <t xml:space="preserve">CD0349</t>
  </si>
  <si>
    <t xml:space="preserve">Đỗ Minh Kiên</t>
  </si>
  <si>
    <t xml:space="preserve">CD0350</t>
  </si>
  <si>
    <t xml:space="preserve">Đỗ Quốc Hiếu</t>
  </si>
  <si>
    <t xml:space="preserve">CD0351</t>
  </si>
  <si>
    <t xml:space="preserve">Lê Thị Thanh Nga</t>
  </si>
  <si>
    <t xml:space="preserve">CD0352</t>
  </si>
  <si>
    <t xml:space="preserve">CD0353</t>
  </si>
  <si>
    <t xml:space="preserve">Lê Minh Bảo Khánh</t>
  </si>
  <si>
    <t xml:space="preserve">CD0354</t>
  </si>
  <si>
    <t xml:space="preserve">Nguyễn Thị Minh</t>
  </si>
  <si>
    <t xml:space="preserve">001146003646</t>
  </si>
  <si>
    <t xml:space="preserve">Đã lấy ngày sinh theo DS cử tri; sổ cũ ghi: 03/05/1946</t>
  </si>
  <si>
    <t xml:space="preserve">CD0355</t>
  </si>
  <si>
    <t xml:space="preserve">Phạm Vũ Thảo</t>
  </si>
  <si>
    <t xml:space="preserve">001038006491</t>
  </si>
  <si>
    <t xml:space="preserve">Đã lấy ngày sinh theo DS cử tri; sổ cũ ghi: 09/04/1936</t>
  </si>
  <si>
    <t xml:space="preserve">CD0356</t>
  </si>
  <si>
    <t xml:space="preserve">Phạm Vũ Toản</t>
  </si>
  <si>
    <t xml:space="preserve">001071025607</t>
  </si>
  <si>
    <t xml:space="preserve">CD0357</t>
  </si>
  <si>
    <t xml:space="preserve">Nguyễn Thị Hồng Linh</t>
  </si>
  <si>
    <t xml:space="preserve">024172000087</t>
  </si>
  <si>
    <t xml:space="preserve">CD0358</t>
  </si>
  <si>
    <t xml:space="preserve">Phạm Vũ Nguyên</t>
  </si>
  <si>
    <t xml:space="preserve">001202015087</t>
  </si>
  <si>
    <t xml:space="preserve">CD0359</t>
  </si>
  <si>
    <t xml:space="preserve">Phạm Vũ Đăng</t>
  </si>
  <si>
    <t xml:space="preserve">001207000209</t>
  </si>
  <si>
    <t xml:space="preserve">CD0360</t>
  </si>
  <si>
    <t xml:space="preserve">CD0361</t>
  </si>
  <si>
    <t xml:space="preserve">CD0362</t>
  </si>
  <si>
    <t xml:space="preserve">CD0363</t>
  </si>
  <si>
    <t xml:space="preserve">CD0364</t>
  </si>
  <si>
    <t xml:space="preserve">CD0365</t>
  </si>
  <si>
    <t xml:space="preserve">Ngô Thị Nga</t>
  </si>
  <si>
    <t xml:space="preserve">001149005648</t>
  </si>
  <si>
    <t xml:space="preserve">CD0366</t>
  </si>
  <si>
    <t xml:space="preserve">Phạm Đình Cương</t>
  </si>
  <si>
    <t xml:space="preserve">001047004859</t>
  </si>
  <si>
    <t xml:space="preserve">Đã lấy tên theo DS cử tri; sổ cũ ghi: Phạm Đình Cường</t>
  </si>
  <si>
    <t xml:space="preserve">CD0367</t>
  </si>
  <si>
    <t xml:space="preserve">Phạm Đình Phương</t>
  </si>
  <si>
    <t xml:space="preserve">CD0368</t>
  </si>
  <si>
    <t xml:space="preserve">Phạm Cẩm Nhung</t>
  </si>
  <si>
    <t xml:space="preserve">CD0369</t>
  </si>
  <si>
    <t xml:space="preserve">Phạm Hiền Anh</t>
  </si>
  <si>
    <t xml:space="preserve">CD0370</t>
  </si>
  <si>
    <t xml:space="preserve">Phạm Đình Phương Nam</t>
  </si>
  <si>
    <t xml:space="preserve">CD0371</t>
  </si>
  <si>
    <t xml:space="preserve">Đặng Bảo Lâm</t>
  </si>
  <si>
    <t xml:space="preserve">001072092544</t>
  </si>
  <si>
    <t xml:space="preserve">0904359359</t>
  </si>
  <si>
    <t xml:space="preserve">CD0372</t>
  </si>
  <si>
    <t xml:space="preserve">Nguyễn Thị Thúy Nga</t>
  </si>
  <si>
    <t xml:space="preserve">031175019714</t>
  </si>
  <si>
    <t xml:space="preserve">0903288945</t>
  </si>
  <si>
    <t xml:space="preserve">Tên khác Bsung CDC: Ngô Thị Thúy Nga; Bsung CDC ghi ngày sinh 24/10/1975</t>
  </si>
  <si>
    <t xml:space="preserve">CD0373</t>
  </si>
  <si>
    <t xml:space="preserve">001149011412</t>
  </si>
  <si>
    <t xml:space="preserve">0988905506</t>
  </si>
  <si>
    <t xml:space="preserve">Năm sinh 1947 khác ngày sinh 01/02/1949; DS cử tri ghi ngày sinh 02/01/1949; Tên khác Bsung CDC: Phạm T. Lan Hương</t>
  </si>
  <si>
    <t xml:space="preserve">CD0374</t>
  </si>
  <si>
    <t xml:space="preserve">Đặng Bảo Minh</t>
  </si>
  <si>
    <t xml:space="preserve">CD0375</t>
  </si>
  <si>
    <t xml:space="preserve">Trần Lê Phương</t>
  </si>
  <si>
    <t xml:space="preserve">001161018526</t>
  </si>
  <si>
    <t xml:space="preserve">Đã lấy tên theo DS cử tri; sổ cũ ghi: Trần Lệ Phương; Tên khác Bsung CDC: Trần Thị Lệ Phương</t>
  </si>
  <si>
    <t xml:space="preserve">CD0376</t>
  </si>
  <si>
    <t xml:space="preserve">Lê Thị Vân Nương</t>
  </si>
  <si>
    <t xml:space="preserve">001149008807</t>
  </si>
  <si>
    <t xml:space="preserve">CD0377</t>
  </si>
  <si>
    <t xml:space="preserve">Nguyễn Thái Phương</t>
  </si>
  <si>
    <t xml:space="preserve">001072022132</t>
  </si>
  <si>
    <t xml:space="preserve">CD0378</t>
  </si>
  <si>
    <t xml:space="preserve">Nguyễn Thu Hương</t>
  </si>
  <si>
    <t xml:space="preserve">001301006815</t>
  </si>
  <si>
    <t xml:space="preserve">CD0379</t>
  </si>
  <si>
    <t xml:space="preserve">Nguyễn Thái Dương</t>
  </si>
  <si>
    <t xml:space="preserve">001205014972</t>
  </si>
  <si>
    <t xml:space="preserve">CD0380</t>
  </si>
  <si>
    <t xml:space="preserve">Nguyễn Thị Việt Hưng</t>
  </si>
  <si>
    <t xml:space="preserve">001156014249</t>
  </si>
  <si>
    <t xml:space="preserve">Đã lấy ngày sinh theo DS cử tri; sổ cũ ghi: 19/05/1951</t>
  </si>
  <si>
    <t xml:space="preserve">CD0381</t>
  </si>
  <si>
    <t xml:space="preserve">Nguyễn Diễm Thanh</t>
  </si>
  <si>
    <t xml:space="preserve">001183005010</t>
  </si>
  <si>
    <t xml:space="preserve">CD0382</t>
  </si>
  <si>
    <t xml:space="preserve">Đào Việt Dũng</t>
  </si>
  <si>
    <t xml:space="preserve">001082012775</t>
  </si>
  <si>
    <t xml:space="preserve">CD0383</t>
  </si>
  <si>
    <t xml:space="preserve">Đào Nguyễn An Chi</t>
  </si>
  <si>
    <t xml:space="preserve">CD0384</t>
  </si>
  <si>
    <t xml:space="preserve">Đào Nguyễn An Vy</t>
  </si>
  <si>
    <t xml:space="preserve">CD0385</t>
  </si>
  <si>
    <t xml:space="preserve">Trần Quyết Thắng</t>
  </si>
  <si>
    <t xml:space="preserve">017076000016</t>
  </si>
  <si>
    <t xml:space="preserve">DS cử tri ghi năm sinh 08/03/1977</t>
  </si>
  <si>
    <t xml:space="preserve">CD0386</t>
  </si>
  <si>
    <t xml:space="preserve">Trần Khánh Thy</t>
  </si>
  <si>
    <t xml:space="preserve">0989996588</t>
  </si>
  <si>
    <t xml:space="preserve">CD0387</t>
  </si>
  <si>
    <t xml:space="preserve">Trần Khôi Nguyên</t>
  </si>
  <si>
    <t xml:space="preserve">CD0388</t>
  </si>
  <si>
    <t xml:space="preserve">Kiều Thu Trang</t>
  </si>
  <si>
    <t xml:space="preserve">001188046489</t>
  </si>
  <si>
    <t xml:space="preserve">0926021988</t>
  </si>
  <si>
    <t xml:space="preserve">CD0389</t>
  </si>
  <si>
    <t xml:space="preserve">Nguyễn Thiện Hoàng Dương</t>
  </si>
  <si>
    <t xml:space="preserve">025088016514</t>
  </si>
  <si>
    <t xml:space="preserve">CD0390</t>
  </si>
  <si>
    <t xml:space="preserve">Nguyễn Hoàng Minh Tuệ</t>
  </si>
  <si>
    <t xml:space="preserve">CD0391</t>
  </si>
  <si>
    <t xml:space="preserve">Nguyễn Kiều Tú Vy</t>
  </si>
  <si>
    <t xml:space="preserve">CD0392</t>
  </si>
  <si>
    <t xml:space="preserve">Lê Thị Thanh Bình</t>
  </si>
  <si>
    <t xml:space="preserve">001154011931</t>
  </si>
  <si>
    <t xml:space="preserve">CD0393</t>
  </si>
  <si>
    <t xml:space="preserve">Trần Xuân Hồng</t>
  </si>
  <si>
    <t xml:space="preserve">040054000104</t>
  </si>
  <si>
    <t xml:space="preserve">CD0394</t>
  </si>
  <si>
    <t xml:space="preserve">Hoàng Mạnh Hà</t>
  </si>
  <si>
    <t xml:space="preserve">CD0395</t>
  </si>
  <si>
    <t xml:space="preserve">Trần Thị Quỳnh Hoa</t>
  </si>
  <si>
    <t xml:space="preserve">001182054443</t>
  </si>
  <si>
    <t xml:space="preserve">CD0396</t>
  </si>
  <si>
    <t xml:space="preserve">Hoàng Tuấn Phong</t>
  </si>
  <si>
    <t xml:space="preserve">CD0397</t>
  </si>
  <si>
    <t xml:space="preserve">Hoàng Tuấn Long</t>
  </si>
  <si>
    <t xml:space="preserve">CD0398</t>
  </si>
  <si>
    <t xml:space="preserve">Lê Thiện Thạch</t>
  </si>
  <si>
    <t xml:space="preserve">001071016977</t>
  </si>
  <si>
    <t xml:space="preserve">CD0399</t>
  </si>
  <si>
    <t xml:space="preserve">Nguyễn Thị Lệ Hằng</t>
  </si>
  <si>
    <t xml:space="preserve">001170013937</t>
  </si>
  <si>
    <t xml:space="preserve">Đã lấy tên theo DS cử tri; sổ cũ ghi: Nguyễn Thị Lê Hằng</t>
  </si>
  <si>
    <t xml:space="preserve">CD0400</t>
  </si>
  <si>
    <t xml:space="preserve">Lê Hồng Ngọc</t>
  </si>
  <si>
    <t xml:space="preserve">231197000046</t>
  </si>
  <si>
    <t xml:space="preserve">CD0401</t>
  </si>
  <si>
    <t xml:space="preserve">Lê Hồng Anh</t>
  </si>
  <si>
    <t xml:space="preserve">CD0402</t>
  </si>
  <si>
    <t xml:space="preserve">Lê Quang Hiếu</t>
  </si>
  <si>
    <t xml:space="preserve">CD0403</t>
  </si>
  <si>
    <t xml:space="preserve">Nguyễn Đức Khánh</t>
  </si>
  <si>
    <t xml:space="preserve">040070000099</t>
  </si>
  <si>
    <t xml:space="preserve">CD0404</t>
  </si>
  <si>
    <t xml:space="preserve">Nguyễn Thúy Hằng</t>
  </si>
  <si>
    <t xml:space="preserve">001174008476</t>
  </si>
  <si>
    <t xml:space="preserve">CD0405</t>
  </si>
  <si>
    <t xml:space="preserve">Nguyễn Đức Huy</t>
  </si>
  <si>
    <t xml:space="preserve">CD0406</t>
  </si>
  <si>
    <t xml:space="preserve">Nguyễn Khánh Ngọc</t>
  </si>
  <si>
    <t xml:space="preserve">CD0407</t>
  </si>
  <si>
    <t xml:space="preserve">Trần Ngọc Quang</t>
  </si>
  <si>
    <t xml:space="preserve">001035001565</t>
  </si>
  <si>
    <t xml:space="preserve">CD0408</t>
  </si>
  <si>
    <t xml:space="preserve">Nguyễn Thị Thanh Từ</t>
  </si>
  <si>
    <t xml:space="preserve">034140000399</t>
  </si>
  <si>
    <t xml:space="preserve">CD0409</t>
  </si>
  <si>
    <t xml:space="preserve">Lê Tuyết Anh</t>
  </si>
  <si>
    <t xml:space="preserve">001161016284</t>
  </si>
  <si>
    <t xml:space="preserve">CD0410</t>
  </si>
  <si>
    <t xml:space="preserve">Lê Thanh Nga</t>
  </si>
  <si>
    <t xml:space="preserve">001163016498</t>
  </si>
  <si>
    <t xml:space="preserve">CD0411</t>
  </si>
  <si>
    <t xml:space="preserve">Phạm Thế Dũng</t>
  </si>
  <si>
    <t xml:space="preserve">001091046584</t>
  </si>
  <si>
    <t xml:space="preserve">CD0412</t>
  </si>
  <si>
    <t xml:space="preserve">Nguyễn Trà My</t>
  </si>
  <si>
    <t xml:space="preserve">001196020626</t>
  </si>
  <si>
    <t xml:space="preserve">CD0413</t>
  </si>
  <si>
    <t xml:space="preserve">Nguyễn Hương Nhài</t>
  </si>
  <si>
    <t xml:space="preserve">CD0414</t>
  </si>
  <si>
    <t xml:space="preserve">Nguyễn Duy Thắng</t>
  </si>
  <si>
    <t xml:space="preserve">CD0415</t>
  </si>
  <si>
    <t xml:space="preserve">Nguyễn Trực</t>
  </si>
  <si>
    <t xml:space="preserve">CD0416</t>
  </si>
  <si>
    <t xml:space="preserve">Lưu Thị Nhung</t>
  </si>
  <si>
    <t xml:space="preserve">001139003660</t>
  </si>
  <si>
    <t xml:space="preserve">CD0417</t>
  </si>
  <si>
    <t xml:space="preserve">Nguyễn Quốc Bình</t>
  </si>
  <si>
    <t xml:space="preserve">001077004216</t>
  </si>
  <si>
    <t xml:space="preserve">CD0418</t>
  </si>
  <si>
    <t xml:space="preserve">Nguyễn Thị Nguyên</t>
  </si>
  <si>
    <t xml:space="preserve">CD0419</t>
  </si>
  <si>
    <t xml:space="preserve">Nguyễn Thu Thủy</t>
  </si>
  <si>
    <t xml:space="preserve">CD0420</t>
  </si>
  <si>
    <t xml:space="preserve">Nguyễn Ngân An</t>
  </si>
  <si>
    <t xml:space="preserve">CD0421</t>
  </si>
  <si>
    <t xml:space="preserve">Nguyễn Trung Kiên</t>
  </si>
  <si>
    <t xml:space="preserve">CD0422</t>
  </si>
  <si>
    <t xml:space="preserve">Phan Thị Nga</t>
  </si>
  <si>
    <t xml:space="preserve">CD0423</t>
  </si>
  <si>
    <t xml:space="preserve">Nguyễn Hương Giang</t>
  </si>
  <si>
    <t xml:space="preserve">CD0424</t>
  </si>
  <si>
    <t xml:space="preserve">CD0425</t>
  </si>
  <si>
    <t xml:space="preserve">Phan Thị Mai Hương</t>
  </si>
  <si>
    <t xml:space="preserve">001156001015</t>
  </si>
  <si>
    <t xml:space="preserve">CD0426</t>
  </si>
  <si>
    <t xml:space="preserve">Đỗ Thanh Hải</t>
  </si>
  <si>
    <t xml:space="preserve">001085051615</t>
  </si>
  <si>
    <t xml:space="preserve">CD0427</t>
  </si>
  <si>
    <t xml:space="preserve">Đỗ Thị Hải Yến</t>
  </si>
  <si>
    <t xml:space="preserve">001189019706</t>
  </si>
  <si>
    <t xml:space="preserve">CD0428</t>
  </si>
  <si>
    <t xml:space="preserve">Đỗ Minh Quang</t>
  </si>
  <si>
    <t xml:space="preserve">CD0429</t>
  </si>
  <si>
    <t xml:space="preserve">Đỗ Thủy Tiên</t>
  </si>
  <si>
    <t xml:space="preserve">CD0430</t>
  </si>
  <si>
    <t xml:space="preserve">Lê Thị Xuân Sinh</t>
  </si>
  <si>
    <t xml:space="preserve">001165026625</t>
  </si>
  <si>
    <t xml:space="preserve">CD0431</t>
  </si>
  <si>
    <t xml:space="preserve">Nguyễn Hoàng Mai</t>
  </si>
  <si>
    <t xml:space="preserve">001193007506</t>
  </si>
  <si>
    <t xml:space="preserve">CD0432</t>
  </si>
  <si>
    <t xml:space="preserve">001201004508</t>
  </si>
  <si>
    <t xml:space="preserve">CD0433</t>
  </si>
  <si>
    <t xml:space="preserve">Lê Văn Huy</t>
  </si>
  <si>
    <t xml:space="preserve">033078002885</t>
  </si>
  <si>
    <t xml:space="preserve">Thuê nhà, có đóng quỹ tổ</t>
  </si>
  <si>
    <t xml:space="preserve">CD0434</t>
  </si>
  <si>
    <t xml:space="preserve">Nguyễn Thị Thêu</t>
  </si>
  <si>
    <t xml:space="preserve">033180000148</t>
  </si>
  <si>
    <t xml:space="preserve">CD0435</t>
  </si>
  <si>
    <t xml:space="preserve">Lê Đức Tiến</t>
  </si>
  <si>
    <t xml:space="preserve">033208000024</t>
  </si>
  <si>
    <t xml:space="preserve">Quân sự 2005 ghi ngày sinh 05/12/2008</t>
  </si>
  <si>
    <t xml:space="preserve">CD0436</t>
  </si>
  <si>
    <t xml:space="preserve">Lê Tiến Minh</t>
  </si>
  <si>
    <t xml:space="preserve">CD0437</t>
  </si>
  <si>
    <t xml:space="preserve">Đỗ Văn Huấn</t>
  </si>
  <si>
    <t xml:space="preserve">CD0438</t>
  </si>
  <si>
    <t xml:space="preserve">Phạm Quang Phúc</t>
  </si>
  <si>
    <t xml:space="preserve">001054015084</t>
  </si>
  <si>
    <t xml:space="preserve">CD0439</t>
  </si>
  <si>
    <t xml:space="preserve">Ngô Phương Hoa</t>
  </si>
  <si>
    <t xml:space="preserve">001157022405</t>
  </si>
  <si>
    <t xml:space="preserve">CD0440</t>
  </si>
  <si>
    <t xml:space="preserve">Phạm Quang Vượng</t>
  </si>
  <si>
    <t xml:space="preserve">001086000963</t>
  </si>
  <si>
    <t xml:space="preserve">Đã lấy ngày sinh theo DS cử tri; sổ cũ ghi: 01/01/1986</t>
  </si>
  <si>
    <t xml:space="preserve">CD0441</t>
  </si>
  <si>
    <t xml:space="preserve">Phạm Quang Đại</t>
  </si>
  <si>
    <t xml:space="preserve">001090040473</t>
  </si>
  <si>
    <t xml:space="preserve">Đã lấy ngày sinh theo DS cử tri; sổ cũ ghi: 01/02/1990</t>
  </si>
  <si>
    <t xml:space="preserve">CD0442</t>
  </si>
  <si>
    <t xml:space="preserve">Nguyễn Thu Trang</t>
  </si>
  <si>
    <t xml:space="preserve">001192035258</t>
  </si>
  <si>
    <t xml:space="preserve">CD0443</t>
  </si>
  <si>
    <t xml:space="preserve">Phạm Hiểu An</t>
  </si>
  <si>
    <t xml:space="preserve">CD0444</t>
  </si>
  <si>
    <t xml:space="preserve">Phạm Bảo Duy</t>
  </si>
  <si>
    <t xml:space="preserve">CD0445</t>
  </si>
  <si>
    <t xml:space="preserve">Phạm Quang Dội</t>
  </si>
  <si>
    <t xml:space="preserve">033034000197</t>
  </si>
  <si>
    <t xml:space="preserve">CD0446</t>
  </si>
  <si>
    <t xml:space="preserve">Phạm Văn Nghĩa</t>
  </si>
  <si>
    <t xml:space="preserve">033072005166</t>
  </si>
  <si>
    <t xml:space="preserve">0973370109</t>
  </si>
  <si>
    <t xml:space="preserve">CD0447</t>
  </si>
  <si>
    <t xml:space="preserve">Đào Thị Lan Hương</t>
  </si>
  <si>
    <t xml:space="preserve">001181001768</t>
  </si>
  <si>
    <t xml:space="preserve">CD0448</t>
  </si>
  <si>
    <t xml:space="preserve">Phạm Quang Hiếu</t>
  </si>
  <si>
    <t xml:space="preserve">001206014741</t>
  </si>
  <si>
    <t xml:space="preserve">CD0449</t>
  </si>
  <si>
    <t xml:space="preserve">Phạm Quang Huy</t>
  </si>
  <si>
    <t xml:space="preserve">CD0450</t>
  </si>
  <si>
    <t xml:space="preserve">Vũ Xuân Ngọc</t>
  </si>
  <si>
    <t xml:space="preserve">036067005959</t>
  </si>
  <si>
    <t xml:space="preserve">CD0451</t>
  </si>
  <si>
    <t xml:space="preserve">Phạm Thị Hải Vân</t>
  </si>
  <si>
    <t xml:space="preserve">036176010139</t>
  </si>
  <si>
    <t xml:space="preserve">Đã lấy tên theo DS cử tri; sổ cũ ghi: Phạm Hải Vân</t>
  </si>
  <si>
    <t xml:space="preserve">CD0452</t>
  </si>
  <si>
    <t xml:space="preserve">Vũ Tú Nam</t>
  </si>
  <si>
    <t xml:space="preserve">CD0453</t>
  </si>
  <si>
    <t xml:space="preserve">Vũ Thanh Hằng</t>
  </si>
  <si>
    <t xml:space="preserve">036197005061</t>
  </si>
  <si>
    <t xml:space="preserve">CD0454</t>
  </si>
  <si>
    <t xml:space="preserve">Đặng Thanh Thúy</t>
  </si>
  <si>
    <t xml:space="preserve">Mất</t>
  </si>
  <si>
    <t xml:space="preserve">CD0455</t>
  </si>
  <si>
    <t xml:space="preserve">Ngô Quốc Huy</t>
  </si>
  <si>
    <t xml:space="preserve">024075019150</t>
  </si>
  <si>
    <t xml:space="preserve">CD0456</t>
  </si>
  <si>
    <t xml:space="preserve">Nguyễn Thị Minh Hải</t>
  </si>
  <si>
    <t xml:space="preserve">001171025628</t>
  </si>
  <si>
    <t xml:space="preserve">CD0457</t>
  </si>
  <si>
    <t xml:space="preserve">Ngô Thái Sơn</t>
  </si>
  <si>
    <t xml:space="preserve">001208035143</t>
  </si>
  <si>
    <t xml:space="preserve">Quân sự 2005 ghi ngày sinh 01/11/2008</t>
  </si>
  <si>
    <t xml:space="preserve">CD0458</t>
  </si>
  <si>
    <t xml:space="preserve">Ngô Nguyễn Hà Lê</t>
  </si>
  <si>
    <t xml:space="preserve">CD0459</t>
  </si>
  <si>
    <t xml:space="preserve">Nguyễn Đức Hiếu</t>
  </si>
  <si>
    <t xml:space="preserve">CD0460</t>
  </si>
  <si>
    <t xml:space="preserve">Nguyễn Thị Thanh Hằng</t>
  </si>
  <si>
    <t xml:space="preserve">Mới Bsung</t>
  </si>
  <si>
    <t xml:space="preserve">CD0461</t>
  </si>
  <si>
    <t xml:space="preserve">Nguyễn Hải Đăng</t>
  </si>
  <si>
    <t xml:space="preserve">CD0462</t>
  </si>
  <si>
    <t xml:space="preserve">Nguyễn Anh Khôi</t>
  </si>
  <si>
    <t xml:space="preserve">001208065395</t>
  </si>
  <si>
    <t xml:space="preserve">CD0463</t>
  </si>
  <si>
    <t xml:space="preserve">Nguyễn Thị Hậu</t>
  </si>
  <si>
    <t xml:space="preserve">001140011228</t>
  </si>
  <si>
    <t xml:space="preserve">CD0464</t>
  </si>
  <si>
    <t xml:space="preserve">Lê Thanh Thúy</t>
  </si>
  <si>
    <t xml:space="preserve">001189000517</t>
  </si>
  <si>
    <t xml:space="preserve">CD0465</t>
  </si>
  <si>
    <t xml:space="preserve">Nguyễn Bá Hiển</t>
  </si>
  <si>
    <t xml:space="preserve">CD0466</t>
  </si>
  <si>
    <t xml:space="preserve">Nguyễn Khánh Vân</t>
  </si>
  <si>
    <t xml:space="preserve">CD0467</t>
  </si>
  <si>
    <t xml:space="preserve">Lê Ngọc Huyền</t>
  </si>
  <si>
    <t xml:space="preserve">CD0468</t>
  </si>
  <si>
    <t xml:space="preserve">Gạo</t>
  </si>
  <si>
    <t xml:space="preserve">Năm sinh 1974 khác ngày sinh 01/01/1944</t>
  </si>
  <si>
    <t xml:space="preserve">CD0469</t>
  </si>
  <si>
    <t xml:space="preserve">Ngọ Văn Thắng</t>
  </si>
  <si>
    <t xml:space="preserve">CD0470</t>
  </si>
  <si>
    <t xml:space="preserve">Hồ Thị Trang</t>
  </si>
  <si>
    <t xml:space="preserve">CD0471</t>
  </si>
  <si>
    <t xml:space="preserve">Ngọ Hồ Tuệ Nhi (6/12/2020</t>
  </si>
  <si>
    <t xml:space="preserve">CD0472</t>
  </si>
  <si>
    <t xml:space="preserve">Ngọ Lê Khôi Nguyên</t>
  </si>
  <si>
    <t xml:space="preserve">Quân sự 2005 ghi ngày sinh 07/09/2013</t>
  </si>
  <si>
    <t xml:space="preserve">CD0473</t>
  </si>
  <si>
    <t xml:space="preserve">Ngọ Thị Phượng</t>
  </si>
  <si>
    <t xml:space="preserve">CD0474</t>
  </si>
  <si>
    <t xml:space="preserve">Trần Duy Phong</t>
  </si>
  <si>
    <t xml:space="preserve">Đã chuyển đi</t>
  </si>
  <si>
    <t xml:space="preserve">CD0475</t>
  </si>
  <si>
    <t xml:space="preserve">Trần Trà My (4/10/2008)</t>
  </si>
  <si>
    <t xml:space="preserve">CD0476</t>
  </si>
  <si>
    <t xml:space="preserve">Trần Trường Giang (2/2/2012</t>
  </si>
  <si>
    <t xml:space="preserve">CD0477</t>
  </si>
  <si>
    <t xml:space="preserve">Trần Trà My</t>
  </si>
  <si>
    <t xml:space="preserve">001308049766</t>
  </si>
  <si>
    <t xml:space="preserve">Quân sự 2005</t>
  </si>
  <si>
    <t xml:space="preserve">Không có trong sổ cư dân, thêm từ Quân sự 2005 – kiểm tra người này còn ở tổ không; Quân sự 2005 ghi hai ngày sinh: 10/05/2008 và 04/10/2008; Quân sự 2005 ghi ngày sinh 04/10/2008; Các nguồn ghi ngày sinh khác nhau: 10/05/2008, 04/10/2008</t>
  </si>
  <si>
    <t xml:space="preserve">CD0478</t>
  </si>
  <si>
    <t xml:space="preserve">Đỗ Công Viễn</t>
  </si>
  <si>
    <t xml:space="preserve">027068000334</t>
  </si>
  <si>
    <t xml:space="preserve">DS cử tri ghi năm sinh 06/02/1968</t>
  </si>
  <si>
    <t xml:space="preserve">CD0479</t>
  </si>
  <si>
    <t xml:space="preserve">Trần Thị Yến</t>
  </si>
  <si>
    <t xml:space="preserve">034167001054</t>
  </si>
  <si>
    <t xml:space="preserve">CD0480</t>
  </si>
  <si>
    <t xml:space="preserve">Đỗ Thị Ngọc Huyền</t>
  </si>
  <si>
    <t xml:space="preserve">CD0481</t>
  </si>
  <si>
    <t xml:space="preserve">Đỗ Trần Thái Sơn</t>
  </si>
  <si>
    <t xml:space="preserve">CD0482</t>
  </si>
  <si>
    <t xml:space="preserve">Đào Kim Lan</t>
  </si>
  <si>
    <t xml:space="preserve">CD0483</t>
  </si>
  <si>
    <t xml:space="preserve">Hoàng Mai Anh</t>
  </si>
  <si>
    <t xml:space="preserve">CD0484</t>
  </si>
  <si>
    <t xml:space="preserve">Hoàng Đào Minh Đức</t>
  </si>
  <si>
    <t xml:space="preserve">CD0485</t>
  </si>
  <si>
    <t xml:space="preserve">Lương Thị Bích Thảo</t>
  </si>
  <si>
    <t xml:space="preserve">CD0486</t>
  </si>
  <si>
    <t xml:space="preserve">Nguyễn Thị Thanh Mai</t>
  </si>
  <si>
    <t xml:space="preserve">001157021858</t>
  </si>
  <si>
    <t xml:space="preserve">CD0487</t>
  </si>
  <si>
    <t xml:space="preserve">Vũ Diệu Hiền</t>
  </si>
  <si>
    <t xml:space="preserve">034178000456</t>
  </si>
  <si>
    <t xml:space="preserve">Cán bộ</t>
  </si>
  <si>
    <t xml:space="preserve">CD0488</t>
  </si>
  <si>
    <t xml:space="preserve">Trần Minh Tân</t>
  </si>
  <si>
    <t xml:space="preserve">001074028855</t>
  </si>
  <si>
    <t xml:space="preserve">CD0489</t>
  </si>
  <si>
    <t xml:space="preserve">Trần Vũ Thiên Ngân</t>
  </si>
  <si>
    <t xml:space="preserve">001306022270</t>
  </si>
  <si>
    <t xml:space="preserve">CD0490</t>
  </si>
  <si>
    <t xml:space="preserve">Nguyễn Dương Thông</t>
  </si>
  <si>
    <t xml:space="preserve">CD0491</t>
  </si>
  <si>
    <t xml:space="preserve">Trần Hạnh Dung</t>
  </si>
  <si>
    <t xml:space="preserve">CD0492</t>
  </si>
  <si>
    <t xml:space="preserve">Nguyễn Thị Kim Thu</t>
  </si>
  <si>
    <t xml:space="preserve">CD0493</t>
  </si>
  <si>
    <t xml:space="preserve">Dương Văn Hồng</t>
  </si>
  <si>
    <t xml:space="preserve">CD0494</t>
  </si>
  <si>
    <t xml:space="preserve">Nguyễn Xuân Du</t>
  </si>
  <si>
    <t xml:space="preserve">034063009769</t>
  </si>
  <si>
    <t xml:space="preserve">DS cử tri ghi ngày sinh 15/12/1963</t>
  </si>
  <si>
    <t xml:space="preserve">CD0495</t>
  </si>
  <si>
    <t xml:space="preserve">Từ Thị Thúy</t>
  </si>
  <si>
    <t xml:space="preserve">035174001373</t>
  </si>
  <si>
    <t xml:space="preserve">CD0496</t>
  </si>
  <si>
    <t xml:space="preserve">Nguyễn Xuân Trung</t>
  </si>
  <si>
    <t xml:space="preserve">001202019206</t>
  </si>
  <si>
    <t xml:space="preserve">CD0497</t>
  </si>
  <si>
    <t xml:space="preserve">Từ Viết Kha</t>
  </si>
  <si>
    <t xml:space="preserve">035065006717</t>
  </si>
  <si>
    <t xml:space="preserve">CD0498</t>
  </si>
  <si>
    <t xml:space="preserve">Nguyễn Phương Anh</t>
  </si>
  <si>
    <t xml:space="preserve">CD0499</t>
  </si>
  <si>
    <t xml:space="preserve">Nguyễn Văn Thống</t>
  </si>
  <si>
    <t xml:space="preserve">CD0500</t>
  </si>
  <si>
    <t xml:space="preserve">Lê Thế Tùng</t>
  </si>
  <si>
    <t xml:space="preserve">022081009516</t>
  </si>
  <si>
    <t xml:space="preserve">Cháu bà Tín</t>
  </si>
  <si>
    <t xml:space="preserve">CD0501</t>
  </si>
  <si>
    <t xml:space="preserve">Nguyễn Thị Hương</t>
  </si>
  <si>
    <t xml:space="preserve">034186004126</t>
  </si>
  <si>
    <t xml:space="preserve">CD0502</t>
  </si>
  <si>
    <t xml:space="preserve">Lê Minh Quang</t>
  </si>
  <si>
    <t xml:space="preserve">CD0503</t>
  </si>
  <si>
    <t xml:space="preserve">Lê Minh Nhật</t>
  </si>
  <si>
    <t xml:space="preserve">CD0504</t>
  </si>
  <si>
    <t xml:space="preserve">Lê Minh Trí</t>
  </si>
  <si>
    <t xml:space="preserve">CD0505</t>
  </si>
  <si>
    <t xml:space="preserve">Lê Duy Tân</t>
  </si>
  <si>
    <t xml:space="preserve">CD0506</t>
  </si>
  <si>
    <t xml:space="preserve">Nguyễn Thị Lý</t>
  </si>
  <si>
    <t xml:space="preserve">001177037306</t>
  </si>
  <si>
    <t xml:space="preserve">CD0507</t>
  </si>
  <si>
    <t xml:space="preserve">Nguyễn Hữu Khải</t>
  </si>
  <si>
    <t xml:space="preserve">001202003049</t>
  </si>
  <si>
    <t xml:space="preserve">CD0508</t>
  </si>
  <si>
    <t xml:space="preserve">Nguyễn Hữu Hoàn</t>
  </si>
  <si>
    <t xml:space="preserve">CD0509</t>
  </si>
  <si>
    <t xml:space="preserve">Hoàng Văn Trường</t>
  </si>
  <si>
    <t xml:space="preserve">035075003960</t>
  </si>
  <si>
    <t xml:space="preserve">CD0510</t>
  </si>
  <si>
    <t xml:space="preserve">Vũ Thị Nga</t>
  </si>
  <si>
    <t xml:space="preserve">035175003466</t>
  </si>
  <si>
    <t xml:space="preserve">CD0511</t>
  </si>
  <si>
    <t xml:space="preserve">Hoàng Hải Anh</t>
  </si>
  <si>
    <t xml:space="preserve">CD0512</t>
  </si>
  <si>
    <t xml:space="preserve">Hoàng Ngọc Đạt</t>
  </si>
  <si>
    <t xml:space="preserve">035205000106</t>
  </si>
  <si>
    <t xml:space="preserve">CD0513</t>
  </si>
  <si>
    <t xml:space="preserve">Hoàng Thị Hải Anh</t>
  </si>
  <si>
    <t xml:space="preserve">035197004669</t>
  </si>
  <si>
    <t xml:space="preserve">CD0514</t>
  </si>
  <si>
    <t xml:space="preserve">Nguyễn Văn Trình</t>
  </si>
  <si>
    <t xml:space="preserve">CD0515</t>
  </si>
  <si>
    <t xml:space="preserve">Dương Thị Mai Hiên (1982</t>
  </si>
  <si>
    <t xml:space="preserve">CD0516</t>
  </si>
  <si>
    <t xml:space="preserve">Nguyễn Đăng Khánh</t>
  </si>
  <si>
    <t xml:space="preserve">CD0517</t>
  </si>
  <si>
    <t xml:space="preserve">Nguyễn Minh Tuân</t>
  </si>
  <si>
    <t xml:space="preserve">CD0518</t>
  </si>
  <si>
    <t xml:space="preserve">Vương Cộng</t>
  </si>
  <si>
    <t xml:space="preserve">001040009393</t>
  </si>
  <si>
    <t xml:space="preserve">CD0519</t>
  </si>
  <si>
    <t xml:space="preserve">Phạm Thị Hiên</t>
  </si>
  <si>
    <t xml:space="preserve">CD0520</t>
  </si>
  <si>
    <t xml:space="preserve">Nguyễn Thị Ngà</t>
  </si>
  <si>
    <t xml:space="preserve">001178013405</t>
  </si>
  <si>
    <t xml:space="preserve">CD0521</t>
  </si>
  <si>
    <t xml:space="preserve">Nguyễn Ngọc Uyển</t>
  </si>
  <si>
    <t xml:space="preserve">001086030746</t>
  </si>
  <si>
    <t xml:space="preserve">CD0522</t>
  </si>
  <si>
    <t xml:space="preserve">Nguyễn Trọng Minh</t>
  </si>
  <si>
    <t xml:space="preserve">001203025259</t>
  </si>
  <si>
    <t xml:space="preserve">CD0523</t>
  </si>
  <si>
    <t xml:space="preserve">Trần Đức Hải</t>
  </si>
  <si>
    <t xml:space="preserve">036080004839</t>
  </si>
  <si>
    <t xml:space="preserve">CD0524</t>
  </si>
  <si>
    <t xml:space="preserve">Mai Thị Liên</t>
  </si>
  <si>
    <t xml:space="preserve">036184008550</t>
  </si>
  <si>
    <t xml:space="preserve">CD0525</t>
  </si>
  <si>
    <t xml:space="preserve">Trần Thanh Hà</t>
  </si>
  <si>
    <t xml:space="preserve">CD0526</t>
  </si>
  <si>
    <t xml:space="preserve">Trần Đức Quân</t>
  </si>
  <si>
    <t xml:space="preserve">CD0527</t>
  </si>
  <si>
    <t xml:space="preserve">Bùi Thanh Hải</t>
  </si>
  <si>
    <t xml:space="preserve">CD0528</t>
  </si>
  <si>
    <t xml:space="preserve">Phạm Phương Thanh</t>
  </si>
  <si>
    <t xml:space="preserve">CD0529</t>
  </si>
  <si>
    <t xml:space="preserve">Bùi Cúc Anh</t>
  </si>
  <si>
    <t xml:space="preserve">CD0530</t>
  </si>
  <si>
    <t xml:space="preserve">Lê Đức Mạnh</t>
  </si>
  <si>
    <t xml:space="preserve">038097015849</t>
  </si>
  <si>
    <t xml:space="preserve">CD0531</t>
  </si>
  <si>
    <t xml:space="preserve">Lê Ánh Dương</t>
  </si>
  <si>
    <t xml:space="preserve">038099002983</t>
  </si>
  <si>
    <t xml:space="preserve">Đã lấy tên theo DS cử tri; sổ cũ ghi: Lê Anh Dương</t>
  </si>
  <si>
    <t xml:space="preserve">CD0532</t>
  </si>
  <si>
    <t xml:space="preserve">Nguyễn Hoài Giảng</t>
  </si>
  <si>
    <t xml:space="preserve">Chủ mới chưa có TT</t>
  </si>
  <si>
    <t xml:space="preserve">CD0533</t>
  </si>
  <si>
    <t xml:space="preserve">Vũ Lệ Hằng</t>
  </si>
  <si>
    <t xml:space="preserve">CD0534</t>
  </si>
  <si>
    <t xml:space="preserve">Nguyễn Quỳnh Chi</t>
  </si>
  <si>
    <t xml:space="preserve">CD0535</t>
  </si>
  <si>
    <t xml:space="preserve">Nguyễn Thị Kiều Anh</t>
  </si>
  <si>
    <t xml:space="preserve">CD0536</t>
  </si>
  <si>
    <t xml:space="preserve">Nguyễn Bảo Gia Huy</t>
  </si>
  <si>
    <t xml:space="preserve">CD0537</t>
  </si>
  <si>
    <t xml:space="preserve">001179002007</t>
  </si>
  <si>
    <t xml:space="preserve">CD0538</t>
  </si>
  <si>
    <t xml:space="preserve">Chu Quang Tuấn</t>
  </si>
  <si>
    <t xml:space="preserve">001080037037</t>
  </si>
  <si>
    <t xml:space="preserve">CD0539</t>
  </si>
  <si>
    <t xml:space="preserve">Chu Quang Minh</t>
  </si>
  <si>
    <t xml:space="preserve">001207022059</t>
  </si>
  <si>
    <t xml:space="preserve">CD0540</t>
  </si>
  <si>
    <t xml:space="preserve">Nguyễn Mạnh Tường</t>
  </si>
  <si>
    <t xml:space="preserve">001068001599</t>
  </si>
  <si>
    <t xml:space="preserve">DS cử tri ghi ngày sinh 02/09/1968</t>
  </si>
  <si>
    <t xml:space="preserve">CD0541</t>
  </si>
  <si>
    <t xml:space="preserve">Nguyễn Thị Hải Anh</t>
  </si>
  <si>
    <t xml:space="preserve">CD0542</t>
  </si>
  <si>
    <t xml:space="preserve">CD0543</t>
  </si>
  <si>
    <t xml:space="preserve">Nguyễn Thị Hoa</t>
  </si>
  <si>
    <t xml:space="preserve">001176019067</t>
  </si>
  <si>
    <t xml:space="preserve">CD0544</t>
  </si>
  <si>
    <t xml:space="preserve">Âu Dương Khánh Linh</t>
  </si>
  <si>
    <t xml:space="preserve">001307042621</t>
  </si>
  <si>
    <t xml:space="preserve">Đã lấy tên theo DS cử tri; sổ cũ ghi: Âu Dươngkhánh Linh</t>
  </si>
  <si>
    <t xml:space="preserve">CD0545</t>
  </si>
  <si>
    <t xml:space="preserve">Lê Thị Thúy Đông</t>
  </si>
  <si>
    <t xml:space="preserve">001148001501</t>
  </si>
  <si>
    <t xml:space="preserve">Đã lấy ngày sinh theo DS cử tri; sổ cũ ghi: 01/01/1948</t>
  </si>
  <si>
    <t xml:space="preserve">CD0546</t>
  </si>
  <si>
    <t xml:space="preserve">Lê Thúy Hạnh</t>
  </si>
  <si>
    <t xml:space="preserve">001189003642</t>
  </si>
  <si>
    <t xml:space="preserve">CD0547</t>
  </si>
  <si>
    <t xml:space="preserve">Lê Minh Huệ</t>
  </si>
  <si>
    <t xml:space="preserve">035040000201</t>
  </si>
  <si>
    <t xml:space="preserve">Khg có hộ khấu BK</t>
  </si>
  <si>
    <t xml:space="preserve">CD0548</t>
  </si>
  <si>
    <t xml:space="preserve">Nguyễn Hồng Phượng</t>
  </si>
  <si>
    <t xml:space="preserve">037160001933</t>
  </si>
  <si>
    <t xml:space="preserve">Đã lấy ngày sinh theo DS cử tri; sổ cũ ghi: 15/06/1983</t>
  </si>
  <si>
    <t xml:space="preserve">CD0549</t>
  </si>
  <si>
    <t xml:space="preserve">Trần Châu Sơn</t>
  </si>
  <si>
    <t xml:space="preserve">CD0550</t>
  </si>
  <si>
    <t xml:space="preserve">Trần Vinh Hà</t>
  </si>
  <si>
    <t xml:space="preserve">001183030333</t>
  </si>
  <si>
    <t xml:space="preserve">Đã lấy tên theo DS cử tri; sổ cũ ghi: Trần Vĩnh Hà</t>
  </si>
  <si>
    <t xml:space="preserve">CD0551</t>
  </si>
  <si>
    <t xml:space="preserve">Nguyễn Ngọc Dũng</t>
  </si>
  <si>
    <t xml:space="preserve">CD0552</t>
  </si>
  <si>
    <t xml:space="preserve">Nguyễn Trần Hà Thanh</t>
  </si>
  <si>
    <t xml:space="preserve">CD0553</t>
  </si>
  <si>
    <t xml:space="preserve">Nguyễn Trần Thanh An</t>
  </si>
  <si>
    <t xml:space="preserve">CD0554</t>
  </si>
  <si>
    <t xml:space="preserve">033150005897</t>
  </si>
  <si>
    <t xml:space="preserve">Đã lấy ngày sinh theo DS cử tri; sổ cũ ghi: 23/11/1950</t>
  </si>
  <si>
    <t xml:space="preserve">CD0555</t>
  </si>
  <si>
    <t xml:space="preserve">Nguyễn Văn Bảo</t>
  </si>
  <si>
    <t xml:space="preserve">001043009474</t>
  </si>
  <si>
    <t xml:space="preserve">CD0556</t>
  </si>
  <si>
    <t xml:space="preserve">Nguyễn Thị Dung</t>
  </si>
  <si>
    <t xml:space="preserve">CD0557</t>
  </si>
  <si>
    <t xml:space="preserve">Nguyễn Lê Diễm Linh</t>
  </si>
  <si>
    <t xml:space="preserve">CD0558</t>
  </si>
  <si>
    <t xml:space="preserve">Nguyễn Linh Phương</t>
  </si>
  <si>
    <t xml:space="preserve">CD0559</t>
  </si>
  <si>
    <t xml:space="preserve">Giang Thị Thiên Hương</t>
  </si>
  <si>
    <t xml:space="preserve">CD0560</t>
  </si>
  <si>
    <t xml:space="preserve">Giang Thị Thanh Huyền</t>
  </si>
  <si>
    <t xml:space="preserve">CD0561</t>
  </si>
  <si>
    <t xml:space="preserve">Nguyễn Thu Nga</t>
  </si>
  <si>
    <t xml:space="preserve">CD0562</t>
  </si>
  <si>
    <t xml:space="preserve">Nguyễn Đình Lân</t>
  </si>
  <si>
    <t xml:space="preserve">001078004231</t>
  </si>
  <si>
    <t xml:space="preserve">Nghiện</t>
  </si>
  <si>
    <t xml:space="preserve">CD0563</t>
  </si>
  <si>
    <t xml:space="preserve">Cù Thị Thanh Nga</t>
  </si>
  <si>
    <t xml:space="preserve">036184000279</t>
  </si>
  <si>
    <t xml:space="preserve">CD0564</t>
  </si>
  <si>
    <t xml:space="preserve">Năm sinh 2001 khác ngày sinh 22/09/2011</t>
  </si>
  <si>
    <t xml:space="preserve">CD0565</t>
  </si>
  <si>
    <t xml:space="preserve">CD0566</t>
  </si>
  <si>
    <t xml:space="preserve">Lê Thị Khánh Hòa</t>
  </si>
  <si>
    <t xml:space="preserve">CD0567</t>
  </si>
  <si>
    <t xml:space="preserve">Nguyễn Quang Minh</t>
  </si>
  <si>
    <t xml:space="preserve">CD0568</t>
  </si>
  <si>
    <t xml:space="preserve">Tăng Thị Tô Nguyệt</t>
  </si>
  <si>
    <t xml:space="preserve">CD0569</t>
  </si>
  <si>
    <t xml:space="preserve">Nguyễn Nguyệt Minh Châu</t>
  </si>
  <si>
    <t xml:space="preserve">CD0570</t>
  </si>
  <si>
    <t xml:space="preserve">Nguyễn Nguyệt Minh Tâm</t>
  </si>
  <si>
    <t xml:space="preserve">CD0571</t>
  </si>
  <si>
    <t xml:space="preserve">có 2 căn 201&amp;407</t>
  </si>
  <si>
    <t xml:space="preserve">CD0572</t>
  </si>
  <si>
    <t xml:space="preserve">Lương Như Quỳnh</t>
  </si>
  <si>
    <t xml:space="preserve">CD0573</t>
  </si>
  <si>
    <t xml:space="preserve">Nguyễn Thị Thu Dung</t>
  </si>
  <si>
    <t xml:space="preserve">CD0574</t>
  </si>
  <si>
    <t xml:space="preserve">Tống Duy Anh</t>
  </si>
  <si>
    <t xml:space="preserve">Năm sinh 1989 khác ngày sinh 28/02/1990</t>
  </si>
  <si>
    <t xml:space="preserve">CD0575</t>
  </si>
  <si>
    <t xml:space="preserve">Vũ Thị Ngọc Bích</t>
  </si>
  <si>
    <t xml:space="preserve">CD0576</t>
  </si>
  <si>
    <t xml:space="preserve">Tống Nhật Minh</t>
  </si>
  <si>
    <t xml:space="preserve">CD0577</t>
  </si>
  <si>
    <t xml:space="preserve">Nguyễn Thị Hải</t>
  </si>
  <si>
    <t xml:space="preserve">CD0578</t>
  </si>
  <si>
    <t xml:space="preserve">Nguyễn Xuân Sinh</t>
  </si>
  <si>
    <t xml:space="preserve">CD0579</t>
  </si>
  <si>
    <t xml:space="preserve">Nguyễn Hoàng Thái</t>
  </si>
  <si>
    <t xml:space="preserve">CD0580</t>
  </si>
  <si>
    <t xml:space="preserve">Nguyễn Phúc Huy</t>
  </si>
  <si>
    <t xml:space="preserve">CD0581</t>
  </si>
  <si>
    <t xml:space="preserve">CD0582</t>
  </si>
  <si>
    <t xml:space="preserve">Tạ Văn Sơn</t>
  </si>
  <si>
    <t xml:space="preserve">001095040690</t>
  </si>
  <si>
    <t xml:space="preserve">CD0583</t>
  </si>
  <si>
    <t xml:space="preserve">Vương Thị Thu Hường</t>
  </si>
  <si>
    <t xml:space="preserve">001300030952</t>
  </si>
  <si>
    <t xml:space="preserve">CD0584</t>
  </si>
  <si>
    <t xml:space="preserve">Phạm Ngọc Thức</t>
  </si>
  <si>
    <t xml:space="preserve">033095012067</t>
  </si>
  <si>
    <t xml:space="preserve">CD0585</t>
  </si>
  <si>
    <t xml:space="preserve">Trần Thị Ngọc Uyên</t>
  </si>
  <si>
    <t xml:space="preserve">033195012067</t>
  </si>
  <si>
    <t xml:space="preserve">Sổ cư dân, Quân sự 2005, DS cử tri</t>
  </si>
  <si>
    <t xml:space="preserve">Đã lấy tên theo DS cử tri; sổ cũ ghi: Trần Thị Ngọc Uyển</t>
  </si>
  <si>
    <t xml:space="preserve">CD0586</t>
  </si>
  <si>
    <t xml:space="preserve">Phạm Hải Long</t>
  </si>
  <si>
    <t xml:space="preserve">CD0587</t>
  </si>
  <si>
    <t xml:space="preserve">Phạm Tiến Hải</t>
  </si>
  <si>
    <t xml:space="preserve">034072010110</t>
  </si>
  <si>
    <t xml:space="preserve">CD0588</t>
  </si>
  <si>
    <t xml:space="preserve">Nguyễn Thị Phương Lan</t>
  </si>
  <si>
    <t xml:space="preserve">034174009726</t>
  </si>
  <si>
    <t xml:space="preserve">CD0589</t>
  </si>
  <si>
    <t xml:space="preserve">Nguyễn Phạm Hải Anh</t>
  </si>
  <si>
    <t xml:space="preserve">CD0590</t>
  </si>
  <si>
    <t xml:space="preserve">Nguyễn Trung Hiếu</t>
  </si>
  <si>
    <t xml:space="preserve">024096009038</t>
  </si>
  <si>
    <t xml:space="preserve">Đã lấy ngày sinh theo DS cử tri; sổ cũ ghi: 14/04/1948</t>
  </si>
  <si>
    <t xml:space="preserve">CD0591</t>
  </si>
  <si>
    <t xml:space="preserve">Sùng Khánh An</t>
  </si>
  <si>
    <t xml:space="preserve">001198017351</t>
  </si>
  <si>
    <t xml:space="preserve">NVVP</t>
  </si>
  <si>
    <t xml:space="preserve">CD0592</t>
  </si>
  <si>
    <t xml:space="preserve">Nguyễn Minh Khang</t>
  </si>
  <si>
    <t xml:space="preserve">CD0593</t>
  </si>
  <si>
    <t xml:space="preserve">Bùi Thị Toan</t>
  </si>
  <si>
    <t xml:space="preserve">030149000923</t>
  </si>
  <si>
    <t xml:space="preserve">CD0594</t>
  </si>
  <si>
    <t xml:space="preserve">Bùi Văn Ngọc</t>
  </si>
  <si>
    <t xml:space="preserve">017088007587</t>
  </si>
  <si>
    <t xml:space="preserve">CD0595</t>
  </si>
  <si>
    <t xml:space="preserve">Nguyễn Thị Hà</t>
  </si>
  <si>
    <t xml:space="preserve">CD0596</t>
  </si>
  <si>
    <t xml:space="preserve">Bùi Ngọc Sơn</t>
  </si>
  <si>
    <t xml:space="preserve">CD0597</t>
  </si>
  <si>
    <t xml:space="preserve">Vũ Thị Ngọc Hà</t>
  </si>
  <si>
    <t xml:space="preserve">034177011636</t>
  </si>
  <si>
    <t xml:space="preserve">CD0598</t>
  </si>
  <si>
    <t xml:space="preserve">Nguyễn Thiệu Huy</t>
  </si>
  <si>
    <t xml:space="preserve">Đã bán nhà chuyển</t>
  </si>
  <si>
    <t xml:space="preserve">CD0599</t>
  </si>
  <si>
    <t xml:space="preserve">Nguyễn Thị Thuận Huy</t>
  </si>
  <si>
    <t xml:space="preserve">về Từ liêm</t>
  </si>
  <si>
    <t xml:space="preserve">CD0600</t>
  </si>
  <si>
    <t xml:space="preserve">Nguyễn Thị Tường Huy</t>
  </si>
  <si>
    <t xml:space="preserve">hiện nhà bỏ ko</t>
  </si>
  <si>
    <t xml:space="preserve">CD0601</t>
  </si>
  <si>
    <t xml:space="preserve">Nguyễn Nguyên Huy</t>
  </si>
  <si>
    <t xml:space="preserve">CD0602</t>
  </si>
  <si>
    <t xml:space="preserve">Nguyễn Minh Chiến</t>
  </si>
  <si>
    <t xml:space="preserve">Đã lấy ngày sinh theo DS cử tri; sổ cũ ghi: 01/01/1971</t>
  </si>
  <si>
    <t xml:space="preserve">CD0603</t>
  </si>
  <si>
    <t xml:space="preserve">Nguyễn Thị Thắng Lợi</t>
  </si>
  <si>
    <t xml:space="preserve">027174000064</t>
  </si>
  <si>
    <t xml:space="preserve">Đã lấy ngày sinh theo DS cử tri; sổ cũ ghi: 01/01/1974</t>
  </si>
  <si>
    <t xml:space="preserve">CD0604</t>
  </si>
  <si>
    <t xml:space="preserve">Nguyễn Lan Chi</t>
  </si>
  <si>
    <t xml:space="preserve">027303005877</t>
  </si>
  <si>
    <t xml:space="preserve">CD0605</t>
  </si>
  <si>
    <t xml:space="preserve">001306014447</t>
  </si>
  <si>
    <t xml:space="preserve">CD0606</t>
  </si>
  <si>
    <t xml:space="preserve">Hà Minh Tú</t>
  </si>
  <si>
    <t xml:space="preserve">034084010399</t>
  </si>
  <si>
    <t xml:space="preserve">CD0607</t>
  </si>
  <si>
    <t xml:space="preserve">Trần Thị Nhàn</t>
  </si>
  <si>
    <t xml:space="preserve">034184013086</t>
  </si>
  <si>
    <t xml:space="preserve">CD0608</t>
  </si>
  <si>
    <t xml:space="preserve">Hà Anh Tú (26/8/2011</t>
  </si>
  <si>
    <t xml:space="preserve">CD0609</t>
  </si>
  <si>
    <t xml:space="preserve">Nguyễn Thị Thanh Thủy</t>
  </si>
  <si>
    <t xml:space="preserve">CD0610</t>
  </si>
  <si>
    <t xml:space="preserve">Nguyễn Thị Thương</t>
  </si>
  <si>
    <t xml:space="preserve">034177007493</t>
  </si>
  <si>
    <t xml:space="preserve">CD0611</t>
  </si>
  <si>
    <t xml:space="preserve">Nguyễn Huy Chiến</t>
  </si>
  <si>
    <t xml:space="preserve">034093008839</t>
  </si>
  <si>
    <t xml:space="preserve">CD0612</t>
  </si>
  <si>
    <t xml:space="preserve">Nguyễn Thị Oanh</t>
  </si>
  <si>
    <t xml:space="preserve">034193013630</t>
  </si>
  <si>
    <t xml:space="preserve">CD0613</t>
  </si>
  <si>
    <t xml:space="preserve">Nguyễn Như Tú</t>
  </si>
  <si>
    <t xml:space="preserve">001039007903</t>
  </si>
  <si>
    <t xml:space="preserve">CD0614</t>
  </si>
  <si>
    <t xml:space="preserve">Nguyễn Thị Thu Hương</t>
  </si>
  <si>
    <t xml:space="preserve">CD0615</t>
  </si>
  <si>
    <t xml:space="preserve">Nguyễn Như Tuấn</t>
  </si>
  <si>
    <t xml:space="preserve">001077037006</t>
  </si>
  <si>
    <t xml:space="preserve">CD0616</t>
  </si>
  <si>
    <t xml:space="preserve">Nguyễn Như Thành</t>
  </si>
  <si>
    <t xml:space="preserve">001080049232</t>
  </si>
  <si>
    <t xml:space="preserve">CD0617</t>
  </si>
  <si>
    <t xml:space="preserve">Nguyễn Như Thắng</t>
  </si>
  <si>
    <t xml:space="preserve">001204024980</t>
  </si>
  <si>
    <t xml:space="preserve">CD0618</t>
  </si>
  <si>
    <t xml:space="preserve">Nguyễn Như Thanh</t>
  </si>
  <si>
    <t xml:space="preserve">CD0619</t>
  </si>
  <si>
    <t xml:space="preserve">Nguyễn Thị Mùi</t>
  </si>
  <si>
    <t xml:space="preserve">CD0620</t>
  </si>
  <si>
    <t xml:space="preserve">Bùi Xuân Mạnh</t>
  </si>
  <si>
    <t xml:space="preserve">CD0621</t>
  </si>
  <si>
    <t xml:space="preserve">Đinh Thị Thu Hằng</t>
  </si>
  <si>
    <t xml:space="preserve">CD0622</t>
  </si>
  <si>
    <t xml:space="preserve">Bùi Nam Khánh</t>
  </si>
  <si>
    <t xml:space="preserve">CD0623</t>
  </si>
  <si>
    <t xml:space="preserve">Bùi Khánh Lâm</t>
  </si>
  <si>
    <t xml:space="preserve">CD0624</t>
  </si>
  <si>
    <t xml:space="preserve">Nguyễn Ngọc Hiếu</t>
  </si>
  <si>
    <t xml:space="preserve">CD0625</t>
  </si>
  <si>
    <t xml:space="preserve">Lê Quang Hưng</t>
  </si>
  <si>
    <t xml:space="preserve">038085060734</t>
  </si>
  <si>
    <t xml:space="preserve">CD0626</t>
  </si>
  <si>
    <t xml:space="preserve">038186049556</t>
  </si>
  <si>
    <t xml:space="preserve">KSXD</t>
  </si>
  <si>
    <t xml:space="preserve">DS cử tri ghi ngày sinh 26/12/1986</t>
  </si>
  <si>
    <t xml:space="preserve">CD0627</t>
  </si>
  <si>
    <t xml:space="preserve">Lê Hồng Quân</t>
  </si>
  <si>
    <t xml:space="preserve">CD0628</t>
  </si>
  <si>
    <t xml:space="preserve">Lê Minh Châu</t>
  </si>
  <si>
    <t xml:space="preserve">CD0629</t>
  </si>
  <si>
    <t xml:space="preserve">Phạm Thị Hồng Thúy</t>
  </si>
  <si>
    <t xml:space="preserve">CD0630</t>
  </si>
  <si>
    <t xml:space="preserve">Cao Thị Phương Hà</t>
  </si>
  <si>
    <t xml:space="preserve">CD0631</t>
  </si>
  <si>
    <t xml:space="preserve">Nguyễn Thị Tụ</t>
  </si>
  <si>
    <t xml:space="preserve">025148004612</t>
  </si>
  <si>
    <t xml:space="preserve">CD0632</t>
  </si>
  <si>
    <t xml:space="preserve">CD0633</t>
  </si>
  <si>
    <t xml:space="preserve">Ngô Hồng Quang</t>
  </si>
  <si>
    <t xml:space="preserve">001042000065</t>
  </si>
  <si>
    <t xml:space="preserve">CD0634</t>
  </si>
  <si>
    <t xml:space="preserve">Nguyễn Thị Chúc</t>
  </si>
  <si>
    <t xml:space="preserve">001145000932</t>
  </si>
  <si>
    <t xml:space="preserve">CD0635</t>
  </si>
  <si>
    <t xml:space="preserve">Ngô Việt Tiệp</t>
  </si>
  <si>
    <t xml:space="preserve">001080013695</t>
  </si>
  <si>
    <t xml:space="preserve">CD0636</t>
  </si>
  <si>
    <t xml:space="preserve">011187000009</t>
  </si>
  <si>
    <t xml:space="preserve">CD0637</t>
  </si>
  <si>
    <t xml:space="preserve">Tô Hồng Thanh</t>
  </si>
  <si>
    <t xml:space="preserve">020067000048</t>
  </si>
  <si>
    <t xml:space="preserve">Đã lấy tên theo DS cử tri; sổ cũ ghi: Tô Hồng Khanh</t>
  </si>
  <si>
    <t xml:space="preserve">CD0638</t>
  </si>
  <si>
    <t xml:space="preserve">Trần Lan Hương</t>
  </si>
  <si>
    <t xml:space="preserve">001169005008</t>
  </si>
  <si>
    <t xml:space="preserve">CD0639</t>
  </si>
  <si>
    <t xml:space="preserve">Phạm Hồng Toàn</t>
  </si>
  <si>
    <t xml:space="preserve">CD0640</t>
  </si>
  <si>
    <t xml:space="preserve">Nguyễn Đăng Nhâm</t>
  </si>
  <si>
    <t xml:space="preserve">Con đã chuyển sang Z10</t>
  </si>
  <si>
    <t xml:space="preserve">CD0641</t>
  </si>
  <si>
    <t xml:space="preserve">Đặng Anh Sơn</t>
  </si>
  <si>
    <t xml:space="preserve">CD0642</t>
  </si>
  <si>
    <t xml:space="preserve">Nguyễn Thanh Nhàn</t>
  </si>
  <si>
    <t xml:space="preserve">CD0643</t>
  </si>
  <si>
    <t xml:space="preserve">Đặng Khánh Linh</t>
  </si>
  <si>
    <t xml:space="preserve">CD0644</t>
  </si>
  <si>
    <t xml:space="preserve">Đặng Minh Tuấn</t>
  </si>
  <si>
    <t xml:space="preserve">001208052377</t>
  </si>
  <si>
    <t xml:space="preserve">CD0645</t>
  </si>
  <si>
    <t xml:space="preserve">Đặng Minh Anh</t>
  </si>
  <si>
    <t xml:space="preserve">Năm sinh 2015 khác ngày sinh 20/11/2013</t>
  </si>
  <si>
    <t xml:space="preserve">CD0646</t>
  </si>
  <si>
    <t xml:space="preserve">Nguyễn Ngọc Thành</t>
  </si>
  <si>
    <t xml:space="preserve">031075003207</t>
  </si>
  <si>
    <t xml:space="preserve">CD0647</t>
  </si>
  <si>
    <t xml:space="preserve">Đỗ Văn Cường</t>
  </si>
  <si>
    <t xml:space="preserve">CD0648</t>
  </si>
  <si>
    <t xml:space="preserve">Nguyễn Thị Linh</t>
  </si>
  <si>
    <t xml:space="preserve">Năm sinh 1987 khác ngày sinh 18/10/1976</t>
  </si>
  <si>
    <t xml:space="preserve">CD0649</t>
  </si>
  <si>
    <t xml:space="preserve">Đỗ Xuân Phúc</t>
  </si>
  <si>
    <t xml:space="preserve">CD0650</t>
  </si>
  <si>
    <t xml:space="preserve">Nguyễn Quốc Hùng</t>
  </si>
  <si>
    <t xml:space="preserve">001060011389</t>
  </si>
  <si>
    <t xml:space="preserve">CD0651</t>
  </si>
  <si>
    <t xml:space="preserve">Nguyễn Thị Sáu</t>
  </si>
  <si>
    <t xml:space="preserve">001157017596</t>
  </si>
  <si>
    <t xml:space="preserve">CD0652</t>
  </si>
  <si>
    <t xml:space="preserve">Nguyễn Quốc Bách</t>
  </si>
  <si>
    <t xml:space="preserve">001091036793</t>
  </si>
  <si>
    <t xml:space="preserve">CD0653</t>
  </si>
  <si>
    <t xml:space="preserve">Nguyễn Thị Thanh Phương</t>
  </si>
  <si>
    <t xml:space="preserve">001188032640</t>
  </si>
  <si>
    <t xml:space="preserve">CD0654</t>
  </si>
  <si>
    <t xml:space="preserve">Dương Thị Oanh</t>
  </si>
  <si>
    <t xml:space="preserve">001144003759</t>
  </si>
  <si>
    <t xml:space="preserve">CD0655</t>
  </si>
  <si>
    <t xml:space="preserve">Ninh Đức Tốn</t>
  </si>
  <si>
    <t xml:space="preserve">037038000246</t>
  </si>
  <si>
    <t xml:space="preserve">CD0656</t>
  </si>
  <si>
    <t xml:space="preserve">Ninh Đức Thịnh</t>
  </si>
  <si>
    <t xml:space="preserve">033073013363</t>
  </si>
  <si>
    <t xml:space="preserve">CD0657</t>
  </si>
  <si>
    <t xml:space="preserve">Nguyễn Hà Thu</t>
  </si>
  <si>
    <t xml:space="preserve">001177025791</t>
  </si>
  <si>
    <t xml:space="preserve">CD0658</t>
  </si>
  <si>
    <t xml:space="preserve">Ninh Thu Giang</t>
  </si>
  <si>
    <t xml:space="preserve">001303015684</t>
  </si>
  <si>
    <t xml:space="preserve">CD0659</t>
  </si>
  <si>
    <t xml:space="preserve">Ninh Đức Cường</t>
  </si>
  <si>
    <t xml:space="preserve">033069002927</t>
  </si>
  <si>
    <t xml:space="preserve">CD0660</t>
  </si>
  <si>
    <t xml:space="preserve">026173003621</t>
  </si>
  <si>
    <t xml:space="preserve">CD0661</t>
  </si>
  <si>
    <t xml:space="preserve">Ninh Phương Trang</t>
  </si>
  <si>
    <t xml:space="preserve">001300000620</t>
  </si>
  <si>
    <t xml:space="preserve">CD0662</t>
  </si>
  <si>
    <t xml:space="preserve">Ninh Đức Vượng</t>
  </si>
  <si>
    <t xml:space="preserve">001205005843</t>
  </si>
  <si>
    <t xml:space="preserve">CD0663</t>
  </si>
  <si>
    <t xml:space="preserve">Nguyễn Thi Thu Hằng</t>
  </si>
  <si>
    <t xml:space="preserve">077193004690</t>
  </si>
  <si>
    <t xml:space="preserve">CD0664</t>
  </si>
  <si>
    <t xml:space="preserve">Nguyễn Khắc Hiếu</t>
  </si>
  <si>
    <t xml:space="preserve">001082055959</t>
  </si>
  <si>
    <t xml:space="preserve">CD0665</t>
  </si>
  <si>
    <t xml:space="preserve">Phạm Thị Thao</t>
  </si>
  <si>
    <t xml:space="preserve">033143000765</t>
  </si>
  <si>
    <t xml:space="preserve">Tạm vắng</t>
  </si>
  <si>
    <t xml:space="preserve">Tạm trú: 608 CT2A, CC Nam Đô, Hoàng Mai</t>
  </si>
  <si>
    <t xml:space="preserve">CD0666</t>
  </si>
  <si>
    <t xml:space="preserve">Hà Hải Hưng</t>
  </si>
  <si>
    <t xml:space="preserve">001073027661</t>
  </si>
  <si>
    <t xml:space="preserve">CD0667</t>
  </si>
  <si>
    <t xml:space="preserve">Nguyễn Thị Lương</t>
  </si>
  <si>
    <t xml:space="preserve">027181002413</t>
  </si>
  <si>
    <t xml:space="preserve">CD0668</t>
  </si>
  <si>
    <t xml:space="preserve">001180028052</t>
  </si>
  <si>
    <t xml:space="preserve">CD0669</t>
  </si>
  <si>
    <t xml:space="preserve">Tạ Quốc An</t>
  </si>
  <si>
    <t xml:space="preserve">001077040605</t>
  </si>
  <si>
    <t xml:space="preserve">KS lập trình</t>
  </si>
  <si>
    <t xml:space="preserve">CD0670</t>
  </si>
  <si>
    <t xml:space="preserve">Nguyễn Thị Minh Thu</t>
  </si>
  <si>
    <t xml:space="preserve">Không có trong sổ cư dân, thêm từ Quân sự 2005 – kiểm tra người này còn ở tổ không</t>
  </si>
  <si>
    <t xml:space="preserve">CD0671</t>
  </si>
  <si>
    <t xml:space="preserve">Nguyễn Thi An Tường</t>
  </si>
  <si>
    <t xml:space="preserve">CD0672</t>
  </si>
  <si>
    <t xml:space="preserve">Nguyễn Nhật Anh</t>
  </si>
  <si>
    <t xml:space="preserve">CD0673</t>
  </si>
  <si>
    <t xml:space="preserve">Lê Bảo Minh</t>
  </si>
  <si>
    <t xml:space="preserve">CD0674</t>
  </si>
  <si>
    <t xml:space="preserve">Hà Anh Tú</t>
  </si>
  <si>
    <t xml:space="preserve">CD0675</t>
  </si>
  <si>
    <t xml:space="preserve">Trần Trường Giang</t>
  </si>
  <si>
    <t xml:space="preserve">CD0676</t>
  </si>
  <si>
    <t xml:space="preserve">Lê Lan Phương</t>
  </si>
  <si>
    <t xml:space="preserve">CD0677</t>
  </si>
  <si>
    <t xml:space="preserve">Ngọ Hồ Tuệ Nhi</t>
  </si>
  <si>
    <t xml:space="preserve">CD0678</t>
  </si>
  <si>
    <t xml:space="preserve">Nguyễn Văn Phượng</t>
  </si>
  <si>
    <t xml:space="preserve">DS người cao tuổi</t>
  </si>
  <si>
    <t xml:space="preserve">Không có trong sổ cư dân, thêm từ DS người cao tuổi – kiểm tra người này còn ở tổ không</t>
  </si>
  <si>
    <t xml:space="preserve">CD0679</t>
  </si>
  <si>
    <t xml:space="preserve">Kim Thị Nhạn</t>
  </si>
  <si>
    <t xml:space="preserve">Ngày</t>
  </si>
  <si>
    <t xml:space="preserve">Loại</t>
  </si>
  <si>
    <t xml:space="preserve">Nội dung</t>
  </si>
  <si>
    <t xml:space="preserve">Người cập nhật</t>
  </si>
</sst>
</file>

<file path=xl/styles.xml><?xml version="1.0" encoding="utf-8"?>
<styleSheet xmlns="http://schemas.openxmlformats.org/spreadsheetml/2006/main">
  <numFmts count="4">
    <numFmt numFmtId="164" formatCode="General"/>
    <numFmt numFmtId="165" formatCode="General"/>
    <numFmt numFmtId="166" formatCode="dd/mm/yyyy"/>
    <numFmt numFmtId="167" formatCode="@"/>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2"/>
      <name val="Arial"/>
      <family val="0"/>
      <charset val="1"/>
    </font>
    <font>
      <b val="true"/>
      <sz val="10"/>
      <name val="Arial"/>
      <family val="0"/>
      <charset val="1"/>
    </font>
    <font>
      <i val="true"/>
      <sz val="9"/>
      <name val="Arial"/>
      <family val="0"/>
      <charset val="1"/>
    </font>
    <font>
      <b val="true"/>
      <sz val="11"/>
      <color rgb="FFFFFFFF"/>
      <name val="Arial"/>
      <family val="0"/>
      <charset val="1"/>
    </font>
    <font>
      <sz val="10"/>
      <name val="Arial"/>
      <family val="2"/>
    </font>
  </fonts>
  <fills count="5">
    <fill>
      <patternFill patternType="none"/>
    </fill>
    <fill>
      <patternFill patternType="gray125"/>
    </fill>
    <fill>
      <patternFill patternType="solid">
        <fgColor rgb="FF1F4E78"/>
        <bgColor rgb="FF003366"/>
      </patternFill>
    </fill>
    <fill>
      <patternFill patternType="solid">
        <fgColor rgb="FFF2F2F2"/>
        <bgColor rgb="FFFFFFFF"/>
      </patternFill>
    </fill>
    <fill>
      <patternFill patternType="solid">
        <fgColor rgb="FFFFF2CC"/>
        <bgColor rgb="FFF2F2F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2F2F2"/>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7.25" hidden="false" customHeight="true" outlineLevel="0" collapsed="false">
      <c r="A1" s="2" t="s">
        <v>0</v>
      </c>
    </row>
    <row r="2" customFormat="false" ht="15" hidden="false" customHeight="true" outlineLevel="0" collapsed="false">
      <c r="A2" s="3"/>
    </row>
    <row r="3" customFormat="false" ht="15" hidden="false" customHeight="true" outlineLevel="0" collapsed="false">
      <c r="A3" s="4" t="s">
        <v>1</v>
      </c>
    </row>
    <row r="4" customFormat="false" ht="15" hidden="false" customHeight="true" outlineLevel="0" collapsed="false">
      <c r="A4" s="3" t="s">
        <v>2</v>
      </c>
    </row>
    <row r="5" customFormat="false" ht="15" hidden="false" customHeight="true" outlineLevel="0" collapsed="false">
      <c r="A5" s="3" t="s">
        <v>3</v>
      </c>
    </row>
    <row r="6" customFormat="false" ht="15" hidden="false" customHeight="true" outlineLevel="0" collapsed="false">
      <c r="A6" s="3" t="s">
        <v>4</v>
      </c>
    </row>
    <row r="7" customFormat="false" ht="15" hidden="false" customHeight="true" outlineLevel="0" collapsed="false">
      <c r="A7" s="3" t="s">
        <v>5</v>
      </c>
    </row>
    <row r="8" customFormat="false" ht="15" hidden="false" customHeight="true" outlineLevel="0" collapsed="false">
      <c r="A8" s="3" t="s">
        <v>6</v>
      </c>
    </row>
    <row r="9" customFormat="false" ht="15" hidden="false" customHeight="true" outlineLevel="0" collapsed="false">
      <c r="A9" s="3" t="s">
        <v>7</v>
      </c>
    </row>
    <row r="10" customFormat="false" ht="15" hidden="false" customHeight="true" outlineLevel="0" collapsed="false">
      <c r="A10" s="3"/>
    </row>
    <row r="11" customFormat="false" ht="15" hidden="false" customHeight="true" outlineLevel="0" collapsed="false">
      <c r="A11" s="4" t="s">
        <v>8</v>
      </c>
    </row>
    <row r="12" customFormat="false" ht="15" hidden="false" customHeight="true" outlineLevel="0" collapsed="false">
      <c r="A12" s="3" t="s">
        <v>9</v>
      </c>
    </row>
    <row r="13" customFormat="false" ht="15" hidden="false" customHeight="true" outlineLevel="0" collapsed="false">
      <c r="A13" s="3" t="s">
        <v>10</v>
      </c>
    </row>
    <row r="14" customFormat="false" ht="15" hidden="false" customHeight="true" outlineLevel="0" collapsed="false">
      <c r="A14" s="3" t="s">
        <v>11</v>
      </c>
    </row>
    <row r="15" customFormat="false" ht="15" hidden="false" customHeight="true" outlineLevel="0" collapsed="false">
      <c r="A15" s="3" t="s">
        <v>12</v>
      </c>
    </row>
    <row r="16" customFormat="false" ht="15" hidden="false" customHeight="true" outlineLevel="0" collapsed="false">
      <c r="A16" s="3"/>
    </row>
    <row r="17" customFormat="false" ht="15" hidden="false" customHeight="true" outlineLevel="0" collapsed="false">
      <c r="A17" s="4" t="s">
        <v>13</v>
      </c>
    </row>
    <row r="18" customFormat="false" ht="15" hidden="false" customHeight="true" outlineLevel="0" collapsed="false">
      <c r="A18" s="3" t="s">
        <v>14</v>
      </c>
    </row>
    <row r="19" customFormat="false" ht="15" hidden="false" customHeight="true" outlineLevel="0" collapsed="false">
      <c r="A19" s="3"/>
    </row>
    <row r="20" customFormat="false" ht="15" hidden="false" customHeight="true" outlineLevel="0" collapsed="false">
      <c r="A20" s="4" t="s">
        <v>15</v>
      </c>
    </row>
    <row r="21" customFormat="false" ht="23.25" hidden="false" customHeight="true" outlineLevel="0" collapsed="false">
      <c r="A21" s="3" t="s">
        <v>16</v>
      </c>
    </row>
    <row r="22" customFormat="false" ht="23.25" hidden="false" customHeight="true" outlineLevel="0" collapsed="false">
      <c r="A22" s="3" t="s">
        <v>17</v>
      </c>
    </row>
    <row r="23" customFormat="false" ht="15" hidden="false" customHeight="true" outlineLevel="0" collapsed="false">
      <c r="A23" s="3" t="s">
        <v>18</v>
      </c>
    </row>
    <row r="24" customFormat="false" ht="23.25" hidden="false" customHeight="true" outlineLevel="0" collapsed="false">
      <c r="A24" s="3" t="s">
        <v>19</v>
      </c>
    </row>
    <row r="25" customFormat="false" ht="15" hidden="false" customHeight="true" outlineLevel="0" collapsed="false">
      <c r="A25" s="3" t="s">
        <v>20</v>
      </c>
    </row>
    <row r="26" customFormat="false" ht="23.85" hidden="false" customHeight="false" outlineLevel="0" collapsed="false">
      <c r="A26" s="3"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2"/>
  </cols>
  <sheetData>
    <row r="1" customFormat="false" ht="15" hidden="false" customHeight="true" outlineLevel="0" collapsed="false">
      <c r="A1" s="5" t="s">
        <v>22</v>
      </c>
    </row>
    <row r="3" customFormat="false" ht="15" hidden="false" customHeight="true" outlineLevel="0" collapsed="false">
      <c r="A3" s="6" t="s">
        <v>23</v>
      </c>
      <c r="B3" s="7" t="n">
        <f aca="false">COUNTIF('Hộ gia đình'!$D$2:$D$2000,"&gt;0")</f>
        <v>160</v>
      </c>
    </row>
    <row r="4" customFormat="false" ht="15" hidden="false" customHeight="true" outlineLevel="0" collapsed="false">
      <c r="A4" s="6" t="s">
        <v>24</v>
      </c>
      <c r="B4" s="7" t="n">
        <f aca="false">COUNTIFS('Cư dân'!$O$2:$O$2000,"Đang ở")</f>
        <v>672</v>
      </c>
    </row>
    <row r="5" customFormat="false" ht="15" hidden="false" customHeight="true" outlineLevel="0" collapsed="false">
      <c r="A5" s="6" t="s">
        <v>25</v>
      </c>
      <c r="B5" s="7" t="n">
        <f aca="false">COUNTIFS('Cư dân'!$O$2:$O$2000,"Đang ở",'Cư dân'!$D$2:$D$2000,"Nam")</f>
        <v>173</v>
      </c>
    </row>
    <row r="6" customFormat="false" ht="15" hidden="false" customHeight="true" outlineLevel="0" collapsed="false">
      <c r="A6" s="6" t="s">
        <v>26</v>
      </c>
      <c r="B6" s="7" t="n">
        <f aca="false">COUNTIFS('Cư dân'!$O$2:$O$2000,"Đang ở",'Cư dân'!$D$2:$D$2000,"Nữ")</f>
        <v>186</v>
      </c>
    </row>
    <row r="7" customFormat="false" ht="15" hidden="false" customHeight="true" outlineLevel="0" collapsed="false">
      <c r="A7" s="6" t="s">
        <v>27</v>
      </c>
      <c r="B7" s="7" t="n">
        <f aca="false">COUNTIFS('Cư dân'!$O$2:$O$2000,"Đang ở",'Cư dân'!$D$2:$D$2000,"")</f>
        <v>313</v>
      </c>
    </row>
    <row r="8" customFormat="false" ht="15" hidden="false" customHeight="true" outlineLevel="0" collapsed="false">
      <c r="A8" s="6" t="s">
        <v>28</v>
      </c>
      <c r="B8" s="7" t="n">
        <f aca="false">COUNTIFS('Cư dân'!$O$2:$O$2000,"Đang ở",'Cư dân'!$N$2:$N$2000,"Có")</f>
        <v>326</v>
      </c>
    </row>
    <row r="10" customFormat="false" ht="15" hidden="false" customHeight="true" outlineLevel="0" collapsed="false">
      <c r="A10" s="8" t="s">
        <v>29</v>
      </c>
    </row>
    <row r="11" customFormat="false" ht="15" hidden="false" customHeight="true" outlineLevel="0" collapsed="false">
      <c r="A11" s="6" t="s">
        <v>30</v>
      </c>
      <c r="B11" s="7" t="n">
        <f aca="false">COUNTIFS('Cư dân'!$O$2:$O$2000,"Đang ở",'Cư dân'!$H$2:$H$2000,"Trẻ em")</f>
        <v>9</v>
      </c>
    </row>
    <row r="12" customFormat="false" ht="15" hidden="false" customHeight="true" outlineLevel="0" collapsed="false">
      <c r="A12" s="6" t="s">
        <v>31</v>
      </c>
      <c r="B12" s="7" t="n">
        <f aca="false">COUNTIFS('Cư dân'!$O$2:$O$2000,"Đang ở",'Cư dân'!$H$2:$H$2000,"Học sinh / Sinh viên")</f>
        <v>172</v>
      </c>
    </row>
    <row r="13" customFormat="false" ht="15" hidden="false" customHeight="true" outlineLevel="0" collapsed="false">
      <c r="A13" s="6" t="s">
        <v>32</v>
      </c>
      <c r="B13" s="7" t="n">
        <f aca="false">COUNTIFS('Cư dân'!$O$2:$O$2000,"Đang ở",'Cư dân'!$H$2:$H$2000,"Đang đi làm")</f>
        <v>351</v>
      </c>
    </row>
    <row r="14" customFormat="false" ht="15" hidden="false" customHeight="true" outlineLevel="0" collapsed="false">
      <c r="A14" s="6" t="s">
        <v>33</v>
      </c>
      <c r="B14" s="7" t="n">
        <f aca="false">COUNTIFS('Cư dân'!$O$2:$O$2000,"Đang ở",'Cư dân'!$H$2:$H$2000,"Nghỉ hưu")</f>
        <v>129</v>
      </c>
    </row>
    <row r="15" customFormat="false" ht="15" hidden="false" customHeight="true" outlineLevel="0" collapsed="false">
      <c r="A15" s="6" t="s">
        <v>34</v>
      </c>
      <c r="B15" s="7" t="n">
        <f aca="false">COUNTIFS('Cư dân'!$O$2:$O$2000,"Đang ở",'Cư dân'!$H$2:$H$2000,"Thiếu thông tin")</f>
        <v>11</v>
      </c>
    </row>
    <row r="17" customFormat="false" ht="15" hidden="false" customHeight="true" outlineLevel="0" collapsed="false">
      <c r="A17" s="8" t="s">
        <v>35</v>
      </c>
    </row>
    <row r="18" customFormat="false" ht="15" hidden="false" customHeight="true" outlineLevel="0" collapsed="false">
      <c r="A18" s="6" t="s">
        <v>36</v>
      </c>
      <c r="B18" s="7" t="n">
        <f aca="false">COUNTIFS('Cư dân'!$O$2:$O$2000,"Đang ở",'Cư dân'!$G$2:$G$2000,70)</f>
        <v>4</v>
      </c>
    </row>
    <row r="19" customFormat="false" ht="15" hidden="false" customHeight="true" outlineLevel="0" collapsed="false">
      <c r="A19" s="6" t="s">
        <v>37</v>
      </c>
      <c r="B19" s="7" t="n">
        <f aca="false">COUNTIFS('Cư dân'!$O$2:$O$2000,"Đang ở",'Cư dân'!$G$2:$G$2000,75)</f>
        <v>4</v>
      </c>
    </row>
    <row r="20" customFormat="false" ht="15" hidden="false" customHeight="true" outlineLevel="0" collapsed="false">
      <c r="A20" s="6" t="s">
        <v>38</v>
      </c>
      <c r="B20" s="7" t="n">
        <f aca="false">COUNTIFS('Cư dân'!$O$2:$O$2000,"Đang ở",'Cư dân'!$G$2:$G$2000,80)</f>
        <v>2</v>
      </c>
    </row>
    <row r="21" customFormat="false" ht="15" hidden="false" customHeight="true" outlineLevel="0" collapsed="false">
      <c r="A21" s="6" t="s">
        <v>39</v>
      </c>
      <c r="B21" s="7" t="n">
        <f aca="false">COUNTIFS('Cư dân'!$O$2:$O$2000,"Đang ở",'Cư dân'!$G$2:$G$2000,85)</f>
        <v>1</v>
      </c>
    </row>
    <row r="22" customFormat="false" ht="15" hidden="false" customHeight="true" outlineLevel="0" collapsed="false">
      <c r="A22" s="6" t="s">
        <v>40</v>
      </c>
      <c r="B22" s="7" t="n">
        <f aca="false">COUNTIFS('Cư dân'!$O$2:$O$2000,"Đang ở",'Cư dân'!$G$2:$G$2000,90)</f>
        <v>2</v>
      </c>
    </row>
    <row r="23" customFormat="false" ht="15" hidden="false" customHeight="true" outlineLevel="0" collapsed="false">
      <c r="A23" s="6" t="s">
        <v>41</v>
      </c>
      <c r="B23" s="7" t="n">
        <f aca="false">COUNTIFS('Cư dân'!$O$2:$O$2000,"Đang ở",'Cư dân'!$G$2:$G$2000,95)</f>
        <v>1</v>
      </c>
    </row>
    <row r="24" customFormat="false" ht="15" hidden="false" customHeight="true" outlineLevel="0" collapsed="false">
      <c r="A24" s="6" t="s">
        <v>42</v>
      </c>
      <c r="B24" s="7" t="n">
        <f aca="false">COUNTIFS('Cư dân'!$O$2:$O$2000,"Đang ở",'Cư dân'!$G$2:$G$2000,"&gt;=100")</f>
        <v>0</v>
      </c>
    </row>
    <row r="26" customFormat="false" ht="15" hidden="false" customHeight="true" outlineLevel="0" collapsed="false">
      <c r="A26" s="6" t="s">
        <v>43</v>
      </c>
      <c r="B26" s="7" t="n">
        <f aca="false">COUNTIFS('Cư dân'!$O$2:$O$2000,"Đang ở",'Cư dân'!$D$2:$D$2000,"Nam",'Cư dân'!$G$2:$G$2000,"&gt;=18",'Cư dân'!$G$2:$G$2000,"&lt;=27")</f>
        <v>37</v>
      </c>
    </row>
    <row r="28" customFormat="false" ht="15" hidden="false" customHeight="true" outlineLevel="0" collapsed="false">
      <c r="A28" s="8" t="s">
        <v>44</v>
      </c>
    </row>
    <row r="29" customFormat="false" ht="15" hidden="false" customHeight="true" outlineLevel="0" collapsed="false">
      <c r="A29" s="6" t="s">
        <v>45</v>
      </c>
      <c r="B29" s="7" t="n">
        <f aca="false">COUNTIF('Cư dân'!$O$2:$O$2000,"Tạm vắng")</f>
        <v>3</v>
      </c>
    </row>
    <row r="30" customFormat="false" ht="15" hidden="false" customHeight="true" outlineLevel="0" collapsed="false">
      <c r="A30" s="6" t="s">
        <v>46</v>
      </c>
      <c r="B30" s="7" t="n">
        <f aca="false">COUNTIF('Cư dân'!$O$2:$O$2000,"Đã chuyển đi")</f>
        <v>1</v>
      </c>
    </row>
    <row r="31" customFormat="false" ht="15" hidden="false" customHeight="true" outlineLevel="0" collapsed="false">
      <c r="A31" s="6" t="s">
        <v>47</v>
      </c>
      <c r="B31" s="7" t="n">
        <f aca="false">COUNTIF('Cư dân'!$O$2:$O$2000,"Đã mất")</f>
        <v>3</v>
      </c>
    </row>
    <row r="32" customFormat="false" ht="15" hidden="false" customHeight="true" outlineLevel="0" collapsed="false">
      <c r="A32" s="6" t="s">
        <v>48</v>
      </c>
      <c r="B32" s="7" t="n">
        <f aca="false">COUNTIF('Cư dân'!$R$2:$R$2000,"?*")</f>
        <v>132</v>
      </c>
    </row>
    <row r="34" customFormat="false" ht="15" hidden="false" customHeight="true" outlineLevel="0" collapsed="false">
      <c r="A34" s="9"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34"/>
    <col collapsed="false" customWidth="true" hidden="false" outlineLevel="0" max="3" min="3" style="1" width="26"/>
    <col collapsed="false" customWidth="true" hidden="false" outlineLevel="0" max="4" min="4" style="1" width="13"/>
    <col collapsed="false" customWidth="true" hidden="false" outlineLevel="0" max="5" min="5" style="1" width="30"/>
    <col collapsed="false" customWidth="true" hidden="false" outlineLevel="0" max="6" min="6" style="1" width="50"/>
  </cols>
  <sheetData>
    <row r="1" customFormat="false" ht="31.5" hidden="false" customHeight="true" outlineLevel="0" collapsed="false">
      <c r="A1" s="10" t="s">
        <v>50</v>
      </c>
      <c r="B1" s="10" t="s">
        <v>51</v>
      </c>
      <c r="C1" s="10" t="s">
        <v>52</v>
      </c>
      <c r="D1" s="10" t="s">
        <v>53</v>
      </c>
      <c r="E1" s="10" t="s">
        <v>54</v>
      </c>
      <c r="F1" s="10" t="s">
        <v>55</v>
      </c>
    </row>
    <row r="2" customFormat="false" ht="15" hidden="false" customHeight="true" outlineLevel="0" collapsed="false">
      <c r="A2" s="6" t="s">
        <v>56</v>
      </c>
      <c r="B2" s="6" t="s">
        <v>57</v>
      </c>
      <c r="C2" s="11" t="str">
        <f aca="false">IFERROR(INDEX('Cư dân'!$C$2:$C$2000,MATCH(1,INDEX(('Cư dân'!$B$2:$B$2000=A2)*('Cư dân'!$I$2:$I$2000="Chủ hộ"),0),0)),"")</f>
        <v>Phạm Thị Ngân</v>
      </c>
      <c r="D2" s="11" t="n">
        <f aca="false">COUNTIFS('Cư dân'!$B$2:$B$2000,A2,'Cư dân'!$O$2:$O$2000,"Đang ở")</f>
        <v>10</v>
      </c>
      <c r="E2" s="6"/>
      <c r="F2" s="12"/>
    </row>
    <row r="3" customFormat="false" ht="15" hidden="false" customHeight="true" outlineLevel="0" collapsed="false">
      <c r="A3" s="6" t="s">
        <v>58</v>
      </c>
      <c r="B3" s="6" t="s">
        <v>59</v>
      </c>
      <c r="C3" s="11" t="str">
        <f aca="false">IFERROR(INDEX('Cư dân'!$C$2:$C$2000,MATCH(1,INDEX(('Cư dân'!$B$2:$B$2000=A3)*('Cư dân'!$I$2:$I$2000="Chủ hộ"),0),0)),"")</f>
        <v>Tạ Đình Tuấn</v>
      </c>
      <c r="D3" s="11" t="n">
        <f aca="false">COUNTIFS('Cư dân'!$B$2:$B$2000,A3,'Cư dân'!$O$2:$O$2000,"Đang ở")</f>
        <v>5</v>
      </c>
      <c r="E3" s="6"/>
      <c r="F3" s="12"/>
    </row>
    <row r="4" customFormat="false" ht="15" hidden="false" customHeight="true" outlineLevel="0" collapsed="false">
      <c r="A4" s="6" t="s">
        <v>60</v>
      </c>
      <c r="B4" s="6" t="s">
        <v>61</v>
      </c>
      <c r="C4" s="11" t="str">
        <f aca="false">IFERROR(INDEX('Cư dân'!$C$2:$C$2000,MATCH(1,INDEX(('Cư dân'!$B$2:$B$2000=A4)*('Cư dân'!$I$2:$I$2000="Chủ hộ"),0),0)),"")</f>
        <v>Lê Thị Hồng</v>
      </c>
      <c r="D4" s="11" t="n">
        <f aca="false">COUNTIFS('Cư dân'!$B$2:$B$2000,A4,'Cư dân'!$O$2:$O$2000,"Đang ở")</f>
        <v>1</v>
      </c>
      <c r="E4" s="6"/>
      <c r="F4" s="12"/>
    </row>
    <row r="5" customFormat="false" ht="15" hidden="false" customHeight="true" outlineLevel="0" collapsed="false">
      <c r="A5" s="6" t="s">
        <v>62</v>
      </c>
      <c r="B5" s="6" t="s">
        <v>61</v>
      </c>
      <c r="C5" s="11" t="str">
        <f aca="false">IFERROR(INDEX('Cư dân'!$C$2:$C$2000,MATCH(1,INDEX(('Cư dân'!$B$2:$B$2000=A5)*('Cư dân'!$I$2:$I$2000="Chủ hộ"),0),0)),"")</f>
        <v>Nguyễn Thị Bích Huệ</v>
      </c>
      <c r="D5" s="11" t="n">
        <f aca="false">COUNTIFS('Cư dân'!$B$2:$B$2000,A5,'Cư dân'!$O$2:$O$2000,"Đang ở")</f>
        <v>1</v>
      </c>
      <c r="E5" s="6"/>
      <c r="F5" s="12"/>
    </row>
    <row r="6" customFormat="false" ht="15" hidden="false" customHeight="true" outlineLevel="0" collapsed="false">
      <c r="A6" s="6" t="s">
        <v>63</v>
      </c>
      <c r="B6" s="6" t="s">
        <v>61</v>
      </c>
      <c r="C6" s="11" t="str">
        <f aca="false">IFERROR(INDEX('Cư dân'!$C$2:$C$2000,MATCH(1,INDEX(('Cư dân'!$B$2:$B$2000=A6)*('Cư dân'!$I$2:$I$2000="Chủ hộ"),0),0)),"")</f>
        <v>Nguyễn Thị Thu Hằng</v>
      </c>
      <c r="D6" s="11" t="n">
        <f aca="false">COUNTIFS('Cư dân'!$B$2:$B$2000,A6,'Cư dân'!$O$2:$O$2000,"Đang ở")</f>
        <v>4</v>
      </c>
      <c r="E6" s="6"/>
      <c r="F6" s="12"/>
    </row>
    <row r="7" customFormat="false" ht="15" hidden="false" customHeight="true" outlineLevel="0" collapsed="false">
      <c r="A7" s="6" t="s">
        <v>64</v>
      </c>
      <c r="B7" s="6" t="s">
        <v>65</v>
      </c>
      <c r="C7" s="11" t="str">
        <f aca="false">IFERROR(INDEX('Cư dân'!$C$2:$C$2000,MATCH(1,INDEX(('Cư dân'!$B$2:$B$2000=A7)*('Cư dân'!$I$2:$I$2000="Chủ hộ"),0),0)),"")</f>
        <v>Phạm Văn Khôi</v>
      </c>
      <c r="D7" s="11" t="n">
        <f aca="false">COUNTIFS('Cư dân'!$B$2:$B$2000,A7,'Cư dân'!$O$2:$O$2000,"Đang ở")</f>
        <v>8</v>
      </c>
      <c r="E7" s="6"/>
      <c r="F7" s="12"/>
    </row>
    <row r="8" customFormat="false" ht="15" hidden="false" customHeight="true" outlineLevel="0" collapsed="false">
      <c r="A8" s="6" t="s">
        <v>66</v>
      </c>
      <c r="B8" s="6" t="s">
        <v>67</v>
      </c>
      <c r="C8" s="11" t="str">
        <f aca="false">IFERROR(INDEX('Cư dân'!$C$2:$C$2000,MATCH(1,INDEX(('Cư dân'!$B$2:$B$2000=A8)*('Cư dân'!$I$2:$I$2000="Chủ hộ"),0),0)),"")</f>
        <v>Quách Thị Hương</v>
      </c>
      <c r="D8" s="11" t="n">
        <f aca="false">COUNTIFS('Cư dân'!$B$2:$B$2000,A8,'Cư dân'!$O$2:$O$2000,"Đang ở")</f>
        <v>6</v>
      </c>
      <c r="E8" s="6"/>
      <c r="F8" s="12"/>
    </row>
    <row r="9" customFormat="false" ht="15" hidden="false" customHeight="true" outlineLevel="0" collapsed="false">
      <c r="A9" s="6" t="s">
        <v>68</v>
      </c>
      <c r="B9" s="6" t="s">
        <v>69</v>
      </c>
      <c r="C9" s="11" t="str">
        <f aca="false">IFERROR(INDEX('Cư dân'!$C$2:$C$2000,MATCH(1,INDEX(('Cư dân'!$B$2:$B$2000=A9)*('Cư dân'!$I$2:$I$2000="Chủ hộ"),0),0)),"")</f>
        <v>Phạm Quế Anh</v>
      </c>
      <c r="D9" s="11" t="n">
        <f aca="false">COUNTIFS('Cư dân'!$B$2:$B$2000,A9,'Cư dân'!$O$2:$O$2000,"Đang ở")</f>
        <v>4</v>
      </c>
      <c r="E9" s="6"/>
      <c r="F9" s="12"/>
    </row>
    <row r="10" customFormat="false" ht="15" hidden="false" customHeight="true" outlineLevel="0" collapsed="false">
      <c r="A10" s="6" t="s">
        <v>70</v>
      </c>
      <c r="B10" s="6" t="s">
        <v>71</v>
      </c>
      <c r="C10" s="11" t="str">
        <f aca="false">IFERROR(INDEX('Cư dân'!$C$2:$C$2000,MATCH(1,INDEX(('Cư dân'!$B$2:$B$2000=A10)*('Cư dân'!$I$2:$I$2000="Chủ hộ"),0),0)),"")</f>
        <v>Lê Hồng Tịnh</v>
      </c>
      <c r="D10" s="11" t="n">
        <f aca="false">COUNTIFS('Cư dân'!$B$2:$B$2000,A10,'Cư dân'!$O$2:$O$2000,"Đang ở")</f>
        <v>5</v>
      </c>
      <c r="E10" s="6"/>
      <c r="F10" s="12" t="s">
        <v>72</v>
      </c>
    </row>
    <row r="11" customFormat="false" ht="15" hidden="false" customHeight="true" outlineLevel="0" collapsed="false">
      <c r="A11" s="6" t="s">
        <v>73</v>
      </c>
      <c r="B11" s="6" t="s">
        <v>74</v>
      </c>
      <c r="C11" s="11" t="str">
        <f aca="false">IFERROR(INDEX('Cư dân'!$C$2:$C$2000,MATCH(1,INDEX(('Cư dân'!$B$2:$B$2000=A11)*('Cư dân'!$I$2:$I$2000="Chủ hộ"),0),0)),"")</f>
        <v>Phạm Quý Đức</v>
      </c>
      <c r="D11" s="11" t="n">
        <f aca="false">COUNTIFS('Cư dân'!$B$2:$B$2000,A11,'Cư dân'!$O$2:$O$2000,"Đang ở")</f>
        <v>2</v>
      </c>
      <c r="E11" s="6"/>
      <c r="F11" s="12" t="s">
        <v>72</v>
      </c>
    </row>
    <row r="12" customFormat="false" ht="15" hidden="false" customHeight="true" outlineLevel="0" collapsed="false">
      <c r="A12" s="6" t="s">
        <v>75</v>
      </c>
      <c r="B12" s="6" t="s">
        <v>74</v>
      </c>
      <c r="C12" s="11" t="str">
        <f aca="false">IFERROR(INDEX('Cư dân'!$C$2:$C$2000,MATCH(1,INDEX(('Cư dân'!$B$2:$B$2000=A12)*('Cư dân'!$I$2:$I$2000="Chủ hộ"),0),0)),"")</f>
        <v>Phạm Quang Anh</v>
      </c>
      <c r="D12" s="11" t="n">
        <f aca="false">COUNTIFS('Cư dân'!$B$2:$B$2000,A12,'Cư dân'!$O$2:$O$2000,"Đang ở")</f>
        <v>3</v>
      </c>
      <c r="E12" s="6"/>
      <c r="F12" s="12"/>
    </row>
    <row r="13" customFormat="false" ht="15" hidden="false" customHeight="true" outlineLevel="0" collapsed="false">
      <c r="A13" s="6" t="s">
        <v>76</v>
      </c>
      <c r="B13" s="6" t="s">
        <v>77</v>
      </c>
      <c r="C13" s="11" t="str">
        <f aca="false">IFERROR(INDEX('Cư dân'!$C$2:$C$2000,MATCH(1,INDEX(('Cư dân'!$B$2:$B$2000=A13)*('Cư dân'!$I$2:$I$2000="Chủ hộ"),0),0)),"")</f>
        <v>Trần Thị Kim Mai</v>
      </c>
      <c r="D13" s="11" t="n">
        <f aca="false">COUNTIFS('Cư dân'!$B$2:$B$2000,A13,'Cư dân'!$O$2:$O$2000,"Đang ở")</f>
        <v>4</v>
      </c>
      <c r="E13" s="6"/>
      <c r="F13" s="12"/>
    </row>
    <row r="14" customFormat="false" ht="15" hidden="false" customHeight="true" outlineLevel="0" collapsed="false">
      <c r="A14" s="6" t="s">
        <v>78</v>
      </c>
      <c r="B14" s="6" t="s">
        <v>79</v>
      </c>
      <c r="C14" s="11" t="str">
        <f aca="false">IFERROR(INDEX('Cư dân'!$C$2:$C$2000,MATCH(1,INDEX(('Cư dân'!$B$2:$B$2000=A14)*('Cư dân'!$I$2:$I$2000="Chủ hộ"),0),0)),"")</f>
        <v>Nguyễn Quốc Thắng</v>
      </c>
      <c r="D14" s="11" t="n">
        <f aca="false">COUNTIFS('Cư dân'!$B$2:$B$2000,A14,'Cư dân'!$O$2:$O$2000,"Đang ở")</f>
        <v>4</v>
      </c>
      <c r="E14" s="6"/>
      <c r="F14" s="12"/>
    </row>
    <row r="15" customFormat="false" ht="15" hidden="false" customHeight="true" outlineLevel="0" collapsed="false">
      <c r="A15" s="6" t="s">
        <v>80</v>
      </c>
      <c r="B15" s="6" t="s">
        <v>81</v>
      </c>
      <c r="C15" s="11" t="str">
        <f aca="false">IFERROR(INDEX('Cư dân'!$C$2:$C$2000,MATCH(1,INDEX(('Cư dân'!$B$2:$B$2000=A15)*('Cư dân'!$I$2:$I$2000="Chủ hộ"),0),0)),"")</f>
        <v>Cao Trọng Ngọc</v>
      </c>
      <c r="D15" s="11" t="n">
        <f aca="false">COUNTIFS('Cư dân'!$B$2:$B$2000,A15,'Cư dân'!$O$2:$O$2000,"Đang ở")</f>
        <v>5</v>
      </c>
      <c r="E15" s="6"/>
      <c r="F15" s="12"/>
    </row>
    <row r="16" customFormat="false" ht="15" hidden="false" customHeight="true" outlineLevel="0" collapsed="false">
      <c r="A16" s="6" t="s">
        <v>82</v>
      </c>
      <c r="B16" s="6" t="s">
        <v>83</v>
      </c>
      <c r="C16" s="11" t="str">
        <f aca="false">IFERROR(INDEX('Cư dân'!$C$2:$C$2000,MATCH(1,INDEX(('Cư dân'!$B$2:$B$2000=A16)*('Cư dân'!$I$2:$I$2000="Chủ hộ"),0),0)),"")</f>
        <v>Ngô Văn Khiếu</v>
      </c>
      <c r="D16" s="11" t="n">
        <f aca="false">COUNTIFS('Cư dân'!$B$2:$B$2000,A16,'Cư dân'!$O$2:$O$2000,"Đang ở")</f>
        <v>4</v>
      </c>
      <c r="E16" s="6"/>
      <c r="F16" s="12"/>
    </row>
    <row r="17" customFormat="false" ht="15" hidden="false" customHeight="true" outlineLevel="0" collapsed="false">
      <c r="A17" s="6" t="s">
        <v>84</v>
      </c>
      <c r="B17" s="6" t="s">
        <v>85</v>
      </c>
      <c r="C17" s="11" t="str">
        <f aca="false">IFERROR(INDEX('Cư dân'!$C$2:$C$2000,MATCH(1,INDEX(('Cư dân'!$B$2:$B$2000=A17)*('Cư dân'!$I$2:$I$2000="Chủ hộ"),0),0)),"")</f>
        <v>Lê Minh Thông</v>
      </c>
      <c r="D17" s="11" t="n">
        <f aca="false">COUNTIFS('Cư dân'!$B$2:$B$2000,A17,'Cư dân'!$O$2:$O$2000,"Đang ở")</f>
        <v>3</v>
      </c>
      <c r="E17" s="6"/>
      <c r="F17" s="12"/>
    </row>
    <row r="18" customFormat="false" ht="15" hidden="false" customHeight="true" outlineLevel="0" collapsed="false">
      <c r="A18" s="6" t="s">
        <v>86</v>
      </c>
      <c r="B18" s="6" t="s">
        <v>87</v>
      </c>
      <c r="C18" s="11" t="str">
        <f aca="false">IFERROR(INDEX('Cư dân'!$C$2:$C$2000,MATCH(1,INDEX(('Cư dân'!$B$2:$B$2000=A18)*('Cư dân'!$I$2:$I$2000="Chủ hộ"),0),0)),"")</f>
        <v>Nguyễn Thị Mai Tần</v>
      </c>
      <c r="D18" s="11" t="n">
        <f aca="false">COUNTIFS('Cư dân'!$B$2:$B$2000,A18,'Cư dân'!$O$2:$O$2000,"Đang ở")</f>
        <v>1</v>
      </c>
      <c r="E18" s="6"/>
      <c r="F18" s="12" t="s">
        <v>72</v>
      </c>
    </row>
    <row r="19" customFormat="false" ht="15" hidden="false" customHeight="true" outlineLevel="0" collapsed="false">
      <c r="A19" s="6" t="s">
        <v>88</v>
      </c>
      <c r="B19" s="6" t="s">
        <v>87</v>
      </c>
      <c r="C19" s="11" t="str">
        <f aca="false">IFERROR(INDEX('Cư dân'!$C$2:$C$2000,MATCH(1,INDEX(('Cư dân'!$B$2:$B$2000=A19)*('Cư dân'!$I$2:$I$2000="Chủ hộ"),0),0)),"")</f>
        <v>Trần Xuân Dương</v>
      </c>
      <c r="D19" s="11" t="n">
        <f aca="false">COUNTIFS('Cư dân'!$B$2:$B$2000,A19,'Cư dân'!$O$2:$O$2000,"Đang ở")</f>
        <v>4</v>
      </c>
      <c r="E19" s="6"/>
      <c r="F19" s="12" t="s">
        <v>72</v>
      </c>
    </row>
    <row r="20" customFormat="false" ht="15" hidden="false" customHeight="true" outlineLevel="0" collapsed="false">
      <c r="A20" s="6" t="s">
        <v>89</v>
      </c>
      <c r="B20" s="6" t="s">
        <v>87</v>
      </c>
      <c r="C20" s="11" t="str">
        <f aca="false">IFERROR(INDEX('Cư dân'!$C$2:$C$2000,MATCH(1,INDEX(('Cư dân'!$B$2:$B$2000=A20)*('Cư dân'!$I$2:$I$2000="Chủ hộ"),0),0)),"")</f>
        <v>Trần Minh Dũng</v>
      </c>
      <c r="D20" s="11" t="n">
        <f aca="false">COUNTIFS('Cư dân'!$B$2:$B$2000,A20,'Cư dân'!$O$2:$O$2000,"Đang ở")</f>
        <v>4</v>
      </c>
      <c r="E20" s="6"/>
      <c r="F20" s="12" t="s">
        <v>72</v>
      </c>
    </row>
    <row r="21" customFormat="false" ht="15" hidden="false" customHeight="true" outlineLevel="0" collapsed="false">
      <c r="A21" s="6" t="s">
        <v>90</v>
      </c>
      <c r="B21" s="6" t="s">
        <v>91</v>
      </c>
      <c r="C21" s="11" t="str">
        <f aca="false">IFERROR(INDEX('Cư dân'!$C$2:$C$2000,MATCH(1,INDEX(('Cư dân'!$B$2:$B$2000=A21)*('Cư dân'!$I$2:$I$2000="Chủ hộ"),0),0)),"")</f>
        <v>Đặng Huyền Thái</v>
      </c>
      <c r="D21" s="11" t="n">
        <f aca="false">COUNTIFS('Cư dân'!$B$2:$B$2000,A21,'Cư dân'!$O$2:$O$2000,"Đang ở")</f>
        <v>6</v>
      </c>
      <c r="E21" s="6"/>
      <c r="F21" s="12" t="s">
        <v>72</v>
      </c>
    </row>
    <row r="22" customFormat="false" ht="15" hidden="false" customHeight="true" outlineLevel="0" collapsed="false">
      <c r="A22" s="6" t="s">
        <v>92</v>
      </c>
      <c r="B22" s="6" t="s">
        <v>93</v>
      </c>
      <c r="C22" s="11" t="str">
        <f aca="false">IFERROR(INDEX('Cư dân'!$C$2:$C$2000,MATCH(1,INDEX(('Cư dân'!$B$2:$B$2000=A22)*('Cư dân'!$I$2:$I$2000="Chủ hộ"),0),0)),"")</f>
        <v>Võ Trí Hải</v>
      </c>
      <c r="D22" s="11" t="n">
        <f aca="false">COUNTIFS('Cư dân'!$B$2:$B$2000,A22,'Cư dân'!$O$2:$O$2000,"Đang ở")</f>
        <v>4</v>
      </c>
      <c r="E22" s="6"/>
      <c r="F22" s="12" t="s">
        <v>72</v>
      </c>
    </row>
    <row r="23" customFormat="false" ht="15" hidden="false" customHeight="true" outlineLevel="0" collapsed="false">
      <c r="A23" s="6" t="s">
        <v>94</v>
      </c>
      <c r="B23" s="6" t="s">
        <v>95</v>
      </c>
      <c r="C23" s="11" t="str">
        <f aca="false">IFERROR(INDEX('Cư dân'!$C$2:$C$2000,MATCH(1,INDEX(('Cư dân'!$B$2:$B$2000=A23)*('Cư dân'!$I$2:$I$2000="Chủ hộ"),0),0)),"")</f>
        <v>Đào Văn Đô</v>
      </c>
      <c r="D23" s="11" t="n">
        <f aca="false">COUNTIFS('Cư dân'!$B$2:$B$2000,A23,'Cư dân'!$O$2:$O$2000,"Đang ở")</f>
        <v>7</v>
      </c>
      <c r="E23" s="6"/>
      <c r="F23" s="12"/>
    </row>
    <row r="24" customFormat="false" ht="15" hidden="false" customHeight="true" outlineLevel="0" collapsed="false">
      <c r="A24" s="6" t="s">
        <v>96</v>
      </c>
      <c r="B24" s="6" t="s">
        <v>97</v>
      </c>
      <c r="C24" s="11" t="str">
        <f aca="false">IFERROR(INDEX('Cư dân'!$C$2:$C$2000,MATCH(1,INDEX(('Cư dân'!$B$2:$B$2000=A24)*('Cư dân'!$I$2:$I$2000="Chủ hộ"),0),0)),"")</f>
        <v>Hoàng Thị Tỉnh</v>
      </c>
      <c r="D24" s="11" t="n">
        <f aca="false">COUNTIFS('Cư dân'!$B$2:$B$2000,A24,'Cư dân'!$O$2:$O$2000,"Đang ở")</f>
        <v>1</v>
      </c>
      <c r="E24" s="6"/>
      <c r="F24" s="12"/>
    </row>
    <row r="25" customFormat="false" ht="15" hidden="false" customHeight="true" outlineLevel="0" collapsed="false">
      <c r="A25" s="6" t="s">
        <v>98</v>
      </c>
      <c r="B25" s="6" t="s">
        <v>99</v>
      </c>
      <c r="C25" s="11" t="str">
        <f aca="false">IFERROR(INDEX('Cư dân'!$C$2:$C$2000,MATCH(1,INDEX(('Cư dân'!$B$2:$B$2000=A25)*('Cư dân'!$I$2:$I$2000="Chủ hộ"),0),0)),"")</f>
        <v>Trần Vĩnh Diệu</v>
      </c>
      <c r="D25" s="11" t="n">
        <f aca="false">COUNTIFS('Cư dân'!$B$2:$B$2000,A25,'Cư dân'!$O$2:$O$2000,"Đang ở")</f>
        <v>4</v>
      </c>
      <c r="E25" s="6"/>
      <c r="F25" s="12" t="s">
        <v>72</v>
      </c>
    </row>
    <row r="26" customFormat="false" ht="15" hidden="false" customHeight="true" outlineLevel="0" collapsed="false">
      <c r="A26" s="6" t="s">
        <v>100</v>
      </c>
      <c r="B26" s="6" t="s">
        <v>101</v>
      </c>
      <c r="C26" s="11" t="str">
        <f aca="false">IFERROR(INDEX('Cư dân'!$C$2:$C$2000,MATCH(1,INDEX(('Cư dân'!$B$2:$B$2000=A26)*('Cư dân'!$I$2:$I$2000="Chủ hộ"),0),0)),"")</f>
        <v>Lê Thị Phấn</v>
      </c>
      <c r="D26" s="11" t="n">
        <f aca="false">COUNTIFS('Cư dân'!$B$2:$B$2000,A26,'Cư dân'!$O$2:$O$2000,"Đang ở")</f>
        <v>6</v>
      </c>
      <c r="E26" s="6"/>
      <c r="F26" s="12"/>
    </row>
    <row r="27" customFormat="false" ht="15" hidden="false" customHeight="true" outlineLevel="0" collapsed="false">
      <c r="A27" s="6" t="s">
        <v>102</v>
      </c>
      <c r="B27" s="6" t="s">
        <v>103</v>
      </c>
      <c r="C27" s="11" t="str">
        <f aca="false">IFERROR(INDEX('Cư dân'!$C$2:$C$2000,MATCH(1,INDEX(('Cư dân'!$B$2:$B$2000=A27)*('Cư dân'!$I$2:$I$2000="Chủ hộ"),0),0)),"")</f>
        <v>Nguyễn Việt Anh</v>
      </c>
      <c r="D27" s="11" t="n">
        <f aca="false">COUNTIFS('Cư dân'!$B$2:$B$2000,A27,'Cư dân'!$O$2:$O$2000,"Đang ở")</f>
        <v>4</v>
      </c>
      <c r="E27" s="6"/>
      <c r="F27" s="12"/>
    </row>
    <row r="28" customFormat="false" ht="15" hidden="false" customHeight="true" outlineLevel="0" collapsed="false">
      <c r="A28" s="6" t="s">
        <v>104</v>
      </c>
      <c r="B28" s="6" t="s">
        <v>105</v>
      </c>
      <c r="C28" s="11" t="str">
        <f aca="false">IFERROR(INDEX('Cư dân'!$C$2:$C$2000,MATCH(1,INDEX(('Cư dân'!$B$2:$B$2000=A28)*('Cư dân'!$I$2:$I$2000="Chủ hộ"),0),0)),"")</f>
        <v>Phạm Ngọc Cảnh</v>
      </c>
      <c r="D28" s="11" t="n">
        <f aca="false">COUNTIFS('Cư dân'!$B$2:$B$2000,A28,'Cư dân'!$O$2:$O$2000,"Đang ở")</f>
        <v>4</v>
      </c>
      <c r="E28" s="6"/>
      <c r="F28" s="12"/>
    </row>
    <row r="29" customFormat="false" ht="15" hidden="false" customHeight="true" outlineLevel="0" collapsed="false">
      <c r="A29" s="6" t="s">
        <v>106</v>
      </c>
      <c r="B29" s="6" t="s">
        <v>107</v>
      </c>
      <c r="C29" s="11" t="str">
        <f aca="false">IFERROR(INDEX('Cư dân'!$C$2:$C$2000,MATCH(1,INDEX(('Cư dân'!$B$2:$B$2000=A29)*('Cư dân'!$I$2:$I$2000="Chủ hộ"),0),0)),"")</f>
        <v>Trần Hà Liên</v>
      </c>
      <c r="D29" s="11" t="n">
        <f aca="false">COUNTIFS('Cư dân'!$B$2:$B$2000,A29,'Cư dân'!$O$2:$O$2000,"Đang ở")</f>
        <v>5</v>
      </c>
      <c r="E29" s="6"/>
      <c r="F29" s="12"/>
    </row>
    <row r="30" customFormat="false" ht="15" hidden="false" customHeight="true" outlineLevel="0" collapsed="false">
      <c r="A30" s="6" t="s">
        <v>108</v>
      </c>
      <c r="B30" s="6" t="s">
        <v>109</v>
      </c>
      <c r="C30" s="11" t="str">
        <f aca="false">IFERROR(INDEX('Cư dân'!$C$2:$C$2000,MATCH(1,INDEX(('Cư dân'!$B$2:$B$2000=A30)*('Cư dân'!$I$2:$I$2000="Chủ hộ"),0),0)),"")</f>
        <v>Trần Văn Nhân</v>
      </c>
      <c r="D30" s="11" t="n">
        <f aca="false">COUNTIFS('Cư dân'!$B$2:$B$2000,A30,'Cư dân'!$O$2:$O$2000,"Đang ở")</f>
        <v>7</v>
      </c>
      <c r="E30" s="6"/>
      <c r="F30" s="12" t="s">
        <v>72</v>
      </c>
    </row>
    <row r="31" customFormat="false" ht="15" hidden="false" customHeight="true" outlineLevel="0" collapsed="false">
      <c r="A31" s="6" t="s">
        <v>110</v>
      </c>
      <c r="B31" s="6" t="s">
        <v>111</v>
      </c>
      <c r="C31" s="11" t="str">
        <f aca="false">IFERROR(INDEX('Cư dân'!$C$2:$C$2000,MATCH(1,INDEX(('Cư dân'!$B$2:$B$2000=A31)*('Cư dân'!$I$2:$I$2000="Chủ hộ"),0),0)),"")</f>
        <v>Trịnh Thị Minh Hằng</v>
      </c>
      <c r="D31" s="11" t="n">
        <f aca="false">COUNTIFS('Cư dân'!$B$2:$B$2000,A31,'Cư dân'!$O$2:$O$2000,"Đang ở")</f>
        <v>2</v>
      </c>
      <c r="E31" s="6"/>
      <c r="F31" s="12"/>
    </row>
    <row r="32" customFormat="false" ht="15" hidden="false" customHeight="true" outlineLevel="0" collapsed="false">
      <c r="A32" s="6" t="s">
        <v>112</v>
      </c>
      <c r="B32" s="6" t="s">
        <v>113</v>
      </c>
      <c r="C32" s="11" t="str">
        <f aca="false">IFERROR(INDEX('Cư dân'!$C$2:$C$2000,MATCH(1,INDEX(('Cư dân'!$B$2:$B$2000=A32)*('Cư dân'!$I$2:$I$2000="Chủ hộ"),0),0)),"")</f>
        <v>Nguyễn Thị Minh Hòa</v>
      </c>
      <c r="D32" s="11" t="n">
        <f aca="false">COUNTIFS('Cư dân'!$B$2:$B$2000,A32,'Cư dân'!$O$2:$O$2000,"Đang ở")</f>
        <v>2</v>
      </c>
      <c r="E32" s="6"/>
      <c r="F32" s="12"/>
    </row>
    <row r="33" customFormat="false" ht="15" hidden="false" customHeight="true" outlineLevel="0" collapsed="false">
      <c r="A33" s="6" t="s">
        <v>114</v>
      </c>
      <c r="B33" s="6" t="s">
        <v>115</v>
      </c>
      <c r="C33" s="11" t="str">
        <f aca="false">IFERROR(INDEX('Cư dân'!$C$2:$C$2000,MATCH(1,INDEX(('Cư dân'!$B$2:$B$2000=A33)*('Cư dân'!$I$2:$I$2000="Chủ hộ"),0),0)),"")</f>
        <v>Trần Thị Lan</v>
      </c>
      <c r="D33" s="11" t="n">
        <f aca="false">COUNTIFS('Cư dân'!$B$2:$B$2000,A33,'Cư dân'!$O$2:$O$2000,"Đang ở")</f>
        <v>6</v>
      </c>
      <c r="E33" s="6"/>
      <c r="F33" s="12"/>
    </row>
    <row r="34" customFormat="false" ht="15" hidden="false" customHeight="true" outlineLevel="0" collapsed="false">
      <c r="A34" s="6" t="s">
        <v>116</v>
      </c>
      <c r="B34" s="6" t="s">
        <v>115</v>
      </c>
      <c r="C34" s="11" t="str">
        <f aca="false">IFERROR(INDEX('Cư dân'!$C$2:$C$2000,MATCH(1,INDEX(('Cư dân'!$B$2:$B$2000=A34)*('Cư dân'!$I$2:$I$2000="Chủ hộ"),0),0)),"")</f>
        <v>Nguyễn Thị Uyển</v>
      </c>
      <c r="D34" s="11" t="n">
        <f aca="false">COUNTIFS('Cư dân'!$B$2:$B$2000,A34,'Cư dân'!$O$2:$O$2000,"Đang ở")</f>
        <v>1</v>
      </c>
      <c r="E34" s="6"/>
      <c r="F34" s="12" t="s">
        <v>72</v>
      </c>
    </row>
    <row r="35" customFormat="false" ht="15" hidden="false" customHeight="true" outlineLevel="0" collapsed="false">
      <c r="A35" s="6" t="s">
        <v>117</v>
      </c>
      <c r="B35" s="6" t="s">
        <v>118</v>
      </c>
      <c r="C35" s="11" t="str">
        <f aca="false">IFERROR(INDEX('Cư dân'!$C$2:$C$2000,MATCH(1,INDEX(('Cư dân'!$B$2:$B$2000=A35)*('Cư dân'!$I$2:$I$2000="Chủ hộ"),0),0)),"")</f>
        <v>Lê Thị Hải Anh</v>
      </c>
      <c r="D35" s="11" t="n">
        <f aca="false">COUNTIFS('Cư dân'!$B$2:$B$2000,A35,'Cư dân'!$O$2:$O$2000,"Đang ở")</f>
        <v>6</v>
      </c>
      <c r="E35" s="6"/>
      <c r="F35" s="12"/>
    </row>
    <row r="36" customFormat="false" ht="15" hidden="false" customHeight="true" outlineLevel="0" collapsed="false">
      <c r="A36" s="6" t="s">
        <v>119</v>
      </c>
      <c r="B36" s="6" t="s">
        <v>120</v>
      </c>
      <c r="C36" s="11" t="str">
        <f aca="false">IFERROR(INDEX('Cư dân'!$C$2:$C$2000,MATCH(1,INDEX(('Cư dân'!$B$2:$B$2000=A36)*('Cư dân'!$I$2:$I$2000="Chủ hộ"),0),0)),"")</f>
        <v>Đỗ Năng Anh</v>
      </c>
      <c r="D36" s="11" t="n">
        <f aca="false">COUNTIFS('Cư dân'!$B$2:$B$2000,A36,'Cư dân'!$O$2:$O$2000,"Đang ở")</f>
        <v>4</v>
      </c>
      <c r="E36" s="6"/>
      <c r="F36" s="12"/>
    </row>
    <row r="37" customFormat="false" ht="15" hidden="false" customHeight="true" outlineLevel="0" collapsed="false">
      <c r="A37" s="6" t="s">
        <v>121</v>
      </c>
      <c r="B37" s="6" t="s">
        <v>122</v>
      </c>
      <c r="C37" s="11" t="str">
        <f aca="false">IFERROR(INDEX('Cư dân'!$C$2:$C$2000,MATCH(1,INDEX(('Cư dân'!$B$2:$B$2000=A37)*('Cư dân'!$I$2:$I$2000="Chủ hộ"),0),0)),"")</f>
        <v>Thái Thị Chiến</v>
      </c>
      <c r="D37" s="11" t="n">
        <f aca="false">COUNTIFS('Cư dân'!$B$2:$B$2000,A37,'Cư dân'!$O$2:$O$2000,"Đang ở")</f>
        <v>5</v>
      </c>
      <c r="E37" s="6"/>
      <c r="F37" s="12"/>
    </row>
    <row r="38" customFormat="false" ht="15" hidden="false" customHeight="true" outlineLevel="0" collapsed="false">
      <c r="A38" s="6" t="s">
        <v>123</v>
      </c>
      <c r="B38" s="6" t="s">
        <v>122</v>
      </c>
      <c r="C38" s="11" t="str">
        <f aca="false">IFERROR(INDEX('Cư dân'!$C$2:$C$2000,MATCH(1,INDEX(('Cư dân'!$B$2:$B$2000=A38)*('Cư dân'!$I$2:$I$2000="Chủ hộ"),0),0)),"")</f>
        <v>Vũ Minh Tuệ</v>
      </c>
      <c r="D38" s="11" t="n">
        <f aca="false">COUNTIFS('Cư dân'!$B$2:$B$2000,A38,'Cư dân'!$O$2:$O$2000,"Đang ở")</f>
        <v>4</v>
      </c>
      <c r="E38" s="6"/>
      <c r="F38" s="12"/>
    </row>
    <row r="39" customFormat="false" ht="15" hidden="false" customHeight="true" outlineLevel="0" collapsed="false">
      <c r="A39" s="6" t="s">
        <v>124</v>
      </c>
      <c r="B39" s="6" t="s">
        <v>125</v>
      </c>
      <c r="C39" s="11" t="str">
        <f aca="false">IFERROR(INDEX('Cư dân'!$C$2:$C$2000,MATCH(1,INDEX(('Cư dân'!$B$2:$B$2000=A39)*('Cư dân'!$I$2:$I$2000="Chủ hộ"),0),0)),"")</f>
        <v>Nguyễn Phương Thùy</v>
      </c>
      <c r="D39" s="11" t="n">
        <f aca="false">COUNTIFS('Cư dân'!$B$2:$B$2000,A39,'Cư dân'!$O$2:$O$2000,"Đang ở")</f>
        <v>4</v>
      </c>
      <c r="E39" s="6"/>
      <c r="F39" s="12"/>
    </row>
    <row r="40" customFormat="false" ht="15" hidden="false" customHeight="true" outlineLevel="0" collapsed="false">
      <c r="A40" s="6" t="s">
        <v>126</v>
      </c>
      <c r="B40" s="6" t="s">
        <v>127</v>
      </c>
      <c r="C40" s="11" t="str">
        <f aca="false">IFERROR(INDEX('Cư dân'!$C$2:$C$2000,MATCH(1,INDEX(('Cư dân'!$B$2:$B$2000=A40)*('Cư dân'!$I$2:$I$2000="Chủ hộ"),0),0)),"")</f>
        <v>Bùi Ngọc Quang</v>
      </c>
      <c r="D40" s="11" t="n">
        <f aca="false">COUNTIFS('Cư dân'!$B$2:$B$2000,A40,'Cư dân'!$O$2:$O$2000,"Đang ở")</f>
        <v>3</v>
      </c>
      <c r="E40" s="6"/>
      <c r="F40" s="12"/>
    </row>
    <row r="41" customFormat="false" ht="15" hidden="false" customHeight="true" outlineLevel="0" collapsed="false">
      <c r="A41" s="6" t="s">
        <v>128</v>
      </c>
      <c r="B41" s="6" t="s">
        <v>129</v>
      </c>
      <c r="C41" s="11" t="str">
        <f aca="false">IFERROR(INDEX('Cư dân'!$C$2:$C$2000,MATCH(1,INDEX(('Cư dân'!$B$2:$B$2000=A41)*('Cư dân'!$I$2:$I$2000="Chủ hộ"),0),0)),"")</f>
        <v>Dương Thị Tường</v>
      </c>
      <c r="D41" s="11" t="n">
        <f aca="false">COUNTIFS('Cư dân'!$B$2:$B$2000,A41,'Cư dân'!$O$2:$O$2000,"Đang ở")</f>
        <v>5</v>
      </c>
      <c r="E41" s="6"/>
      <c r="F41" s="12"/>
    </row>
    <row r="42" customFormat="false" ht="15" hidden="false" customHeight="true" outlineLevel="0" collapsed="false">
      <c r="A42" s="6" t="s">
        <v>130</v>
      </c>
      <c r="B42" s="6" t="s">
        <v>131</v>
      </c>
      <c r="C42" s="11" t="str">
        <f aca="false">IFERROR(INDEX('Cư dân'!$C$2:$C$2000,MATCH(1,INDEX(('Cư dân'!$B$2:$B$2000=A42)*('Cư dân'!$I$2:$I$2000="Chủ hộ"),0),0)),"")</f>
        <v>Hoàng Mạnh Luân</v>
      </c>
      <c r="D42" s="11" t="n">
        <f aca="false">COUNTIFS('Cư dân'!$B$2:$B$2000,A42,'Cư dân'!$O$2:$O$2000,"Đang ở")</f>
        <v>4</v>
      </c>
      <c r="E42" s="6"/>
      <c r="F42" s="12"/>
    </row>
    <row r="43" customFormat="false" ht="15" hidden="false" customHeight="true" outlineLevel="0" collapsed="false">
      <c r="A43" s="6" t="s">
        <v>132</v>
      </c>
      <c r="B43" s="6" t="s">
        <v>133</v>
      </c>
      <c r="C43" s="11" t="str">
        <f aca="false">IFERROR(INDEX('Cư dân'!$C$2:$C$2000,MATCH(1,INDEX(('Cư dân'!$B$2:$B$2000=A43)*('Cư dân'!$I$2:$I$2000="Chủ hộ"),0),0)),"")</f>
        <v>Trần Hoàng Anh</v>
      </c>
      <c r="D43" s="11" t="n">
        <f aca="false">COUNTIFS('Cư dân'!$B$2:$B$2000,A43,'Cư dân'!$O$2:$O$2000,"Đang ở")</f>
        <v>4</v>
      </c>
      <c r="E43" s="6"/>
      <c r="F43" s="12"/>
    </row>
    <row r="44" customFormat="false" ht="15" hidden="false" customHeight="true" outlineLevel="0" collapsed="false">
      <c r="A44" s="6" t="s">
        <v>134</v>
      </c>
      <c r="B44" s="6" t="s">
        <v>135</v>
      </c>
      <c r="C44" s="11" t="str">
        <f aca="false">IFERROR(INDEX('Cư dân'!$C$2:$C$2000,MATCH(1,INDEX(('Cư dân'!$B$2:$B$2000=A44)*('Cư dân'!$I$2:$I$2000="Chủ hộ"),0),0)),"")</f>
        <v>Phan Ái Thơ</v>
      </c>
      <c r="D44" s="11" t="n">
        <f aca="false">COUNTIFS('Cư dân'!$B$2:$B$2000,A44,'Cư dân'!$O$2:$O$2000,"Đang ở")</f>
        <v>5</v>
      </c>
      <c r="E44" s="6"/>
      <c r="F44" s="12"/>
    </row>
    <row r="45" customFormat="false" ht="15" hidden="false" customHeight="true" outlineLevel="0" collapsed="false">
      <c r="A45" s="6" t="s">
        <v>136</v>
      </c>
      <c r="B45" s="6" t="s">
        <v>137</v>
      </c>
      <c r="C45" s="11" t="str">
        <f aca="false">IFERROR(INDEX('Cư dân'!$C$2:$C$2000,MATCH(1,INDEX(('Cư dân'!$B$2:$B$2000=A45)*('Cư dân'!$I$2:$I$2000="Chủ hộ"),0),0)),"")</f>
        <v>Nguyễn Thị Tuấn Sửu</v>
      </c>
      <c r="D45" s="11" t="n">
        <f aca="false">COUNTIFS('Cư dân'!$B$2:$B$2000,A45,'Cư dân'!$O$2:$O$2000,"Đang ở")</f>
        <v>7</v>
      </c>
      <c r="E45" s="6"/>
      <c r="F45" s="12"/>
    </row>
    <row r="46" customFormat="false" ht="15" hidden="false" customHeight="true" outlineLevel="0" collapsed="false">
      <c r="A46" s="6" t="s">
        <v>138</v>
      </c>
      <c r="B46" s="6" t="s">
        <v>139</v>
      </c>
      <c r="C46" s="11" t="str">
        <f aca="false">IFERROR(INDEX('Cư dân'!$C$2:$C$2000,MATCH(1,INDEX(('Cư dân'!$B$2:$B$2000=A46)*('Cư dân'!$I$2:$I$2000="Chủ hộ"),0),0)),"")</f>
        <v>Nguyễn Mộng Thược</v>
      </c>
      <c r="D46" s="11" t="n">
        <f aca="false">COUNTIFS('Cư dân'!$B$2:$B$2000,A46,'Cư dân'!$O$2:$O$2000,"Đang ở")</f>
        <v>1</v>
      </c>
      <c r="E46" s="6"/>
      <c r="F46" s="12"/>
    </row>
    <row r="47" customFormat="false" ht="15" hidden="false" customHeight="true" outlineLevel="0" collapsed="false">
      <c r="A47" s="6" t="s">
        <v>140</v>
      </c>
      <c r="B47" s="6" t="s">
        <v>141</v>
      </c>
      <c r="C47" s="11" t="str">
        <f aca="false">IFERROR(INDEX('Cư dân'!$C$2:$C$2000,MATCH(1,INDEX(('Cư dân'!$B$2:$B$2000=A47)*('Cư dân'!$I$2:$I$2000="Chủ hộ"),0),0)),"")</f>
        <v>Trịnh Thị Phương</v>
      </c>
      <c r="D47" s="11" t="n">
        <f aca="false">COUNTIFS('Cư dân'!$B$2:$B$2000,A47,'Cư dân'!$O$2:$O$2000,"Đang ở")</f>
        <v>2</v>
      </c>
      <c r="E47" s="6"/>
      <c r="F47" s="12"/>
    </row>
    <row r="48" customFormat="false" ht="15" hidden="false" customHeight="true" outlineLevel="0" collapsed="false">
      <c r="A48" s="6" t="s">
        <v>142</v>
      </c>
      <c r="B48" s="6" t="s">
        <v>143</v>
      </c>
      <c r="C48" s="11" t="str">
        <f aca="false">IFERROR(INDEX('Cư dân'!$C$2:$C$2000,MATCH(1,INDEX(('Cư dân'!$B$2:$B$2000=A48)*('Cư dân'!$I$2:$I$2000="Chủ hộ"),0),0)),"")</f>
        <v>Nguyễn Viết Hải</v>
      </c>
      <c r="D48" s="11" t="n">
        <f aca="false">COUNTIFS('Cư dân'!$B$2:$B$2000,A48,'Cư dân'!$O$2:$O$2000,"Đang ở")</f>
        <v>8</v>
      </c>
      <c r="E48" s="6"/>
      <c r="F48" s="12"/>
    </row>
    <row r="49" customFormat="false" ht="15" hidden="false" customHeight="true" outlineLevel="0" collapsed="false">
      <c r="A49" s="6" t="s">
        <v>144</v>
      </c>
      <c r="B49" s="6" t="s">
        <v>145</v>
      </c>
      <c r="C49" s="11" t="str">
        <f aca="false">IFERROR(INDEX('Cư dân'!$C$2:$C$2000,MATCH(1,INDEX(('Cư dân'!$B$2:$B$2000=A49)*('Cư dân'!$I$2:$I$2000="Chủ hộ"),0),0)),"")</f>
        <v>Nghiêm Thị Mai</v>
      </c>
      <c r="D49" s="11" t="n">
        <f aca="false">COUNTIFS('Cư dân'!$B$2:$B$2000,A49,'Cư dân'!$O$2:$O$2000,"Đang ở")</f>
        <v>4</v>
      </c>
      <c r="E49" s="6"/>
      <c r="F49" s="12"/>
    </row>
    <row r="50" customFormat="false" ht="15" hidden="false" customHeight="true" outlineLevel="0" collapsed="false">
      <c r="A50" s="6" t="s">
        <v>146</v>
      </c>
      <c r="B50" s="6" t="s">
        <v>147</v>
      </c>
      <c r="C50" s="11" t="str">
        <f aca="false">IFERROR(INDEX('Cư dân'!$C$2:$C$2000,MATCH(1,INDEX(('Cư dân'!$B$2:$B$2000=A50)*('Cư dân'!$I$2:$I$2000="Chủ hộ"),0),0)),"")</f>
        <v>Nguyễn Viết Thu La</v>
      </c>
      <c r="D50" s="11" t="n">
        <f aca="false">COUNTIFS('Cư dân'!$B$2:$B$2000,A50,'Cư dân'!$O$2:$O$2000,"Đang ở")</f>
        <v>9</v>
      </c>
      <c r="E50" s="6"/>
      <c r="F50" s="12"/>
    </row>
    <row r="51" customFormat="false" ht="15" hidden="false" customHeight="true" outlineLevel="0" collapsed="false">
      <c r="A51" s="6" t="s">
        <v>148</v>
      </c>
      <c r="B51" s="6" t="s">
        <v>149</v>
      </c>
      <c r="C51" s="11" t="str">
        <f aca="false">IFERROR(INDEX('Cư dân'!$C$2:$C$2000,MATCH(1,INDEX(('Cư dân'!$B$2:$B$2000=A51)*('Cư dân'!$I$2:$I$2000="Chủ hộ"),0),0)),"")</f>
        <v>Nguyễn Tiến Thanh</v>
      </c>
      <c r="D51" s="11" t="n">
        <f aca="false">COUNTIFS('Cư dân'!$B$2:$B$2000,A51,'Cư dân'!$O$2:$O$2000,"Đang ở")</f>
        <v>3</v>
      </c>
      <c r="E51" s="6"/>
      <c r="F51" s="12"/>
    </row>
    <row r="52" customFormat="false" ht="15" hidden="false" customHeight="true" outlineLevel="0" collapsed="false">
      <c r="A52" s="6" t="s">
        <v>150</v>
      </c>
      <c r="B52" s="6" t="s">
        <v>151</v>
      </c>
      <c r="C52" s="11" t="str">
        <f aca="false">IFERROR(INDEX('Cư dân'!$C$2:$C$2000,MATCH(1,INDEX(('Cư dân'!$B$2:$B$2000=A52)*('Cư dân'!$I$2:$I$2000="Chủ hộ"),0),0)),"")</f>
        <v>Nguyễn Thị Bằng</v>
      </c>
      <c r="D52" s="11" t="n">
        <f aca="false">COUNTIFS('Cư dân'!$B$2:$B$2000,A52,'Cư dân'!$O$2:$O$2000,"Đang ở")</f>
        <v>7</v>
      </c>
      <c r="E52" s="6"/>
      <c r="F52" s="12"/>
    </row>
    <row r="53" customFormat="false" ht="15" hidden="false" customHeight="true" outlineLevel="0" collapsed="false">
      <c r="A53" s="6" t="s">
        <v>152</v>
      </c>
      <c r="B53" s="6" t="s">
        <v>153</v>
      </c>
      <c r="C53" s="11" t="str">
        <f aca="false">IFERROR(INDEX('Cư dân'!$C$2:$C$2000,MATCH(1,INDEX(('Cư dân'!$B$2:$B$2000=A53)*('Cư dân'!$I$2:$I$2000="Chủ hộ"),0),0)),"")</f>
        <v>Nguyễn Thị Thanh Quang</v>
      </c>
      <c r="D53" s="11" t="n">
        <f aca="false">COUNTIFS('Cư dân'!$B$2:$B$2000,A53,'Cư dân'!$O$2:$O$2000,"Đang ở")</f>
        <v>6</v>
      </c>
      <c r="E53" s="6"/>
      <c r="F53" s="12"/>
    </row>
    <row r="54" customFormat="false" ht="15" hidden="false" customHeight="true" outlineLevel="0" collapsed="false">
      <c r="A54" s="6" t="s">
        <v>154</v>
      </c>
      <c r="B54" s="6" t="s">
        <v>155</v>
      </c>
      <c r="C54" s="11" t="str">
        <f aca="false">IFERROR(INDEX('Cư dân'!$C$2:$C$2000,MATCH(1,INDEX(('Cư dân'!$B$2:$B$2000=A54)*('Cư dân'!$I$2:$I$2000="Chủ hộ"),0),0)),"")</f>
        <v>Hoàng Bích Ngọc</v>
      </c>
      <c r="D54" s="11" t="n">
        <f aca="false">COUNTIFS('Cư dân'!$B$2:$B$2000,A54,'Cư dân'!$O$2:$O$2000,"Đang ở")</f>
        <v>3</v>
      </c>
      <c r="E54" s="6"/>
      <c r="F54" s="12" t="s">
        <v>72</v>
      </c>
    </row>
    <row r="55" customFormat="false" ht="15" hidden="false" customHeight="true" outlineLevel="0" collapsed="false">
      <c r="A55" s="6" t="s">
        <v>156</v>
      </c>
      <c r="B55" s="6" t="s">
        <v>157</v>
      </c>
      <c r="C55" s="11" t="str">
        <f aca="false">IFERROR(INDEX('Cư dân'!$C$2:$C$2000,MATCH(1,INDEX(('Cư dân'!$B$2:$B$2000=A55)*('Cư dân'!$I$2:$I$2000="Chủ hộ"),0),0)),"")</f>
        <v>Nguyễn Thị Trúc</v>
      </c>
      <c r="D55" s="11" t="n">
        <f aca="false">COUNTIFS('Cư dân'!$B$2:$B$2000,A55,'Cư dân'!$O$2:$O$2000,"Đang ở")</f>
        <v>6</v>
      </c>
      <c r="E55" s="6"/>
      <c r="F55" s="12"/>
    </row>
    <row r="56" customFormat="false" ht="15" hidden="false" customHeight="true" outlineLevel="0" collapsed="false">
      <c r="A56" s="6" t="s">
        <v>158</v>
      </c>
      <c r="B56" s="6" t="s">
        <v>159</v>
      </c>
      <c r="C56" s="11" t="str">
        <f aca="false">IFERROR(INDEX('Cư dân'!$C$2:$C$2000,MATCH(1,INDEX(('Cư dân'!$B$2:$B$2000=A56)*('Cư dân'!$I$2:$I$2000="Chủ hộ"),0),0)),"")</f>
        <v>Trần Thúy Hồng</v>
      </c>
      <c r="D56" s="11" t="n">
        <f aca="false">COUNTIFS('Cư dân'!$B$2:$B$2000,A56,'Cư dân'!$O$2:$O$2000,"Đang ở")</f>
        <v>10</v>
      </c>
      <c r="E56" s="6"/>
      <c r="F56" s="12"/>
    </row>
    <row r="57" customFormat="false" ht="15" hidden="false" customHeight="true" outlineLevel="0" collapsed="false">
      <c r="A57" s="6" t="s">
        <v>160</v>
      </c>
      <c r="B57" s="6" t="s">
        <v>161</v>
      </c>
      <c r="C57" s="11" t="str">
        <f aca="false">IFERROR(INDEX('Cư dân'!$C$2:$C$2000,MATCH(1,INDEX(('Cư dân'!$B$2:$B$2000=A57)*('Cư dân'!$I$2:$I$2000="Chủ hộ"),0),0)),"")</f>
        <v>Nguyễn Phương Thùy</v>
      </c>
      <c r="D57" s="11" t="n">
        <f aca="false">COUNTIFS('Cư dân'!$B$2:$B$2000,A57,'Cư dân'!$O$2:$O$2000,"Đang ở")</f>
        <v>4</v>
      </c>
      <c r="E57" s="6"/>
      <c r="F57" s="12"/>
    </row>
    <row r="58" customFormat="false" ht="15" hidden="false" customHeight="true" outlineLevel="0" collapsed="false">
      <c r="A58" s="6" t="s">
        <v>162</v>
      </c>
      <c r="B58" s="6" t="s">
        <v>163</v>
      </c>
      <c r="C58" s="11" t="str">
        <f aca="false">IFERROR(INDEX('Cư dân'!$C$2:$C$2000,MATCH(1,INDEX(('Cư dân'!$B$2:$B$2000=A58)*('Cư dân'!$I$2:$I$2000="Chủ hộ"),0),0)),"")</f>
        <v>Văn Như Lai</v>
      </c>
      <c r="D58" s="11" t="n">
        <f aca="false">COUNTIFS('Cư dân'!$B$2:$B$2000,A58,'Cư dân'!$O$2:$O$2000,"Đang ở")</f>
        <v>9</v>
      </c>
      <c r="E58" s="6"/>
      <c r="F58" s="12"/>
    </row>
    <row r="59" customFormat="false" ht="15" hidden="false" customHeight="true" outlineLevel="0" collapsed="false">
      <c r="A59" s="6" t="s">
        <v>164</v>
      </c>
      <c r="B59" s="6" t="s">
        <v>165</v>
      </c>
      <c r="C59" s="11" t="str">
        <f aca="false">IFERROR(INDEX('Cư dân'!$C$2:$C$2000,MATCH(1,INDEX(('Cư dân'!$B$2:$B$2000=A59)*('Cư dân'!$I$2:$I$2000="Chủ hộ"),0),0)),"")</f>
        <v>Phạm Văn Hà</v>
      </c>
      <c r="D59" s="11" t="n">
        <f aca="false">COUNTIFS('Cư dân'!$B$2:$B$2000,A59,'Cư dân'!$O$2:$O$2000,"Đang ở")</f>
        <v>4</v>
      </c>
      <c r="E59" s="6"/>
      <c r="F59" s="12"/>
    </row>
    <row r="60" customFormat="false" ht="15" hidden="false" customHeight="true" outlineLevel="0" collapsed="false">
      <c r="A60" s="6" t="s">
        <v>166</v>
      </c>
      <c r="B60" s="6" t="s">
        <v>165</v>
      </c>
      <c r="C60" s="11" t="str">
        <f aca="false">IFERROR(INDEX('Cư dân'!$C$2:$C$2000,MATCH(1,INDEX(('Cư dân'!$B$2:$B$2000=A60)*('Cư dân'!$I$2:$I$2000="Chủ hộ"),0),0)),"")</f>
        <v>Phạm Văn Tuấn</v>
      </c>
      <c r="D60" s="11" t="n">
        <f aca="false">COUNTIFS('Cư dân'!$B$2:$B$2000,A60,'Cư dân'!$O$2:$O$2000,"Đang ở")</f>
        <v>4</v>
      </c>
      <c r="E60" s="6"/>
      <c r="F60" s="12"/>
    </row>
    <row r="61" customFormat="false" ht="15" hidden="false" customHeight="true" outlineLevel="0" collapsed="false">
      <c r="A61" s="6" t="s">
        <v>167</v>
      </c>
      <c r="B61" s="6" t="s">
        <v>168</v>
      </c>
      <c r="C61" s="11" t="str">
        <f aca="false">IFERROR(INDEX('Cư dân'!$C$2:$C$2000,MATCH(1,INDEX(('Cư dân'!$B$2:$B$2000=A61)*('Cư dân'!$I$2:$I$2000="Chủ hộ"),0),0)),"")</f>
        <v>Phạm Sỹ Tú</v>
      </c>
      <c r="D61" s="11" t="n">
        <f aca="false">COUNTIFS('Cư dân'!$B$2:$B$2000,A61,'Cư dân'!$O$2:$O$2000,"Đang ở")</f>
        <v>9</v>
      </c>
      <c r="E61" s="6"/>
      <c r="F61" s="12"/>
    </row>
    <row r="62" customFormat="false" ht="15" hidden="false" customHeight="true" outlineLevel="0" collapsed="false">
      <c r="A62" s="6" t="s">
        <v>169</v>
      </c>
      <c r="B62" s="6" t="s">
        <v>170</v>
      </c>
      <c r="C62" s="11" t="str">
        <f aca="false">IFERROR(INDEX('Cư dân'!$C$2:$C$2000,MATCH(1,INDEX(('Cư dân'!$B$2:$B$2000=A62)*('Cư dân'!$I$2:$I$2000="Chủ hộ"),0),0)),"")</f>
        <v>Nguyễn Thị Thu Hà</v>
      </c>
      <c r="D62" s="11" t="n">
        <f aca="false">COUNTIFS('Cư dân'!$B$2:$B$2000,A62,'Cư dân'!$O$2:$O$2000,"Đang ở")</f>
        <v>2</v>
      </c>
      <c r="E62" s="6"/>
      <c r="F62" s="12"/>
    </row>
    <row r="63" customFormat="false" ht="15" hidden="false" customHeight="true" outlineLevel="0" collapsed="false">
      <c r="A63" s="6" t="s">
        <v>171</v>
      </c>
      <c r="B63" s="6" t="s">
        <v>172</v>
      </c>
      <c r="C63" s="11" t="str">
        <f aca="false">IFERROR(INDEX('Cư dân'!$C$2:$C$2000,MATCH(1,INDEX(('Cư dân'!$B$2:$B$2000=A63)*('Cư dân'!$I$2:$I$2000="Chủ hộ"),0),0)),"")</f>
        <v>Nguyễn Thu Hiền</v>
      </c>
      <c r="D63" s="11" t="n">
        <f aca="false">COUNTIFS('Cư dân'!$B$2:$B$2000,A63,'Cư dân'!$O$2:$O$2000,"Đang ở")</f>
        <v>5</v>
      </c>
      <c r="E63" s="6"/>
      <c r="F63" s="12"/>
    </row>
    <row r="64" customFormat="false" ht="15" hidden="false" customHeight="true" outlineLevel="0" collapsed="false">
      <c r="A64" s="6" t="s">
        <v>173</v>
      </c>
      <c r="B64" s="6" t="s">
        <v>174</v>
      </c>
      <c r="C64" s="11" t="str">
        <f aca="false">IFERROR(INDEX('Cư dân'!$C$2:$C$2000,MATCH(1,INDEX(('Cư dân'!$B$2:$B$2000=A64)*('Cư dân'!$I$2:$I$2000="Chủ hộ"),0),0)),"")</f>
        <v>Lưu Thị Lan Anh</v>
      </c>
      <c r="D64" s="11" t="n">
        <f aca="false">COUNTIFS('Cư dân'!$B$2:$B$2000,A64,'Cư dân'!$O$2:$O$2000,"Đang ở")</f>
        <v>2</v>
      </c>
      <c r="E64" s="6"/>
      <c r="F64" s="12"/>
    </row>
    <row r="65" customFormat="false" ht="15" hidden="false" customHeight="true" outlineLevel="0" collapsed="false">
      <c r="A65" s="6" t="s">
        <v>175</v>
      </c>
      <c r="B65" s="6" t="s">
        <v>176</v>
      </c>
      <c r="C65" s="11" t="str">
        <f aca="false">IFERROR(INDEX('Cư dân'!$C$2:$C$2000,MATCH(1,INDEX(('Cư dân'!$B$2:$B$2000=A65)*('Cư dân'!$I$2:$I$2000="Chủ hộ"),0),0)),"")</f>
        <v>Nguyễn Thị Quế</v>
      </c>
      <c r="D65" s="11" t="n">
        <f aca="false">COUNTIFS('Cư dân'!$B$2:$B$2000,A65,'Cư dân'!$O$2:$O$2000,"Đang ở")</f>
        <v>1</v>
      </c>
      <c r="E65" s="6"/>
      <c r="F65" s="12"/>
    </row>
    <row r="66" customFormat="false" ht="15" hidden="false" customHeight="true" outlineLevel="0" collapsed="false">
      <c r="A66" s="6" t="s">
        <v>177</v>
      </c>
      <c r="B66" s="6" t="s">
        <v>176</v>
      </c>
      <c r="C66" s="11" t="str">
        <f aca="false">IFERROR(INDEX('Cư dân'!$C$2:$C$2000,MATCH(1,INDEX(('Cư dân'!$B$2:$B$2000=A66)*('Cư dân'!$I$2:$I$2000="Chủ hộ"),0),0)),"")</f>
        <v>Phạm Việt Hoàng Tùng</v>
      </c>
      <c r="D66" s="11" t="n">
        <f aca="false">COUNTIFS('Cư dân'!$B$2:$B$2000,A66,'Cư dân'!$O$2:$O$2000,"Đang ở")</f>
        <v>3</v>
      </c>
      <c r="E66" s="6"/>
      <c r="F66" s="12"/>
    </row>
    <row r="67" customFormat="false" ht="15" hidden="false" customHeight="true" outlineLevel="0" collapsed="false">
      <c r="A67" s="6" t="s">
        <v>178</v>
      </c>
      <c r="B67" s="6" t="s">
        <v>176</v>
      </c>
      <c r="C67" s="11" t="str">
        <f aca="false">IFERROR(INDEX('Cư dân'!$C$2:$C$2000,MATCH(1,INDEX(('Cư dân'!$B$2:$B$2000=A67)*('Cư dân'!$I$2:$I$2000="Chủ hộ"),0),0)),"")</f>
        <v>Phạm Bá Tùng</v>
      </c>
      <c r="D67" s="11" t="n">
        <f aca="false">COUNTIFS('Cư dân'!$B$2:$B$2000,A67,'Cư dân'!$O$2:$O$2000,"Đang ở")</f>
        <v>4</v>
      </c>
      <c r="E67" s="6"/>
      <c r="F67" s="12"/>
    </row>
    <row r="68" customFormat="false" ht="15" hidden="false" customHeight="true" outlineLevel="0" collapsed="false">
      <c r="A68" s="6" t="s">
        <v>179</v>
      </c>
      <c r="B68" s="6" t="s">
        <v>180</v>
      </c>
      <c r="C68" s="11" t="str">
        <f aca="false">IFERROR(INDEX('Cư dân'!$C$2:$C$2000,MATCH(1,INDEX(('Cư dân'!$B$2:$B$2000=A68)*('Cư dân'!$I$2:$I$2000="Chủ hộ"),0),0)),"")</f>
        <v>Phùng Xuân An</v>
      </c>
      <c r="D68" s="11" t="n">
        <f aca="false">COUNTIFS('Cư dân'!$B$2:$B$2000,A68,'Cư dân'!$O$2:$O$2000,"Đang ở")</f>
        <v>4</v>
      </c>
      <c r="E68" s="6"/>
      <c r="F68" s="12"/>
    </row>
    <row r="69" customFormat="false" ht="15" hidden="false" customHeight="true" outlineLevel="0" collapsed="false">
      <c r="A69" s="6" t="s">
        <v>181</v>
      </c>
      <c r="B69" s="6" t="s">
        <v>182</v>
      </c>
      <c r="C69" s="11" t="str">
        <f aca="false">IFERROR(INDEX('Cư dân'!$C$2:$C$2000,MATCH(1,INDEX(('Cư dân'!$B$2:$B$2000=A69)*('Cư dân'!$I$2:$I$2000="Chủ hộ"),0),0)),"")</f>
        <v>Nguyễn Xuân Khiêm</v>
      </c>
      <c r="D69" s="11" t="n">
        <f aca="false">COUNTIFS('Cư dân'!$B$2:$B$2000,A69,'Cư dân'!$O$2:$O$2000,"Đang ở")</f>
        <v>5</v>
      </c>
      <c r="E69" s="6"/>
      <c r="F69" s="12"/>
    </row>
    <row r="70" customFormat="false" ht="15" hidden="false" customHeight="true" outlineLevel="0" collapsed="false">
      <c r="A70" s="6" t="s">
        <v>183</v>
      </c>
      <c r="B70" s="6" t="s">
        <v>184</v>
      </c>
      <c r="C70" s="11" t="str">
        <f aca="false">IFERROR(INDEX('Cư dân'!$C$2:$C$2000,MATCH(1,INDEX(('Cư dân'!$B$2:$B$2000=A70)*('Cư dân'!$I$2:$I$2000="Chủ hộ"),0),0)),"")</f>
        <v>Trần Đình Hải</v>
      </c>
      <c r="D70" s="11" t="n">
        <f aca="false">COUNTIFS('Cư dân'!$B$2:$B$2000,A70,'Cư dân'!$O$2:$O$2000,"Đang ở")</f>
        <v>7</v>
      </c>
      <c r="E70" s="6"/>
      <c r="F70" s="12"/>
    </row>
    <row r="71" customFormat="false" ht="15" hidden="false" customHeight="true" outlineLevel="0" collapsed="false">
      <c r="A71" s="6" t="s">
        <v>185</v>
      </c>
      <c r="B71" s="6" t="s">
        <v>186</v>
      </c>
      <c r="C71" s="11" t="str">
        <f aca="false">IFERROR(INDEX('Cư dân'!$C$2:$C$2000,MATCH(1,INDEX(('Cư dân'!$B$2:$B$2000=A71)*('Cư dân'!$I$2:$I$2000="Chủ hộ"),0),0)),"")</f>
        <v>Đinh Xuân Bái</v>
      </c>
      <c r="D71" s="11" t="n">
        <f aca="false">COUNTIFS('Cư dân'!$B$2:$B$2000,A71,'Cư dân'!$O$2:$O$2000,"Đang ở")</f>
        <v>7</v>
      </c>
      <c r="E71" s="6"/>
      <c r="F71" s="12"/>
    </row>
    <row r="72" customFormat="false" ht="15" hidden="false" customHeight="true" outlineLevel="0" collapsed="false">
      <c r="A72" s="6" t="s">
        <v>187</v>
      </c>
      <c r="B72" s="6" t="s">
        <v>188</v>
      </c>
      <c r="C72" s="11" t="str">
        <f aca="false">IFERROR(INDEX('Cư dân'!$C$2:$C$2000,MATCH(1,INDEX(('Cư dân'!$B$2:$B$2000=A72)*('Cư dân'!$I$2:$I$2000="Chủ hộ"),0),0)),"")</f>
        <v>Nguyễn Duy Chính</v>
      </c>
      <c r="D72" s="11" t="n">
        <f aca="false">COUNTIFS('Cư dân'!$B$2:$B$2000,A72,'Cư dân'!$O$2:$O$2000,"Đang ở")</f>
        <v>7</v>
      </c>
      <c r="E72" s="6"/>
      <c r="F72" s="12" t="s">
        <v>189</v>
      </c>
    </row>
    <row r="73" customFormat="false" ht="15" hidden="false" customHeight="true" outlineLevel="0" collapsed="false">
      <c r="A73" s="6" t="s">
        <v>190</v>
      </c>
      <c r="B73" s="6" t="s">
        <v>191</v>
      </c>
      <c r="C73" s="11" t="str">
        <f aca="false">IFERROR(INDEX('Cư dân'!$C$2:$C$2000,MATCH(1,INDEX(('Cư dân'!$B$2:$B$2000=A73)*('Cư dân'!$I$2:$I$2000="Chủ hộ"),0),0)),"")</f>
        <v>Đỗ Thị Thúy</v>
      </c>
      <c r="D73" s="11" t="n">
        <f aca="false">COUNTIFS('Cư dân'!$B$2:$B$2000,A73,'Cư dân'!$O$2:$O$2000,"Đang ở")</f>
        <v>1</v>
      </c>
      <c r="E73" s="6"/>
      <c r="F73" s="12"/>
    </row>
    <row r="74" customFormat="false" ht="15" hidden="false" customHeight="true" outlineLevel="0" collapsed="false">
      <c r="A74" s="6" t="s">
        <v>192</v>
      </c>
      <c r="B74" s="6" t="s">
        <v>191</v>
      </c>
      <c r="C74" s="11" t="str">
        <f aca="false">IFERROR(INDEX('Cư dân'!$C$2:$C$2000,MATCH(1,INDEX(('Cư dân'!$B$2:$B$2000=A74)*('Cư dân'!$I$2:$I$2000="Chủ hộ"),0),0)),"")</f>
        <v>Đổng Trọng Long</v>
      </c>
      <c r="D74" s="11" t="n">
        <f aca="false">COUNTIFS('Cư dân'!$B$2:$B$2000,A74,'Cư dân'!$O$2:$O$2000,"Đang ở")</f>
        <v>8</v>
      </c>
      <c r="E74" s="6"/>
      <c r="F74" s="12"/>
    </row>
    <row r="75" customFormat="false" ht="15" hidden="false" customHeight="true" outlineLevel="0" collapsed="false">
      <c r="A75" s="6" t="s">
        <v>193</v>
      </c>
      <c r="B75" s="6" t="s">
        <v>194</v>
      </c>
      <c r="C75" s="11" t="str">
        <f aca="false">IFERROR(INDEX('Cư dân'!$C$2:$C$2000,MATCH(1,INDEX(('Cư dân'!$B$2:$B$2000=A75)*('Cư dân'!$I$2:$I$2000="Chủ hộ"),0),0)),"")</f>
        <v>Đỗ Thị Việt Nga</v>
      </c>
      <c r="D75" s="11" t="n">
        <f aca="false">COUNTIFS('Cư dân'!$B$2:$B$2000,A75,'Cư dân'!$O$2:$O$2000,"Đang ở")</f>
        <v>5</v>
      </c>
      <c r="E75" s="6"/>
      <c r="F75" s="12"/>
    </row>
    <row r="76" customFormat="false" ht="15" hidden="false" customHeight="true" outlineLevel="0" collapsed="false">
      <c r="A76" s="6" t="s">
        <v>195</v>
      </c>
      <c r="B76" s="6" t="s">
        <v>196</v>
      </c>
      <c r="C76" s="11" t="str">
        <f aca="false">IFERROR(INDEX('Cư dân'!$C$2:$C$2000,MATCH(1,INDEX(('Cư dân'!$B$2:$B$2000=A76)*('Cư dân'!$I$2:$I$2000="Chủ hộ"),0),0)),"")</f>
        <v>Đỗ Nhật Anh</v>
      </c>
      <c r="D76" s="11" t="n">
        <f aca="false">COUNTIFS('Cư dân'!$B$2:$B$2000,A76,'Cư dân'!$O$2:$O$2000,"Đang ở")</f>
        <v>6</v>
      </c>
      <c r="E76" s="6"/>
      <c r="F76" s="12"/>
    </row>
    <row r="77" customFormat="false" ht="15" hidden="false" customHeight="true" outlineLevel="0" collapsed="false">
      <c r="A77" s="6" t="s">
        <v>197</v>
      </c>
      <c r="B77" s="6" t="s">
        <v>198</v>
      </c>
      <c r="C77" s="11" t="str">
        <f aca="false">IFERROR(INDEX('Cư dân'!$C$2:$C$2000,MATCH(1,INDEX(('Cư dân'!$B$2:$B$2000=A77)*('Cư dân'!$I$2:$I$2000="Chủ hộ"),0),0)),"")</f>
        <v>Vũ Thị Minh</v>
      </c>
      <c r="D77" s="11" t="n">
        <f aca="false">COUNTIFS('Cư dân'!$B$2:$B$2000,A77,'Cư dân'!$O$2:$O$2000,"Đang ở")</f>
        <v>7</v>
      </c>
      <c r="E77" s="6"/>
      <c r="F77" s="12"/>
    </row>
    <row r="78" customFormat="false" ht="15" hidden="false" customHeight="true" outlineLevel="0" collapsed="false">
      <c r="A78" s="6" t="s">
        <v>199</v>
      </c>
      <c r="B78" s="6" t="s">
        <v>200</v>
      </c>
      <c r="C78" s="11" t="str">
        <f aca="false">IFERROR(INDEX('Cư dân'!$C$2:$C$2000,MATCH(1,INDEX(('Cư dân'!$B$2:$B$2000=A78)*('Cư dân'!$I$2:$I$2000="Chủ hộ"),0),0)),"")</f>
        <v>Nguyễn Thị Minh</v>
      </c>
      <c r="D78" s="11" t="n">
        <f aca="false">COUNTIFS('Cư dân'!$B$2:$B$2000,A78,'Cư dân'!$O$2:$O$2000,"Đang ở")</f>
        <v>6</v>
      </c>
      <c r="E78" s="6"/>
      <c r="F78" s="12"/>
    </row>
    <row r="79" customFormat="false" ht="15" hidden="false" customHeight="true" outlineLevel="0" collapsed="false">
      <c r="A79" s="6" t="s">
        <v>201</v>
      </c>
      <c r="B79" s="6" t="s">
        <v>182</v>
      </c>
      <c r="C79" s="11" t="str">
        <f aca="false">IFERROR(INDEX('Cư dân'!$C$2:$C$2000,MATCH(1,INDEX(('Cư dân'!$B$2:$B$2000=A79)*('Cư dân'!$I$2:$I$2000="Chủ hộ"),0),0)),"")</f>
        <v>Nguyễn Xuân Khiêm</v>
      </c>
      <c r="D79" s="11" t="n">
        <f aca="false">COUNTIFS('Cư dân'!$B$2:$B$2000,A79,'Cư dân'!$O$2:$O$2000,"Đang ở")</f>
        <v>5</v>
      </c>
      <c r="E79" s="6"/>
      <c r="F79" s="12"/>
    </row>
    <row r="80" customFormat="false" ht="15" hidden="false" customHeight="true" outlineLevel="0" collapsed="false">
      <c r="A80" s="6" t="s">
        <v>202</v>
      </c>
      <c r="B80" s="6" t="s">
        <v>203</v>
      </c>
      <c r="C80" s="11" t="str">
        <f aca="false">IFERROR(INDEX('Cư dân'!$C$2:$C$2000,MATCH(1,INDEX(('Cư dân'!$B$2:$B$2000=A80)*('Cư dân'!$I$2:$I$2000="Chủ hộ"),0),0)),"")</f>
        <v>Ngô Thị Nga</v>
      </c>
      <c r="D80" s="11" t="n">
        <f aca="false">COUNTIFS('Cư dân'!$B$2:$B$2000,A80,'Cư dân'!$O$2:$O$2000,"Đang ở")</f>
        <v>6</v>
      </c>
      <c r="E80" s="6"/>
      <c r="F80" s="12"/>
    </row>
    <row r="81" customFormat="false" ht="15" hidden="false" customHeight="true" outlineLevel="0" collapsed="false">
      <c r="A81" s="6" t="s">
        <v>204</v>
      </c>
      <c r="B81" s="6" t="s">
        <v>205</v>
      </c>
      <c r="C81" s="11" t="str">
        <f aca="false">IFERROR(INDEX('Cư dân'!$C$2:$C$2000,MATCH(1,INDEX(('Cư dân'!$B$2:$B$2000=A81)*('Cư dân'!$I$2:$I$2000="Chủ hộ"),0),0)),"")</f>
        <v>Đặng Bảo Lâm</v>
      </c>
      <c r="D81" s="11" t="n">
        <f aca="false">COUNTIFS('Cư dân'!$B$2:$B$2000,A81,'Cư dân'!$O$2:$O$2000,"Đang ở")</f>
        <v>4</v>
      </c>
      <c r="E81" s="6"/>
      <c r="F81" s="12"/>
    </row>
    <row r="82" customFormat="false" ht="15" hidden="false" customHeight="true" outlineLevel="0" collapsed="false">
      <c r="A82" s="6" t="s">
        <v>206</v>
      </c>
      <c r="B82" s="6" t="s">
        <v>207</v>
      </c>
      <c r="C82" s="11" t="str">
        <f aca="false">IFERROR(INDEX('Cư dân'!$C$2:$C$2000,MATCH(1,INDEX(('Cư dân'!$B$2:$B$2000=A82)*('Cư dân'!$I$2:$I$2000="Chủ hộ"),0),0)),"")</f>
        <v>Trần Lê Phương</v>
      </c>
      <c r="D82" s="11" t="n">
        <f aca="false">COUNTIFS('Cư dân'!$B$2:$B$2000,A82,'Cư dân'!$O$2:$O$2000,"Đang ở")</f>
        <v>1</v>
      </c>
      <c r="E82" s="6"/>
      <c r="F82" s="12"/>
    </row>
    <row r="83" customFormat="false" ht="15" hidden="false" customHeight="true" outlineLevel="0" collapsed="false">
      <c r="A83" s="6" t="s">
        <v>208</v>
      </c>
      <c r="B83" s="6" t="s">
        <v>209</v>
      </c>
      <c r="C83" s="11" t="str">
        <f aca="false">IFERROR(INDEX('Cư dân'!$C$2:$C$2000,MATCH(1,INDEX(('Cư dân'!$B$2:$B$2000=A83)*('Cư dân'!$I$2:$I$2000="Chủ hộ"),0),0)),"")</f>
        <v>Lê Thị Vân Nương</v>
      </c>
      <c r="D83" s="11" t="n">
        <f aca="false">COUNTIFS('Cư dân'!$B$2:$B$2000,A83,'Cư dân'!$O$2:$O$2000,"Đang ở")</f>
        <v>4</v>
      </c>
      <c r="E83" s="6"/>
      <c r="F83" s="12"/>
    </row>
    <row r="84" customFormat="false" ht="15" hidden="false" customHeight="true" outlineLevel="0" collapsed="false">
      <c r="A84" s="6" t="s">
        <v>210</v>
      </c>
      <c r="B84" s="6" t="s">
        <v>211</v>
      </c>
      <c r="C84" s="11" t="str">
        <f aca="false">IFERROR(INDEX('Cư dân'!$C$2:$C$2000,MATCH(1,INDEX(('Cư dân'!$B$2:$B$2000=A84)*('Cư dân'!$I$2:$I$2000="Chủ hộ"),0),0)),"")</f>
        <v>Nguyễn Thị Việt Hưng</v>
      </c>
      <c r="D84" s="11" t="n">
        <f aca="false">COUNTIFS('Cư dân'!$B$2:$B$2000,A84,'Cư dân'!$O$2:$O$2000,"Đang ở")</f>
        <v>8</v>
      </c>
      <c r="E84" s="6"/>
      <c r="F84" s="12"/>
    </row>
    <row r="85" customFormat="false" ht="15" hidden="false" customHeight="true" outlineLevel="0" collapsed="false">
      <c r="A85" s="6" t="s">
        <v>212</v>
      </c>
      <c r="B85" s="6" t="s">
        <v>213</v>
      </c>
      <c r="C85" s="11" t="str">
        <f aca="false">IFERROR(INDEX('Cư dân'!$C$2:$C$2000,MATCH(1,INDEX(('Cư dân'!$B$2:$B$2000=A85)*('Cư dân'!$I$2:$I$2000="Chủ hộ"),0),0)),"")</f>
        <v>Kiều Thu Trang</v>
      </c>
      <c r="D85" s="11" t="n">
        <f aca="false">COUNTIFS('Cư dân'!$B$2:$B$2000,A85,'Cư dân'!$O$2:$O$2000,"Đang ở")</f>
        <v>4</v>
      </c>
      <c r="E85" s="6"/>
      <c r="F85" s="12"/>
    </row>
    <row r="86" customFormat="false" ht="15" hidden="false" customHeight="true" outlineLevel="0" collapsed="false">
      <c r="A86" s="6" t="s">
        <v>214</v>
      </c>
      <c r="B86" s="6" t="s">
        <v>215</v>
      </c>
      <c r="C86" s="11" t="str">
        <f aca="false">IFERROR(INDEX('Cư dân'!$C$2:$C$2000,MATCH(1,INDEX(('Cư dân'!$B$2:$B$2000=A86)*('Cư dân'!$I$2:$I$2000="Chủ hộ"),0),0)),"")</f>
        <v>Lê Thị Thanh Bình</v>
      </c>
      <c r="D86" s="11" t="n">
        <f aca="false">COUNTIFS('Cư dân'!$B$2:$B$2000,A86,'Cư dân'!$O$2:$O$2000,"Đang ở")</f>
        <v>6</v>
      </c>
      <c r="E86" s="6"/>
      <c r="F86" s="12"/>
    </row>
    <row r="87" customFormat="false" ht="15" hidden="false" customHeight="true" outlineLevel="0" collapsed="false">
      <c r="A87" s="6" t="s">
        <v>216</v>
      </c>
      <c r="B87" s="6" t="s">
        <v>217</v>
      </c>
      <c r="C87" s="11" t="str">
        <f aca="false">IFERROR(INDEX('Cư dân'!$C$2:$C$2000,MATCH(1,INDEX(('Cư dân'!$B$2:$B$2000=A87)*('Cư dân'!$I$2:$I$2000="Chủ hộ"),0),0)),"")</f>
        <v>Lê Thiện Thạch</v>
      </c>
      <c r="D87" s="11" t="n">
        <f aca="false">COUNTIFS('Cư dân'!$B$2:$B$2000,A87,'Cư dân'!$O$2:$O$2000,"Đang ở")</f>
        <v>5</v>
      </c>
      <c r="E87" s="6"/>
      <c r="F87" s="12"/>
    </row>
    <row r="88" customFormat="false" ht="15" hidden="false" customHeight="true" outlineLevel="0" collapsed="false">
      <c r="A88" s="6" t="s">
        <v>218</v>
      </c>
      <c r="B88" s="6" t="s">
        <v>219</v>
      </c>
      <c r="C88" s="11" t="str">
        <f aca="false">IFERROR(INDEX('Cư dân'!$C$2:$C$2000,MATCH(1,INDEX(('Cư dân'!$B$2:$B$2000=A88)*('Cư dân'!$I$2:$I$2000="Chủ hộ"),0),0)),"")</f>
        <v>Nguyễn Đức Khánh</v>
      </c>
      <c r="D88" s="11" t="n">
        <f aca="false">COUNTIFS('Cư dân'!$B$2:$B$2000,A88,'Cư dân'!$O$2:$O$2000,"Đang ở")</f>
        <v>4</v>
      </c>
      <c r="E88" s="6"/>
      <c r="F88" s="12"/>
    </row>
    <row r="89" customFormat="false" ht="15" hidden="false" customHeight="true" outlineLevel="0" collapsed="false">
      <c r="A89" s="6" t="s">
        <v>220</v>
      </c>
      <c r="B89" s="6" t="s">
        <v>221</v>
      </c>
      <c r="C89" s="11" t="str">
        <f aca="false">IFERROR(INDEX('Cư dân'!$C$2:$C$2000,MATCH(1,INDEX(('Cư dân'!$B$2:$B$2000=A89)*('Cư dân'!$I$2:$I$2000="Chủ hộ"),0),0)),"")</f>
        <v>Trần Ngọc Quang</v>
      </c>
      <c r="D89" s="11" t="n">
        <f aca="false">COUNTIFS('Cư dân'!$B$2:$B$2000,A89,'Cư dân'!$O$2:$O$2000,"Đang ở")</f>
        <v>2</v>
      </c>
      <c r="E89" s="6"/>
      <c r="F89" s="12"/>
    </row>
    <row r="90" customFormat="false" ht="15" hidden="false" customHeight="true" outlineLevel="0" collapsed="false">
      <c r="A90" s="6" t="s">
        <v>222</v>
      </c>
      <c r="B90" s="6" t="s">
        <v>223</v>
      </c>
      <c r="C90" s="11" t="str">
        <f aca="false">IFERROR(INDEX('Cư dân'!$C$2:$C$2000,MATCH(1,INDEX(('Cư dân'!$B$2:$B$2000=A90)*('Cư dân'!$I$2:$I$2000="Chủ hộ"),0),0)),"")</f>
        <v>Lê Tuyết Anh</v>
      </c>
      <c r="D90" s="11" t="n">
        <f aca="false">COUNTIFS('Cư dân'!$B$2:$B$2000,A90,'Cư dân'!$O$2:$O$2000,"Đang ở")</f>
        <v>6</v>
      </c>
      <c r="E90" s="6"/>
      <c r="F90" s="12"/>
    </row>
    <row r="91" customFormat="false" ht="15" hidden="false" customHeight="true" outlineLevel="0" collapsed="false">
      <c r="A91" s="6" t="s">
        <v>224</v>
      </c>
      <c r="B91" s="6" t="s">
        <v>225</v>
      </c>
      <c r="C91" s="11" t="str">
        <f aca="false">IFERROR(INDEX('Cư dân'!$C$2:$C$2000,MATCH(1,INDEX(('Cư dân'!$B$2:$B$2000=A91)*('Cư dân'!$I$2:$I$2000="Chủ hộ"),0),0)),"")</f>
        <v>Nguyễn Trực</v>
      </c>
      <c r="D91" s="11" t="n">
        <f aca="false">COUNTIFS('Cư dân'!$B$2:$B$2000,A91,'Cư dân'!$O$2:$O$2000,"Đang ở")</f>
        <v>6</v>
      </c>
      <c r="E91" s="6"/>
      <c r="F91" s="12"/>
    </row>
    <row r="92" customFormat="false" ht="15" hidden="false" customHeight="true" outlineLevel="0" collapsed="false">
      <c r="A92" s="6" t="s">
        <v>226</v>
      </c>
      <c r="B92" s="6" t="s">
        <v>225</v>
      </c>
      <c r="C92" s="11" t="str">
        <f aca="false">IFERROR(INDEX('Cư dân'!$C$2:$C$2000,MATCH(1,INDEX(('Cư dân'!$B$2:$B$2000=A92)*('Cư dân'!$I$2:$I$2000="Chủ hộ"),0),0)),"")</f>
        <v>Nguyễn Trung Kiên</v>
      </c>
      <c r="D92" s="11" t="n">
        <f aca="false">COUNTIFS('Cư dân'!$B$2:$B$2000,A92,'Cư dân'!$O$2:$O$2000,"Đang ở")</f>
        <v>4</v>
      </c>
      <c r="E92" s="6"/>
      <c r="F92" s="12"/>
    </row>
    <row r="93" customFormat="false" ht="15" hidden="false" customHeight="true" outlineLevel="0" collapsed="false">
      <c r="A93" s="6" t="s">
        <v>227</v>
      </c>
      <c r="B93" s="6" t="s">
        <v>228</v>
      </c>
      <c r="C93" s="11" t="str">
        <f aca="false">IFERROR(INDEX('Cư dân'!$C$2:$C$2000,MATCH(1,INDEX(('Cư dân'!$B$2:$B$2000=A93)*('Cư dân'!$I$2:$I$2000="Chủ hộ"),0),0)),"")</f>
        <v>Phan Thị Mai Hương</v>
      </c>
      <c r="D93" s="11" t="n">
        <f aca="false">COUNTIFS('Cư dân'!$B$2:$B$2000,A93,'Cư dân'!$O$2:$O$2000,"Đang ở")</f>
        <v>8</v>
      </c>
      <c r="E93" s="6"/>
      <c r="F93" s="12" t="s">
        <v>229</v>
      </c>
    </row>
    <row r="94" customFormat="false" ht="15" hidden="false" customHeight="true" outlineLevel="0" collapsed="false">
      <c r="A94" s="6" t="s">
        <v>230</v>
      </c>
      <c r="B94" s="6" t="s">
        <v>231</v>
      </c>
      <c r="C94" s="11" t="str">
        <f aca="false">IFERROR(INDEX('Cư dân'!$C$2:$C$2000,MATCH(1,INDEX(('Cư dân'!$B$2:$B$2000=A94)*('Cư dân'!$I$2:$I$2000="Chủ hộ"),0),0)),"")</f>
        <v>Lê Văn Huy</v>
      </c>
      <c r="D94" s="11" t="n">
        <f aca="false">COUNTIFS('Cư dân'!$B$2:$B$2000,A94,'Cư dân'!$O$2:$O$2000,"Đang ở")</f>
        <v>4</v>
      </c>
      <c r="E94" s="6"/>
      <c r="F94" s="12"/>
    </row>
    <row r="95" customFormat="false" ht="15" hidden="false" customHeight="true" outlineLevel="0" collapsed="false">
      <c r="A95" s="6" t="s">
        <v>232</v>
      </c>
      <c r="B95" s="6" t="s">
        <v>233</v>
      </c>
      <c r="C95" s="11" t="str">
        <f aca="false">IFERROR(INDEX('Cư dân'!$C$2:$C$2000,MATCH(1,INDEX(('Cư dân'!$B$2:$B$2000=A95)*('Cư dân'!$I$2:$I$2000="Chủ hộ"),0),0)),"")</f>
        <v>Đỗ Văn Huấn</v>
      </c>
      <c r="D95" s="11" t="n">
        <f aca="false">COUNTIFS('Cư dân'!$B$2:$B$2000,A95,'Cư dân'!$O$2:$O$2000,"Đang ở")</f>
        <v>1</v>
      </c>
      <c r="E95" s="6"/>
      <c r="F95" s="12"/>
    </row>
    <row r="96" customFormat="false" ht="15" hidden="false" customHeight="true" outlineLevel="0" collapsed="false">
      <c r="A96" s="6" t="s">
        <v>234</v>
      </c>
      <c r="B96" s="6" t="s">
        <v>235</v>
      </c>
      <c r="C96" s="11" t="str">
        <f aca="false">IFERROR(INDEX('Cư dân'!$C$2:$C$2000,MATCH(1,INDEX(('Cư dân'!$B$2:$B$2000=A96)*('Cư dân'!$I$2:$I$2000="Chủ hộ"),0),0)),"")</f>
        <v>Phạm Quang Phúc</v>
      </c>
      <c r="D96" s="11" t="n">
        <f aca="false">COUNTIFS('Cư dân'!$B$2:$B$2000,A96,'Cư dân'!$O$2:$O$2000,"Đang ở")</f>
        <v>7</v>
      </c>
      <c r="E96" s="6"/>
      <c r="F96" s="12"/>
    </row>
    <row r="97" customFormat="false" ht="15" hidden="false" customHeight="true" outlineLevel="0" collapsed="false">
      <c r="A97" s="6" t="s">
        <v>236</v>
      </c>
      <c r="B97" s="6" t="s">
        <v>237</v>
      </c>
      <c r="C97" s="11" t="str">
        <f aca="false">IFERROR(INDEX('Cư dân'!$C$2:$C$2000,MATCH(1,INDEX(('Cư dân'!$B$2:$B$2000=A97)*('Cư dân'!$I$2:$I$2000="Chủ hộ"),0),0)),"")</f>
        <v>Phạm Quang Dội</v>
      </c>
      <c r="D97" s="11" t="n">
        <f aca="false">COUNTIFS('Cư dân'!$B$2:$B$2000,A97,'Cư dân'!$O$2:$O$2000,"Đang ở")</f>
        <v>5</v>
      </c>
      <c r="E97" s="6"/>
      <c r="F97" s="12"/>
    </row>
    <row r="98" customFormat="false" ht="15" hidden="false" customHeight="true" outlineLevel="0" collapsed="false">
      <c r="A98" s="6" t="s">
        <v>238</v>
      </c>
      <c r="B98" s="6" t="s">
        <v>239</v>
      </c>
      <c r="C98" s="11" t="str">
        <f aca="false">IFERROR(INDEX('Cư dân'!$C$2:$C$2000,MATCH(1,INDEX(('Cư dân'!$B$2:$B$2000=A98)*('Cư dân'!$I$2:$I$2000="Chủ hộ"),0),0)),"")</f>
        <v>Vũ Xuân Ngọc</v>
      </c>
      <c r="D98" s="11" t="n">
        <f aca="false">COUNTIFS('Cư dân'!$B$2:$B$2000,A98,'Cư dân'!$O$2:$O$2000,"Đang ở")</f>
        <v>4</v>
      </c>
      <c r="E98" s="6"/>
      <c r="F98" s="12"/>
    </row>
    <row r="99" customFormat="false" ht="15" hidden="false" customHeight="true" outlineLevel="0" collapsed="false">
      <c r="A99" s="6" t="s">
        <v>240</v>
      </c>
      <c r="B99" s="6" t="s">
        <v>241</v>
      </c>
      <c r="C99" s="11" t="str">
        <f aca="false">IFERROR(INDEX('Cư dân'!$C$2:$C$2000,MATCH(1,INDEX(('Cư dân'!$B$2:$B$2000=A99)*('Cư dân'!$I$2:$I$2000="Chủ hộ"),0),0)),"")</f>
        <v>Đặng Thanh Thúy</v>
      </c>
      <c r="D99" s="11" t="n">
        <f aca="false">COUNTIFS('Cư dân'!$B$2:$B$2000,A99,'Cư dân'!$O$2:$O$2000,"Đang ở")</f>
        <v>8</v>
      </c>
      <c r="E99" s="6"/>
      <c r="F99" s="12"/>
    </row>
    <row r="100" customFormat="false" ht="15" hidden="false" customHeight="true" outlineLevel="0" collapsed="false">
      <c r="A100" s="6" t="s">
        <v>242</v>
      </c>
      <c r="B100" s="6" t="s">
        <v>243</v>
      </c>
      <c r="C100" s="11" t="str">
        <f aca="false">IFERROR(INDEX('Cư dân'!$C$2:$C$2000,MATCH(1,INDEX(('Cư dân'!$B$2:$B$2000=A100)*('Cư dân'!$I$2:$I$2000="Chủ hộ"),0),0)),"")</f>
        <v>Nguyễn Thị Hậu</v>
      </c>
      <c r="D100" s="11" t="n">
        <f aca="false">COUNTIFS('Cư dân'!$B$2:$B$2000,A100,'Cư dân'!$O$2:$O$2000,"Đang ở")</f>
        <v>1</v>
      </c>
      <c r="E100" s="6"/>
      <c r="F100" s="12"/>
    </row>
    <row r="101" customFormat="false" ht="15" hidden="false" customHeight="true" outlineLevel="0" collapsed="false">
      <c r="A101" s="6" t="s">
        <v>244</v>
      </c>
      <c r="B101" s="6" t="s">
        <v>245</v>
      </c>
      <c r="C101" s="11" t="str">
        <f aca="false">IFERROR(INDEX('Cư dân'!$C$2:$C$2000,MATCH(1,INDEX(('Cư dân'!$B$2:$B$2000=A101)*('Cư dân'!$I$2:$I$2000="Chủ hộ"),0),0)),"")</f>
        <v>Lê Thanh Thúy</v>
      </c>
      <c r="D101" s="11" t="n">
        <f aca="false">COUNTIFS('Cư dân'!$B$2:$B$2000,A101,'Cư dân'!$O$2:$O$2000,"Đang ở")</f>
        <v>3</v>
      </c>
      <c r="E101" s="6"/>
      <c r="F101" s="12"/>
    </row>
    <row r="102" customFormat="false" ht="15" hidden="false" customHeight="true" outlineLevel="0" collapsed="false">
      <c r="A102" s="6" t="s">
        <v>246</v>
      </c>
      <c r="B102" s="6" t="s">
        <v>247</v>
      </c>
      <c r="C102" s="11" t="str">
        <f aca="false">IFERROR(INDEX('Cư dân'!$C$2:$C$2000,MATCH(1,INDEX(('Cư dân'!$B$2:$B$2000=A102)*('Cư dân'!$I$2:$I$2000="Chủ hộ"),0),0)),"")</f>
        <v>Lê Ngọc Huyền</v>
      </c>
      <c r="D102" s="11" t="n">
        <f aca="false">COUNTIFS('Cư dân'!$B$2:$B$2000,A102,'Cư dân'!$O$2:$O$2000,"Đang ở")</f>
        <v>1</v>
      </c>
      <c r="E102" s="6"/>
      <c r="F102" s="12"/>
    </row>
    <row r="103" customFormat="false" ht="15" hidden="false" customHeight="true" outlineLevel="0" collapsed="false">
      <c r="A103" s="6" t="s">
        <v>248</v>
      </c>
      <c r="B103" s="6" t="s">
        <v>249</v>
      </c>
      <c r="C103" s="11" t="str">
        <f aca="false">IFERROR(INDEX('Cư dân'!$C$2:$C$2000,MATCH(1,INDEX(('Cư dân'!$B$2:$B$2000=A103)*('Cư dân'!$I$2:$I$2000="Chủ hộ"),0),0)),"")</f>
        <v>Gạo</v>
      </c>
      <c r="D103" s="11" t="n">
        <f aca="false">COUNTIFS('Cư dân'!$B$2:$B$2000,A103,'Cư dân'!$O$2:$O$2000,"Đang ở")</f>
        <v>1</v>
      </c>
      <c r="E103" s="6"/>
      <c r="F103" s="12"/>
    </row>
    <row r="104" customFormat="false" ht="15" hidden="false" customHeight="true" outlineLevel="0" collapsed="false">
      <c r="A104" s="6" t="s">
        <v>250</v>
      </c>
      <c r="B104" s="6" t="s">
        <v>251</v>
      </c>
      <c r="C104" s="11" t="str">
        <f aca="false">IFERROR(INDEX('Cư dân'!$C$2:$C$2000,MATCH(1,INDEX(('Cư dân'!$B$2:$B$2000=A104)*('Cư dân'!$I$2:$I$2000="Chủ hộ"),0),0)),"")</f>
        <v>Ngọ Văn Thắng</v>
      </c>
      <c r="D104" s="11" t="n">
        <f aca="false">COUNTIFS('Cư dân'!$B$2:$B$2000,A104,'Cư dân'!$O$2:$O$2000,"Đang ở")</f>
        <v>8</v>
      </c>
      <c r="E104" s="6"/>
      <c r="F104" s="12"/>
    </row>
    <row r="105" customFormat="false" ht="15" hidden="false" customHeight="true" outlineLevel="0" collapsed="false">
      <c r="A105" s="6" t="s">
        <v>252</v>
      </c>
      <c r="B105" s="6" t="s">
        <v>253</v>
      </c>
      <c r="C105" s="11" t="str">
        <f aca="false">IFERROR(INDEX('Cư dân'!$C$2:$C$2000,MATCH(1,INDEX(('Cư dân'!$B$2:$B$2000=A105)*('Cư dân'!$I$2:$I$2000="Chủ hộ"),0),0)),"")</f>
        <v>Đỗ Công Viễn</v>
      </c>
      <c r="D105" s="11" t="n">
        <f aca="false">COUNTIFS('Cư dân'!$B$2:$B$2000,A105,'Cư dân'!$O$2:$O$2000,"Đang ở")</f>
        <v>4</v>
      </c>
      <c r="E105" s="6"/>
      <c r="F105" s="12"/>
    </row>
    <row r="106" customFormat="false" ht="15" hidden="false" customHeight="true" outlineLevel="0" collapsed="false">
      <c r="A106" s="6" t="s">
        <v>254</v>
      </c>
      <c r="B106" s="6" t="s">
        <v>255</v>
      </c>
      <c r="C106" s="11" t="str">
        <f aca="false">IFERROR(INDEX('Cư dân'!$C$2:$C$2000,MATCH(1,INDEX(('Cư dân'!$B$2:$B$2000=A106)*('Cư dân'!$I$2:$I$2000="Chủ hộ"),0),0)),"")</f>
        <v>Đào Kim Lan</v>
      </c>
      <c r="D106" s="11" t="n">
        <f aca="false">COUNTIFS('Cư dân'!$B$2:$B$2000,A106,'Cư dân'!$O$2:$O$2000,"Đang ở")</f>
        <v>3</v>
      </c>
      <c r="E106" s="6"/>
      <c r="F106" s="12"/>
    </row>
    <row r="107" customFormat="false" ht="15" hidden="false" customHeight="true" outlineLevel="0" collapsed="false">
      <c r="A107" s="6" t="s">
        <v>256</v>
      </c>
      <c r="B107" s="6" t="s">
        <v>257</v>
      </c>
      <c r="C107" s="11" t="str">
        <f aca="false">IFERROR(INDEX('Cư dân'!$C$2:$C$2000,MATCH(1,INDEX(('Cư dân'!$B$2:$B$2000=A107)*('Cư dân'!$I$2:$I$2000="Chủ hộ"),0),0)),"")</f>
        <v>Lương Thị Bích Thảo</v>
      </c>
      <c r="D107" s="11" t="n">
        <f aca="false">COUNTIFS('Cư dân'!$B$2:$B$2000,A107,'Cư dân'!$O$2:$O$2000,"Đang ở")</f>
        <v>1</v>
      </c>
      <c r="E107" s="6"/>
      <c r="F107" s="12"/>
    </row>
    <row r="108" customFormat="false" ht="15" hidden="false" customHeight="true" outlineLevel="0" collapsed="false">
      <c r="A108" s="6" t="s">
        <v>258</v>
      </c>
      <c r="B108" s="6" t="s">
        <v>259</v>
      </c>
      <c r="C108" s="11" t="str">
        <f aca="false">IFERROR(INDEX('Cư dân'!$C$2:$C$2000,MATCH(1,INDEX(('Cư dân'!$B$2:$B$2000=A108)*('Cư dân'!$I$2:$I$2000="Chủ hộ"),0),0)),"")</f>
        <v>Nguyễn Thị Thanh Mai</v>
      </c>
      <c r="D108" s="11" t="n">
        <f aca="false">COUNTIFS('Cư dân'!$B$2:$B$2000,A108,'Cư dân'!$O$2:$O$2000,"Đang ở")</f>
        <v>4</v>
      </c>
      <c r="E108" s="6"/>
      <c r="F108" s="12"/>
    </row>
    <row r="109" customFormat="false" ht="15" hidden="false" customHeight="true" outlineLevel="0" collapsed="false">
      <c r="A109" s="6" t="s">
        <v>260</v>
      </c>
      <c r="B109" s="6" t="s">
        <v>261</v>
      </c>
      <c r="C109" s="11" t="str">
        <f aca="false">IFERROR(INDEX('Cư dân'!$C$2:$C$2000,MATCH(1,INDEX(('Cư dân'!$B$2:$B$2000=A109)*('Cư dân'!$I$2:$I$2000="Chủ hộ"),0),0)),"")</f>
        <v>Nguyễn Dương Thông</v>
      </c>
      <c r="D109" s="11" t="n">
        <f aca="false">COUNTIFS('Cư dân'!$B$2:$B$2000,A109,'Cư dân'!$O$2:$O$2000,"Đang ở")</f>
        <v>3</v>
      </c>
      <c r="E109" s="6"/>
      <c r="F109" s="12"/>
    </row>
    <row r="110" customFormat="false" ht="15" hidden="false" customHeight="true" outlineLevel="0" collapsed="false">
      <c r="A110" s="6" t="s">
        <v>262</v>
      </c>
      <c r="B110" s="6" t="s">
        <v>263</v>
      </c>
      <c r="C110" s="11" t="str">
        <f aca="false">IFERROR(INDEX('Cư dân'!$C$2:$C$2000,MATCH(1,INDEX(('Cư dân'!$B$2:$B$2000=A110)*('Cư dân'!$I$2:$I$2000="Chủ hộ"),0),0)),"")</f>
        <v>Dương Văn Hồng</v>
      </c>
      <c r="D110" s="11" t="n">
        <f aca="false">COUNTIFS('Cư dân'!$B$2:$B$2000,A110,'Cư dân'!$O$2:$O$2000,"Đang ở")</f>
        <v>1</v>
      </c>
      <c r="E110" s="6"/>
      <c r="F110" s="12"/>
    </row>
    <row r="111" customFormat="false" ht="15" hidden="false" customHeight="true" outlineLevel="0" collapsed="false">
      <c r="A111" s="6" t="s">
        <v>264</v>
      </c>
      <c r="B111" s="6" t="s">
        <v>265</v>
      </c>
      <c r="C111" s="11" t="str">
        <f aca="false">IFERROR(INDEX('Cư dân'!$C$2:$C$2000,MATCH(1,INDEX(('Cư dân'!$B$2:$B$2000=A111)*('Cư dân'!$I$2:$I$2000="Chủ hộ"),0),0)),"")</f>
        <v>Nguyễn Xuân Du</v>
      </c>
      <c r="D111" s="11" t="n">
        <f aca="false">COUNTIFS('Cư dân'!$B$2:$B$2000,A111,'Cư dân'!$O$2:$O$2000,"Đang ở")</f>
        <v>5</v>
      </c>
      <c r="E111" s="6"/>
      <c r="F111" s="12"/>
    </row>
    <row r="112" customFormat="false" ht="15" hidden="false" customHeight="true" outlineLevel="0" collapsed="false">
      <c r="A112" s="6" t="s">
        <v>266</v>
      </c>
      <c r="B112" s="6" t="s">
        <v>267</v>
      </c>
      <c r="C112" s="11" t="str">
        <f aca="false">IFERROR(INDEX('Cư dân'!$C$2:$C$2000,MATCH(1,INDEX(('Cư dân'!$B$2:$B$2000=A112)*('Cư dân'!$I$2:$I$2000="Chủ hộ"),0),0)),"")</f>
        <v>Nguyễn Văn Thống</v>
      </c>
      <c r="D112" s="11" t="n">
        <f aca="false">COUNTIFS('Cư dân'!$B$2:$B$2000,A112,'Cư dân'!$O$2:$O$2000,"Đang ở")</f>
        <v>1</v>
      </c>
      <c r="E112" s="6"/>
      <c r="F112" s="12"/>
    </row>
    <row r="113" customFormat="false" ht="15" hidden="false" customHeight="true" outlineLevel="0" collapsed="false">
      <c r="A113" s="6" t="s">
        <v>268</v>
      </c>
      <c r="B113" s="6" t="s">
        <v>269</v>
      </c>
      <c r="C113" s="11" t="str">
        <f aca="false">IFERROR(INDEX('Cư dân'!$C$2:$C$2000,MATCH(1,INDEX(('Cư dân'!$B$2:$B$2000=A113)*('Cư dân'!$I$2:$I$2000="Chủ hộ"),0),0)),"")</f>
        <v>Lê Thế Tùng</v>
      </c>
      <c r="D113" s="11" t="n">
        <f aca="false">COUNTIFS('Cư dân'!$B$2:$B$2000,A113,'Cư dân'!$O$2:$O$2000,"Đang ở")</f>
        <v>5</v>
      </c>
      <c r="E113" s="6"/>
      <c r="F113" s="12"/>
    </row>
    <row r="114" customFormat="false" ht="15" hidden="false" customHeight="true" outlineLevel="0" collapsed="false">
      <c r="A114" s="6" t="s">
        <v>270</v>
      </c>
      <c r="B114" s="6" t="s">
        <v>271</v>
      </c>
      <c r="C114" s="11" t="str">
        <f aca="false">IFERROR(INDEX('Cư dân'!$C$2:$C$2000,MATCH(1,INDEX(('Cư dân'!$B$2:$B$2000=A114)*('Cư dân'!$I$2:$I$2000="Chủ hộ"),0),0)),"")</f>
        <v>Lê Duy Tân</v>
      </c>
      <c r="D114" s="11" t="n">
        <f aca="false">COUNTIFS('Cư dân'!$B$2:$B$2000,A114,'Cư dân'!$O$2:$O$2000,"Đang ở")</f>
        <v>1</v>
      </c>
      <c r="E114" s="6"/>
      <c r="F114" s="12"/>
    </row>
    <row r="115" customFormat="false" ht="15" hidden="false" customHeight="true" outlineLevel="0" collapsed="false">
      <c r="A115" s="6" t="s">
        <v>272</v>
      </c>
      <c r="B115" s="6" t="s">
        <v>273</v>
      </c>
      <c r="C115" s="11" t="str">
        <f aca="false">IFERROR(INDEX('Cư dân'!$C$2:$C$2000,MATCH(1,INDEX(('Cư dân'!$B$2:$B$2000=A115)*('Cư dân'!$I$2:$I$2000="Chủ hộ"),0),0)),"")</f>
        <v>Nguyễn Thị Lý</v>
      </c>
      <c r="D115" s="11" t="n">
        <f aca="false">COUNTIFS('Cư dân'!$B$2:$B$2000,A115,'Cư dân'!$O$2:$O$2000,"Đang ở")</f>
        <v>3</v>
      </c>
      <c r="E115" s="6"/>
      <c r="F115" s="12"/>
    </row>
    <row r="116" customFormat="false" ht="15" hidden="false" customHeight="true" outlineLevel="0" collapsed="false">
      <c r="A116" s="6" t="s">
        <v>274</v>
      </c>
      <c r="B116" s="6" t="s">
        <v>275</v>
      </c>
      <c r="C116" s="11" t="str">
        <f aca="false">IFERROR(INDEX('Cư dân'!$C$2:$C$2000,MATCH(1,INDEX(('Cư dân'!$B$2:$B$2000=A116)*('Cư dân'!$I$2:$I$2000="Chủ hộ"),0),0)),"")</f>
        <v>Hoàng Văn Trường</v>
      </c>
      <c r="D116" s="11" t="n">
        <f aca="false">COUNTIFS('Cư dân'!$B$2:$B$2000,A116,'Cư dân'!$O$2:$O$2000,"Đang ở")</f>
        <v>5</v>
      </c>
      <c r="E116" s="6"/>
      <c r="F116" s="12"/>
    </row>
    <row r="117" customFormat="false" ht="15" hidden="false" customHeight="true" outlineLevel="0" collapsed="false">
      <c r="A117" s="6" t="s">
        <v>276</v>
      </c>
      <c r="B117" s="6" t="s">
        <v>277</v>
      </c>
      <c r="C117" s="11" t="str">
        <f aca="false">IFERROR(INDEX('Cư dân'!$C$2:$C$2000,MATCH(1,INDEX(('Cư dân'!$B$2:$B$2000=A117)*('Cư dân'!$I$2:$I$2000="Chủ hộ"),0),0)),"")</f>
        <v>Nguyễn Văn Trình</v>
      </c>
      <c r="D117" s="11" t="n">
        <f aca="false">COUNTIFS('Cư dân'!$B$2:$B$2000,A117,'Cư dân'!$O$2:$O$2000,"Đang ở")</f>
        <v>4</v>
      </c>
      <c r="E117" s="6"/>
      <c r="F117" s="12"/>
    </row>
    <row r="118" customFormat="false" ht="15" hidden="false" customHeight="true" outlineLevel="0" collapsed="false">
      <c r="A118" s="6" t="s">
        <v>278</v>
      </c>
      <c r="B118" s="6" t="s">
        <v>279</v>
      </c>
      <c r="C118" s="11" t="str">
        <f aca="false">IFERROR(INDEX('Cư dân'!$C$2:$C$2000,MATCH(1,INDEX(('Cư dân'!$B$2:$B$2000=A118)*('Cư dân'!$I$2:$I$2000="Chủ hộ"),0),0)),"")</f>
        <v>Vương Cộng</v>
      </c>
      <c r="D118" s="11" t="n">
        <f aca="false">COUNTIFS('Cư dân'!$B$2:$B$2000,A118,'Cư dân'!$O$2:$O$2000,"Đang ở")</f>
        <v>2</v>
      </c>
      <c r="E118" s="6"/>
      <c r="F118" s="12"/>
    </row>
    <row r="119" customFormat="false" ht="15" hidden="false" customHeight="true" outlineLevel="0" collapsed="false">
      <c r="A119" s="6" t="s">
        <v>280</v>
      </c>
      <c r="B119" s="6" t="s">
        <v>281</v>
      </c>
      <c r="C119" s="11" t="str">
        <f aca="false">IFERROR(INDEX('Cư dân'!$C$2:$C$2000,MATCH(1,INDEX(('Cư dân'!$B$2:$B$2000=A119)*('Cư dân'!$I$2:$I$2000="Chủ hộ"),0),0)),"")</f>
        <v>Nguyễn Thị Ngà</v>
      </c>
      <c r="D119" s="11" t="n">
        <f aca="false">COUNTIFS('Cư dân'!$B$2:$B$2000,A119,'Cư dân'!$O$2:$O$2000,"Đang ở")</f>
        <v>3</v>
      </c>
      <c r="E119" s="6"/>
      <c r="F119" s="12"/>
    </row>
    <row r="120" customFormat="false" ht="15" hidden="false" customHeight="true" outlineLevel="0" collapsed="false">
      <c r="A120" s="6" t="s">
        <v>282</v>
      </c>
      <c r="B120" s="6" t="s">
        <v>283</v>
      </c>
      <c r="C120" s="11" t="str">
        <f aca="false">IFERROR(INDEX('Cư dân'!$C$2:$C$2000,MATCH(1,INDEX(('Cư dân'!$B$2:$B$2000=A120)*('Cư dân'!$I$2:$I$2000="Chủ hộ"),0),0)),"")</f>
        <v>Trần Đức Hải</v>
      </c>
      <c r="D120" s="11" t="n">
        <f aca="false">COUNTIFS('Cư dân'!$B$2:$B$2000,A120,'Cư dân'!$O$2:$O$2000,"Đang ở")</f>
        <v>4</v>
      </c>
      <c r="E120" s="6"/>
      <c r="F120" s="12"/>
    </row>
    <row r="121" customFormat="false" ht="15" hidden="false" customHeight="true" outlineLevel="0" collapsed="false">
      <c r="A121" s="6" t="s">
        <v>284</v>
      </c>
      <c r="B121" s="6" t="s">
        <v>285</v>
      </c>
      <c r="C121" s="11" t="str">
        <f aca="false">IFERROR(INDEX('Cư dân'!$C$2:$C$2000,MATCH(1,INDEX(('Cư dân'!$B$2:$B$2000=A121)*('Cư dân'!$I$2:$I$2000="Chủ hộ"),0),0)),"")</f>
        <v>Bùi Thanh Hải</v>
      </c>
      <c r="D121" s="11" t="n">
        <f aca="false">COUNTIFS('Cư dân'!$B$2:$B$2000,A121,'Cư dân'!$O$2:$O$2000,"Đang ở")</f>
        <v>3</v>
      </c>
      <c r="E121" s="6"/>
      <c r="F121" s="12"/>
    </row>
    <row r="122" customFormat="false" ht="15" hidden="false" customHeight="true" outlineLevel="0" collapsed="false">
      <c r="A122" s="6" t="s">
        <v>286</v>
      </c>
      <c r="B122" s="6" t="s">
        <v>287</v>
      </c>
      <c r="C122" s="11" t="str">
        <f aca="false">IFERROR(INDEX('Cư dân'!$C$2:$C$2000,MATCH(1,INDEX(('Cư dân'!$B$2:$B$2000=A122)*('Cư dân'!$I$2:$I$2000="Chủ hộ"),0),0)),"")</f>
        <v>Lê Đức Mạnh</v>
      </c>
      <c r="D122" s="11" t="n">
        <f aca="false">COUNTIFS('Cư dân'!$B$2:$B$2000,A122,'Cư dân'!$O$2:$O$2000,"Đang ở")</f>
        <v>2</v>
      </c>
      <c r="E122" s="6"/>
      <c r="F122" s="12"/>
    </row>
    <row r="123" customFormat="false" ht="15" hidden="false" customHeight="true" outlineLevel="0" collapsed="false">
      <c r="A123" s="6" t="s">
        <v>288</v>
      </c>
      <c r="B123" s="6" t="s">
        <v>289</v>
      </c>
      <c r="C123" s="11" t="str">
        <f aca="false">IFERROR(INDEX('Cư dân'!$C$2:$C$2000,MATCH(1,INDEX(('Cư dân'!$B$2:$B$2000=A123)*('Cư dân'!$I$2:$I$2000="Chủ hộ"),0),0)),"")</f>
        <v>Nguyễn Hoài Giảng</v>
      </c>
      <c r="D123" s="11" t="n">
        <f aca="false">COUNTIFS('Cư dân'!$B$2:$B$2000,A123,'Cư dân'!$O$2:$O$2000,"Đang ở")</f>
        <v>8</v>
      </c>
      <c r="E123" s="6"/>
      <c r="F123" s="12"/>
    </row>
    <row r="124" customFormat="false" ht="15" hidden="false" customHeight="true" outlineLevel="0" collapsed="false">
      <c r="A124" s="6" t="s">
        <v>290</v>
      </c>
      <c r="B124" s="6" t="s">
        <v>291</v>
      </c>
      <c r="C124" s="11" t="str">
        <f aca="false">IFERROR(INDEX('Cư dân'!$C$2:$C$2000,MATCH(1,INDEX(('Cư dân'!$B$2:$B$2000=A124)*('Cư dân'!$I$2:$I$2000="Chủ hộ"),0),0)),"")</f>
        <v>Nguyễn Mạnh Tường</v>
      </c>
      <c r="D124" s="11" t="n">
        <f aca="false">COUNTIFS('Cư dân'!$B$2:$B$2000,A124,'Cư dân'!$O$2:$O$2000,"Đang ở")</f>
        <v>3</v>
      </c>
      <c r="E124" s="6"/>
      <c r="F124" s="12"/>
    </row>
    <row r="125" customFormat="false" ht="15" hidden="false" customHeight="true" outlineLevel="0" collapsed="false">
      <c r="A125" s="6" t="s">
        <v>292</v>
      </c>
      <c r="B125" s="6" t="s">
        <v>293</v>
      </c>
      <c r="C125" s="11" t="str">
        <f aca="false">IFERROR(INDEX('Cư dân'!$C$2:$C$2000,MATCH(1,INDEX(('Cư dân'!$B$2:$B$2000=A125)*('Cư dân'!$I$2:$I$2000="Chủ hộ"),0),0)),"")</f>
        <v>Nguyễn Thị Hoa</v>
      </c>
      <c r="D125" s="11" t="n">
        <f aca="false">COUNTIFS('Cư dân'!$B$2:$B$2000,A125,'Cư dân'!$O$2:$O$2000,"Đang ở")</f>
        <v>2</v>
      </c>
      <c r="E125" s="6"/>
      <c r="F125" s="12"/>
    </row>
    <row r="126" customFormat="false" ht="15" hidden="false" customHeight="true" outlineLevel="0" collapsed="false">
      <c r="A126" s="6" t="s">
        <v>294</v>
      </c>
      <c r="B126" s="6" t="s">
        <v>295</v>
      </c>
      <c r="C126" s="11" t="str">
        <f aca="false">IFERROR(INDEX('Cư dân'!$C$2:$C$2000,MATCH(1,INDEX(('Cư dân'!$B$2:$B$2000=A126)*('Cư dân'!$I$2:$I$2000="Chủ hộ"),0),0)),"")</f>
        <v>Lê Thị Thúy Đông</v>
      </c>
      <c r="D126" s="11" t="n">
        <f aca="false">COUNTIFS('Cư dân'!$B$2:$B$2000,A126,'Cư dân'!$O$2:$O$2000,"Đang ở")</f>
        <v>3</v>
      </c>
      <c r="E126" s="6"/>
      <c r="F126" s="12"/>
    </row>
    <row r="127" customFormat="false" ht="15" hidden="false" customHeight="true" outlineLevel="0" collapsed="false">
      <c r="A127" s="6" t="s">
        <v>296</v>
      </c>
      <c r="B127" s="6" t="s">
        <v>297</v>
      </c>
      <c r="C127" s="11" t="str">
        <f aca="false">IFERROR(INDEX('Cư dân'!$C$2:$C$2000,MATCH(1,INDEX(('Cư dân'!$B$2:$B$2000=A127)*('Cư dân'!$I$2:$I$2000="Chủ hộ"),0),0)),"")</f>
        <v>Nguyễn Hồng Phượng</v>
      </c>
      <c r="D127" s="11" t="n">
        <f aca="false">COUNTIFS('Cư dân'!$B$2:$B$2000,A127,'Cư dân'!$O$2:$O$2000,"Đang ở")</f>
        <v>6</v>
      </c>
      <c r="E127" s="6"/>
      <c r="F127" s="12"/>
    </row>
    <row r="128" customFormat="false" ht="15" hidden="false" customHeight="true" outlineLevel="0" collapsed="false">
      <c r="A128" s="6" t="s">
        <v>298</v>
      </c>
      <c r="B128" s="6" t="s">
        <v>299</v>
      </c>
      <c r="C128" s="11" t="str">
        <f aca="false">IFERROR(INDEX('Cư dân'!$C$2:$C$2000,MATCH(1,INDEX(('Cư dân'!$B$2:$B$2000=A128)*('Cư dân'!$I$2:$I$2000="Chủ hộ"),0),0)),"")</f>
        <v>Nguyễn Thị Thanh Hằng</v>
      </c>
      <c r="D128" s="11" t="n">
        <f aca="false">COUNTIFS('Cư dân'!$B$2:$B$2000,A128,'Cư dân'!$O$2:$O$2000,"Đang ở")</f>
        <v>5</v>
      </c>
      <c r="E128" s="6"/>
      <c r="F128" s="12"/>
    </row>
    <row r="129" customFormat="false" ht="15" hidden="false" customHeight="true" outlineLevel="0" collapsed="false">
      <c r="A129" s="6" t="s">
        <v>300</v>
      </c>
      <c r="B129" s="6" t="s">
        <v>301</v>
      </c>
      <c r="C129" s="11" t="str">
        <f aca="false">IFERROR(INDEX('Cư dân'!$C$2:$C$2000,MATCH(1,INDEX(('Cư dân'!$B$2:$B$2000=A129)*('Cư dân'!$I$2:$I$2000="Chủ hộ"),0),0)),"")</f>
        <v>Giang Thị Thiên Hương</v>
      </c>
      <c r="D129" s="11" t="n">
        <f aca="false">COUNTIFS('Cư dân'!$B$2:$B$2000,A129,'Cư dân'!$O$2:$O$2000,"Đang ở")</f>
        <v>2</v>
      </c>
      <c r="E129" s="6"/>
      <c r="F129" s="12"/>
    </row>
    <row r="130" customFormat="false" ht="15" hidden="false" customHeight="true" outlineLevel="0" collapsed="false">
      <c r="A130" s="6" t="s">
        <v>302</v>
      </c>
      <c r="B130" s="6" t="s">
        <v>303</v>
      </c>
      <c r="C130" s="11" t="str">
        <f aca="false">IFERROR(INDEX('Cư dân'!$C$2:$C$2000,MATCH(1,INDEX(('Cư dân'!$B$2:$B$2000=A130)*('Cư dân'!$I$2:$I$2000="Chủ hộ"),0),0)),"")</f>
        <v>Nguyễn Thu Nga</v>
      </c>
      <c r="D130" s="11" t="n">
        <f aca="false">COUNTIFS('Cư dân'!$B$2:$B$2000,A130,'Cư dân'!$O$2:$O$2000,"Đang ở")</f>
        <v>1</v>
      </c>
      <c r="E130" s="6"/>
      <c r="F130" s="12"/>
    </row>
    <row r="131" customFormat="false" ht="15" hidden="false" customHeight="true" outlineLevel="0" collapsed="false">
      <c r="A131" s="6" t="s">
        <v>304</v>
      </c>
      <c r="B131" s="6" t="s">
        <v>305</v>
      </c>
      <c r="C131" s="11" t="str">
        <f aca="false">IFERROR(INDEX('Cư dân'!$C$2:$C$2000,MATCH(1,INDEX(('Cư dân'!$B$2:$B$2000=A131)*('Cư dân'!$I$2:$I$2000="Chủ hộ"),0),0)),"")</f>
        <v>Nguyễn Đình Lân</v>
      </c>
      <c r="D131" s="11" t="n">
        <f aca="false">COUNTIFS('Cư dân'!$B$2:$B$2000,A131,'Cư dân'!$O$2:$O$2000,"Đang ở")</f>
        <v>4</v>
      </c>
      <c r="E131" s="6"/>
      <c r="F131" s="12"/>
    </row>
    <row r="132" customFormat="false" ht="15" hidden="false" customHeight="true" outlineLevel="0" collapsed="false">
      <c r="A132" s="6" t="s">
        <v>306</v>
      </c>
      <c r="B132" s="6" t="s">
        <v>307</v>
      </c>
      <c r="C132" s="11" t="str">
        <f aca="false">IFERROR(INDEX('Cư dân'!$C$2:$C$2000,MATCH(1,INDEX(('Cư dân'!$B$2:$B$2000=A132)*('Cư dân'!$I$2:$I$2000="Chủ hộ"),0),0)),"")</f>
        <v>Lê Thị Khánh Hòa</v>
      </c>
      <c r="D132" s="11" t="n">
        <f aca="false">COUNTIFS('Cư dân'!$B$2:$B$2000,A132,'Cư dân'!$O$2:$O$2000,"Đang ở")</f>
        <v>5</v>
      </c>
      <c r="E132" s="6"/>
      <c r="F132" s="12"/>
    </row>
    <row r="133" customFormat="false" ht="15" hidden="false" customHeight="true" outlineLevel="0" collapsed="false">
      <c r="A133" s="6" t="s">
        <v>308</v>
      </c>
      <c r="B133" s="6" t="s">
        <v>309</v>
      </c>
      <c r="C133" s="11" t="str">
        <f aca="false">IFERROR(INDEX('Cư dân'!$C$2:$C$2000,MATCH(1,INDEX(('Cư dân'!$B$2:$B$2000=A133)*('Cư dân'!$I$2:$I$2000="Chủ hộ"),0),0)),"")</f>
        <v>Nguyễn Thị Hậu</v>
      </c>
      <c r="D133" s="11" t="n">
        <f aca="false">COUNTIFS('Cư dân'!$B$2:$B$2000,A133,'Cư dân'!$O$2:$O$2000,"Đang ở")</f>
        <v>1</v>
      </c>
      <c r="E133" s="6"/>
      <c r="F133" s="12"/>
    </row>
    <row r="134" customFormat="false" ht="15" hidden="false" customHeight="true" outlineLevel="0" collapsed="false">
      <c r="A134" s="6" t="s">
        <v>310</v>
      </c>
      <c r="B134" s="6" t="s">
        <v>311</v>
      </c>
      <c r="C134" s="11" t="str">
        <f aca="false">IFERROR(INDEX('Cư dân'!$C$2:$C$2000,MATCH(1,INDEX(('Cư dân'!$B$2:$B$2000=A134)*('Cư dân'!$I$2:$I$2000="Chủ hộ"),0),0)),"")</f>
        <v>Lương Như Quỳnh</v>
      </c>
      <c r="D134" s="11" t="n">
        <f aca="false">COUNTIFS('Cư dân'!$B$2:$B$2000,A134,'Cư dân'!$O$2:$O$2000,"Đang ở")</f>
        <v>1</v>
      </c>
      <c r="E134" s="6"/>
      <c r="F134" s="12"/>
    </row>
    <row r="135" customFormat="false" ht="15" hidden="false" customHeight="true" outlineLevel="0" collapsed="false">
      <c r="A135" s="6" t="s">
        <v>312</v>
      </c>
      <c r="B135" s="6" t="s">
        <v>313</v>
      </c>
      <c r="C135" s="11" t="str">
        <f aca="false">IFERROR(INDEX('Cư dân'!$C$2:$C$2000,MATCH(1,INDEX(('Cư dân'!$B$2:$B$2000=A135)*('Cư dân'!$I$2:$I$2000="Chủ hộ"),0),0)),"")</f>
        <v>Nguyễn Thị Thu Dung</v>
      </c>
      <c r="D135" s="11" t="n">
        <f aca="false">COUNTIFS('Cư dân'!$B$2:$B$2000,A135,'Cư dân'!$O$2:$O$2000,"Đang ở")</f>
        <v>11</v>
      </c>
      <c r="E135" s="6"/>
      <c r="F135" s="12"/>
    </row>
    <row r="136" customFormat="false" ht="15" hidden="false" customHeight="true" outlineLevel="0" collapsed="false">
      <c r="A136" s="6" t="s">
        <v>314</v>
      </c>
      <c r="B136" s="6" t="s">
        <v>315</v>
      </c>
      <c r="C136" s="11" t="str">
        <f aca="false">IFERROR(INDEX('Cư dân'!$C$2:$C$2000,MATCH(1,INDEX(('Cư dân'!$B$2:$B$2000=A136)*('Cư dân'!$I$2:$I$2000="Chủ hộ"),0),0)),"")</f>
        <v>Phạm Ngọc Thức</v>
      </c>
      <c r="D136" s="11" t="n">
        <f aca="false">COUNTIFS('Cư dân'!$B$2:$B$2000,A136,'Cư dân'!$O$2:$O$2000,"Đang ở")</f>
        <v>3</v>
      </c>
      <c r="E136" s="6"/>
      <c r="F136" s="12"/>
    </row>
    <row r="137" customFormat="false" ht="15" hidden="false" customHeight="true" outlineLevel="0" collapsed="false">
      <c r="A137" s="6" t="s">
        <v>316</v>
      </c>
      <c r="B137" s="6" t="s">
        <v>317</v>
      </c>
      <c r="C137" s="11" t="str">
        <f aca="false">IFERROR(INDEX('Cư dân'!$C$2:$C$2000,MATCH(1,INDEX(('Cư dân'!$B$2:$B$2000=A137)*('Cư dân'!$I$2:$I$2000="Chủ hộ"),0),0)),"")</f>
        <v>Phạm Tiến Hải</v>
      </c>
      <c r="D137" s="11" t="n">
        <f aca="false">COUNTIFS('Cư dân'!$B$2:$B$2000,A137,'Cư dân'!$O$2:$O$2000,"Đang ở")</f>
        <v>3</v>
      </c>
      <c r="E137" s="6"/>
      <c r="F137" s="12"/>
    </row>
    <row r="138" customFormat="false" ht="15" hidden="false" customHeight="true" outlineLevel="0" collapsed="false">
      <c r="A138" s="6" t="s">
        <v>318</v>
      </c>
      <c r="B138" s="6" t="s">
        <v>319</v>
      </c>
      <c r="C138" s="11" t="str">
        <f aca="false">IFERROR(INDEX('Cư dân'!$C$2:$C$2000,MATCH(1,INDEX(('Cư dân'!$B$2:$B$2000=A138)*('Cư dân'!$I$2:$I$2000="Chủ hộ"),0),0)),"")</f>
        <v>Nguyễn Trung Hiếu</v>
      </c>
      <c r="D138" s="11" t="n">
        <f aca="false">COUNTIFS('Cư dân'!$B$2:$B$2000,A138,'Cư dân'!$O$2:$O$2000,"Đang ở")</f>
        <v>3</v>
      </c>
      <c r="E138" s="6"/>
      <c r="F138" s="12"/>
    </row>
    <row r="139" customFormat="false" ht="15" hidden="false" customHeight="true" outlineLevel="0" collapsed="false">
      <c r="A139" s="6" t="s">
        <v>320</v>
      </c>
      <c r="B139" s="6" t="s">
        <v>321</v>
      </c>
      <c r="C139" s="11" t="str">
        <f aca="false">IFERROR(INDEX('Cư dân'!$C$2:$C$2000,MATCH(1,INDEX(('Cư dân'!$B$2:$B$2000=A139)*('Cư dân'!$I$2:$I$2000="Chủ hộ"),0),0)),"")</f>
        <v>Bùi Thị Toan</v>
      </c>
      <c r="D139" s="11" t="n">
        <f aca="false">COUNTIFS('Cư dân'!$B$2:$B$2000,A139,'Cư dân'!$O$2:$O$2000,"Đang ở")</f>
        <v>4</v>
      </c>
      <c r="E139" s="6"/>
      <c r="F139" s="12"/>
    </row>
    <row r="140" customFormat="false" ht="15" hidden="false" customHeight="true" outlineLevel="0" collapsed="false">
      <c r="A140" s="6" t="s">
        <v>322</v>
      </c>
      <c r="B140" s="6" t="s">
        <v>323</v>
      </c>
      <c r="C140" s="11" t="str">
        <f aca="false">IFERROR(INDEX('Cư dân'!$C$2:$C$2000,MATCH(1,INDEX(('Cư dân'!$B$2:$B$2000=A140)*('Cư dân'!$I$2:$I$2000="Chủ hộ"),0),0)),"")</f>
        <v>Vũ Thị Ngọc Hà</v>
      </c>
      <c r="D140" s="11" t="n">
        <f aca="false">COUNTIFS('Cư dân'!$B$2:$B$2000,A140,'Cư dân'!$O$2:$O$2000,"Đang ở")</f>
        <v>5</v>
      </c>
      <c r="E140" s="6"/>
      <c r="F140" s="12"/>
    </row>
    <row r="141" customFormat="false" ht="15" hidden="false" customHeight="true" outlineLevel="0" collapsed="false">
      <c r="A141" s="6" t="s">
        <v>324</v>
      </c>
      <c r="B141" s="6" t="s">
        <v>325</v>
      </c>
      <c r="C141" s="11" t="str">
        <f aca="false">IFERROR(INDEX('Cư dân'!$C$2:$C$2000,MATCH(1,INDEX(('Cư dân'!$B$2:$B$2000=A141)*('Cư dân'!$I$2:$I$2000="Chủ hộ"),0),0)),"")</f>
        <v>Nguyễn Minh Chiến</v>
      </c>
      <c r="D141" s="11" t="n">
        <f aca="false">COUNTIFS('Cư dân'!$B$2:$B$2000,A141,'Cư dân'!$O$2:$O$2000,"Đang ở")</f>
        <v>4</v>
      </c>
      <c r="E141" s="6"/>
      <c r="F141" s="12"/>
    </row>
    <row r="142" customFormat="false" ht="15" hidden="false" customHeight="true" outlineLevel="0" collapsed="false">
      <c r="A142" s="6" t="s">
        <v>326</v>
      </c>
      <c r="B142" s="6" t="s">
        <v>327</v>
      </c>
      <c r="C142" s="11" t="str">
        <f aca="false">IFERROR(INDEX('Cư dân'!$C$2:$C$2000,MATCH(1,INDEX(('Cư dân'!$B$2:$B$2000=A142)*('Cư dân'!$I$2:$I$2000="Chủ hộ"),0),0)),"")</f>
        <v>Hà Minh Tú</v>
      </c>
      <c r="D142" s="11" t="n">
        <f aca="false">COUNTIFS('Cư dân'!$B$2:$B$2000,A142,'Cư dân'!$O$2:$O$2000,"Đang ở")</f>
        <v>3</v>
      </c>
      <c r="E142" s="6"/>
      <c r="F142" s="12"/>
    </row>
    <row r="143" customFormat="false" ht="15" hidden="false" customHeight="true" outlineLevel="0" collapsed="false">
      <c r="A143" s="6" t="s">
        <v>328</v>
      </c>
      <c r="B143" s="6" t="s">
        <v>329</v>
      </c>
      <c r="C143" s="11" t="str">
        <f aca="false">IFERROR(INDEX('Cư dân'!$C$2:$C$2000,MATCH(1,INDEX(('Cư dân'!$B$2:$B$2000=A143)*('Cư dân'!$I$2:$I$2000="Chủ hộ"),0),0)),"")</f>
        <v>Nguyễn Thị Thanh Thủy</v>
      </c>
      <c r="D143" s="11" t="n">
        <f aca="false">COUNTIFS('Cư dân'!$B$2:$B$2000,A143,'Cư dân'!$O$2:$O$2000,"Đang ở")</f>
        <v>4</v>
      </c>
      <c r="E143" s="6"/>
      <c r="F143" s="12"/>
    </row>
    <row r="144" customFormat="false" ht="15" hidden="false" customHeight="true" outlineLevel="0" collapsed="false">
      <c r="A144" s="6" t="s">
        <v>330</v>
      </c>
      <c r="B144" s="6" t="s">
        <v>331</v>
      </c>
      <c r="C144" s="11" t="str">
        <f aca="false">IFERROR(INDEX('Cư dân'!$C$2:$C$2000,MATCH(1,INDEX(('Cư dân'!$B$2:$B$2000=A144)*('Cư dân'!$I$2:$I$2000="Chủ hộ"),0),0)),"")</f>
        <v>Nguyễn Như Tú</v>
      </c>
      <c r="D144" s="11" t="n">
        <f aca="false">COUNTIFS('Cư dân'!$B$2:$B$2000,A144,'Cư dân'!$O$2:$O$2000,"Đang ở")</f>
        <v>6</v>
      </c>
      <c r="E144" s="6"/>
      <c r="F144" s="12"/>
    </row>
    <row r="145" customFormat="false" ht="15" hidden="false" customHeight="true" outlineLevel="0" collapsed="false">
      <c r="A145" s="6" t="s">
        <v>332</v>
      </c>
      <c r="B145" s="6" t="s">
        <v>333</v>
      </c>
      <c r="C145" s="11" t="str">
        <f aca="false">IFERROR(INDEX('Cư dân'!$C$2:$C$2000,MATCH(1,INDEX(('Cư dân'!$B$2:$B$2000=A145)*('Cư dân'!$I$2:$I$2000="Chủ hộ"),0),0)),"")</f>
        <v>Nguyễn Thị Mùi</v>
      </c>
      <c r="D145" s="11" t="n">
        <f aca="false">COUNTIFS('Cư dân'!$B$2:$B$2000,A145,'Cư dân'!$O$2:$O$2000,"Đang ở")</f>
        <v>5</v>
      </c>
      <c r="E145" s="6"/>
      <c r="F145" s="12"/>
    </row>
    <row r="146" customFormat="false" ht="15" hidden="false" customHeight="true" outlineLevel="0" collapsed="false">
      <c r="A146" s="6" t="s">
        <v>334</v>
      </c>
      <c r="B146" s="6" t="s">
        <v>335</v>
      </c>
      <c r="C146" s="11" t="str">
        <f aca="false">IFERROR(INDEX('Cư dân'!$C$2:$C$2000,MATCH(1,INDEX(('Cư dân'!$B$2:$B$2000=A146)*('Cư dân'!$I$2:$I$2000="Chủ hộ"),0),0)),"")</f>
        <v>Nguyễn Ngọc Hiếu</v>
      </c>
      <c r="D146" s="11" t="n">
        <f aca="false">COUNTIFS('Cư dân'!$B$2:$B$2000,A146,'Cư dân'!$O$2:$O$2000,"Đang ở")</f>
        <v>1</v>
      </c>
      <c r="E146" s="6"/>
      <c r="F146" s="12"/>
    </row>
    <row r="147" customFormat="false" ht="15" hidden="false" customHeight="true" outlineLevel="0" collapsed="false">
      <c r="A147" s="6" t="s">
        <v>336</v>
      </c>
      <c r="B147" s="6" t="s">
        <v>337</v>
      </c>
      <c r="C147" s="11" t="str">
        <f aca="false">IFERROR(INDEX('Cư dân'!$C$2:$C$2000,MATCH(1,INDEX(('Cư dân'!$B$2:$B$2000=A147)*('Cư dân'!$I$2:$I$2000="Chủ hộ"),0),0)),"")</f>
        <v>Lê Quang Hưng</v>
      </c>
      <c r="D147" s="11" t="n">
        <f aca="false">COUNTIFS('Cư dân'!$B$2:$B$2000,A147,'Cư dân'!$O$2:$O$2000,"Đang ở")</f>
        <v>4</v>
      </c>
      <c r="E147" s="6"/>
      <c r="F147" s="12"/>
    </row>
    <row r="148" customFormat="false" ht="15" hidden="false" customHeight="true" outlineLevel="0" collapsed="false">
      <c r="A148" s="6" t="s">
        <v>338</v>
      </c>
      <c r="B148" s="6" t="s">
        <v>339</v>
      </c>
      <c r="C148" s="11" t="str">
        <f aca="false">IFERROR(INDEX('Cư dân'!$C$2:$C$2000,MATCH(1,INDEX(('Cư dân'!$B$2:$B$2000=A148)*('Cư dân'!$I$2:$I$2000="Chủ hộ"),0),0)),"")</f>
        <v>Phạm Thị Hồng Thúy</v>
      </c>
      <c r="D148" s="11" t="n">
        <f aca="false">COUNTIFS('Cư dân'!$B$2:$B$2000,A148,'Cư dân'!$O$2:$O$2000,"Đang ở")</f>
        <v>2</v>
      </c>
      <c r="E148" s="6"/>
      <c r="F148" s="12"/>
    </row>
    <row r="149" customFormat="false" ht="15" hidden="false" customHeight="true" outlineLevel="0" collapsed="false">
      <c r="A149" s="6" t="s">
        <v>340</v>
      </c>
      <c r="B149" s="6" t="s">
        <v>341</v>
      </c>
      <c r="C149" s="11" t="str">
        <f aca="false">IFERROR(INDEX('Cư dân'!$C$2:$C$2000,MATCH(1,INDEX(('Cư dân'!$B$2:$B$2000=A149)*('Cư dân'!$I$2:$I$2000="Chủ hộ"),0),0)),"")</f>
        <v>Nguyễn Thị Tụ</v>
      </c>
      <c r="D149" s="11" t="n">
        <f aca="false">COUNTIFS('Cư dân'!$B$2:$B$2000,A149,'Cư dân'!$O$2:$O$2000,"Đang ở")</f>
        <v>1</v>
      </c>
      <c r="E149" s="6"/>
      <c r="F149" s="12"/>
    </row>
    <row r="150" customFormat="false" ht="15" hidden="false" customHeight="true" outlineLevel="0" collapsed="false">
      <c r="A150" s="6" t="s">
        <v>342</v>
      </c>
      <c r="B150" s="6" t="s">
        <v>343</v>
      </c>
      <c r="C150" s="11" t="str">
        <f aca="false">IFERROR(INDEX('Cư dân'!$C$2:$C$2000,MATCH(1,INDEX(('Cư dân'!$B$2:$B$2000=A150)*('Cư dân'!$I$2:$I$2000="Chủ hộ"),0),0)),"")</f>
        <v>Nguyễn Thị Trúc</v>
      </c>
      <c r="D150" s="11" t="n">
        <f aca="false">COUNTIFS('Cư dân'!$B$2:$B$2000,A150,'Cư dân'!$O$2:$O$2000,"Đang ở")</f>
        <v>5</v>
      </c>
      <c r="E150" s="6"/>
      <c r="F150" s="12"/>
    </row>
    <row r="151" customFormat="false" ht="15" hidden="false" customHeight="true" outlineLevel="0" collapsed="false">
      <c r="A151" s="6" t="s">
        <v>344</v>
      </c>
      <c r="B151" s="6" t="s">
        <v>345</v>
      </c>
      <c r="C151" s="11" t="str">
        <f aca="false">IFERROR(INDEX('Cư dân'!$C$2:$C$2000,MATCH(1,INDEX(('Cư dân'!$B$2:$B$2000=A151)*('Cư dân'!$I$2:$I$2000="Chủ hộ"),0),0)),"")</f>
        <v>Tô Hồng Thanh</v>
      </c>
      <c r="D151" s="11" t="n">
        <f aca="false">COUNTIFS('Cư dân'!$B$2:$B$2000,A151,'Cư dân'!$O$2:$O$2000,"Đang ở")</f>
        <v>2</v>
      </c>
      <c r="E151" s="6"/>
      <c r="F151" s="12"/>
    </row>
    <row r="152" customFormat="false" ht="15" hidden="false" customHeight="true" outlineLevel="0" collapsed="false">
      <c r="A152" s="6" t="s">
        <v>346</v>
      </c>
      <c r="B152" s="6" t="s">
        <v>347</v>
      </c>
      <c r="C152" s="11" t="str">
        <f aca="false">IFERROR(INDEX('Cư dân'!$C$2:$C$2000,MATCH(1,INDEX(('Cư dân'!$B$2:$B$2000=A152)*('Cư dân'!$I$2:$I$2000="Chủ hộ"),0),0)),"")</f>
        <v>Phạm Hồng Toàn</v>
      </c>
      <c r="D152" s="11" t="n">
        <f aca="false">COUNTIFS('Cư dân'!$B$2:$B$2000,A152,'Cư dân'!$O$2:$O$2000,"Đang ở")</f>
        <v>1</v>
      </c>
      <c r="E152" s="6"/>
      <c r="F152" s="12"/>
    </row>
    <row r="153" customFormat="false" ht="15" hidden="false" customHeight="true" outlineLevel="0" collapsed="false">
      <c r="A153" s="6" t="s">
        <v>348</v>
      </c>
      <c r="B153" s="6" t="s">
        <v>349</v>
      </c>
      <c r="C153" s="11" t="str">
        <f aca="false">IFERROR(INDEX('Cư dân'!$C$2:$C$2000,MATCH(1,INDEX(('Cư dân'!$B$2:$B$2000=A153)*('Cư dân'!$I$2:$I$2000="Chủ hộ"),0),0)),"")</f>
        <v>Nguyễn Đăng Nhâm</v>
      </c>
      <c r="D153" s="11" t="n">
        <f aca="false">COUNTIFS('Cư dân'!$B$2:$B$2000,A153,'Cư dân'!$O$2:$O$2000,"Đang ở")</f>
        <v>7</v>
      </c>
      <c r="E153" s="6"/>
      <c r="F153" s="12"/>
    </row>
    <row r="154" customFormat="false" ht="15" hidden="false" customHeight="true" outlineLevel="0" collapsed="false">
      <c r="A154" s="6" t="s">
        <v>350</v>
      </c>
      <c r="B154" s="6" t="s">
        <v>351</v>
      </c>
      <c r="C154" s="11" t="str">
        <f aca="false">IFERROR(INDEX('Cư dân'!$C$2:$C$2000,MATCH(1,INDEX(('Cư dân'!$B$2:$B$2000=A154)*('Cư dân'!$I$2:$I$2000="Chủ hộ"),0),0)),"")</f>
        <v>Đỗ Văn Cường</v>
      </c>
      <c r="D154" s="11" t="n">
        <f aca="false">COUNTIFS('Cư dân'!$B$2:$B$2000,A154,'Cư dân'!$O$2:$O$2000,"Đang ở")</f>
        <v>3</v>
      </c>
      <c r="E154" s="6"/>
      <c r="F154" s="12"/>
    </row>
    <row r="155" customFormat="false" ht="15" hidden="false" customHeight="true" outlineLevel="0" collapsed="false">
      <c r="A155" s="6" t="s">
        <v>352</v>
      </c>
      <c r="B155" s="6" t="s">
        <v>353</v>
      </c>
      <c r="C155" s="11" t="str">
        <f aca="false">IFERROR(INDEX('Cư dân'!$C$2:$C$2000,MATCH(1,INDEX(('Cư dân'!$B$2:$B$2000=A155)*('Cư dân'!$I$2:$I$2000="Chủ hộ"),0),0)),"")</f>
        <v>Nguyễn Quốc Hùng</v>
      </c>
      <c r="D155" s="11" t="n">
        <f aca="false">COUNTIFS('Cư dân'!$B$2:$B$2000,A155,'Cư dân'!$O$2:$O$2000,"Đang ở")</f>
        <v>4</v>
      </c>
      <c r="E155" s="6"/>
      <c r="F155" s="12" t="s">
        <v>354</v>
      </c>
    </row>
    <row r="156" customFormat="false" ht="15" hidden="false" customHeight="true" outlineLevel="0" collapsed="false">
      <c r="A156" s="6" t="s">
        <v>355</v>
      </c>
      <c r="B156" s="6" t="s">
        <v>356</v>
      </c>
      <c r="C156" s="11" t="str">
        <f aca="false">IFERROR(INDEX('Cư dân'!$C$2:$C$2000,MATCH(1,INDEX(('Cư dân'!$B$2:$B$2000=A156)*('Cư dân'!$I$2:$I$2000="Chủ hộ"),0),0)),"")</f>
        <v>Dương Thị Oanh</v>
      </c>
      <c r="D156" s="11" t="n">
        <f aca="false">COUNTIFS('Cư dân'!$B$2:$B$2000,A156,'Cư dân'!$O$2:$O$2000,"Đang ở")</f>
        <v>9</v>
      </c>
      <c r="E156" s="6"/>
      <c r="F156" s="12" t="s">
        <v>354</v>
      </c>
    </row>
    <row r="157" customFormat="false" ht="15" hidden="false" customHeight="true" outlineLevel="0" collapsed="false">
      <c r="A157" s="6" t="s">
        <v>357</v>
      </c>
      <c r="B157" s="6" t="s">
        <v>358</v>
      </c>
      <c r="C157" s="11" t="str">
        <f aca="false">IFERROR(INDEX('Cư dân'!$C$2:$C$2000,MATCH(1,INDEX(('Cư dân'!$B$2:$B$2000=A157)*('Cư dân'!$I$2:$I$2000="Chủ hộ"),0),0)),"")</f>
        <v>Nguyễn Thi Thu Hằng</v>
      </c>
      <c r="D157" s="11" t="n">
        <f aca="false">COUNTIFS('Cư dân'!$B$2:$B$2000,A157,'Cư dân'!$O$2:$O$2000,"Đang ở")</f>
        <v>1</v>
      </c>
      <c r="E157" s="6"/>
      <c r="F157" s="12" t="s">
        <v>354</v>
      </c>
    </row>
    <row r="158" customFormat="false" ht="15" hidden="false" customHeight="true" outlineLevel="0" collapsed="false">
      <c r="A158" s="6" t="s">
        <v>359</v>
      </c>
      <c r="B158" s="6" t="s">
        <v>360</v>
      </c>
      <c r="C158" s="11" t="str">
        <f aca="false">IFERROR(INDEX('Cư dân'!$C$2:$C$2000,MATCH(1,INDEX(('Cư dân'!$B$2:$B$2000=A158)*('Cư dân'!$I$2:$I$2000="Chủ hộ"),0),0)),"")</f>
        <v>Nguyễn Khắc Hiếu</v>
      </c>
      <c r="D158" s="11" t="n">
        <f aca="false">COUNTIFS('Cư dân'!$B$2:$B$2000,A158,'Cư dân'!$O$2:$O$2000,"Đang ở")</f>
        <v>1</v>
      </c>
      <c r="E158" s="6"/>
      <c r="F158" s="12" t="s">
        <v>354</v>
      </c>
    </row>
    <row r="159" customFormat="false" ht="15" hidden="false" customHeight="true" outlineLevel="0" collapsed="false">
      <c r="A159" s="6" t="s">
        <v>361</v>
      </c>
      <c r="B159" s="6" t="s">
        <v>362</v>
      </c>
      <c r="C159" s="11" t="str">
        <f aca="false">IFERROR(INDEX('Cư dân'!$C$2:$C$2000,MATCH(1,INDEX(('Cư dân'!$B$2:$B$2000=A159)*('Cư dân'!$I$2:$I$2000="Chủ hộ"),0),0)),"")</f>
        <v>Phạm Thị Thao</v>
      </c>
      <c r="D159" s="11" t="n">
        <f aca="false">COUNTIFS('Cư dân'!$B$2:$B$2000,A159,'Cư dân'!$O$2:$O$2000,"Đang ở")</f>
        <v>0</v>
      </c>
      <c r="E159" s="6"/>
      <c r="F159" s="12" t="s">
        <v>354</v>
      </c>
    </row>
    <row r="160" customFormat="false" ht="15" hidden="false" customHeight="true" outlineLevel="0" collapsed="false">
      <c r="A160" s="6" t="s">
        <v>363</v>
      </c>
      <c r="B160" s="6" t="s">
        <v>364</v>
      </c>
      <c r="C160" s="11" t="str">
        <f aca="false">IFERROR(INDEX('Cư dân'!$C$2:$C$2000,MATCH(1,INDEX(('Cư dân'!$B$2:$B$2000=A160)*('Cư dân'!$I$2:$I$2000="Chủ hộ"),0),0)),"")</f>
        <v>Nguyễn Thu Thủy</v>
      </c>
      <c r="D160" s="11" t="n">
        <f aca="false">COUNTIFS('Cư dân'!$B$2:$B$2000,A160,'Cư dân'!$O$2:$O$2000,"Đang ở")</f>
        <v>2</v>
      </c>
      <c r="E160" s="6"/>
      <c r="F160" s="12" t="s">
        <v>354</v>
      </c>
    </row>
    <row r="161" customFormat="false" ht="15" hidden="false" customHeight="true" outlineLevel="0" collapsed="false">
      <c r="A161" s="6" t="s">
        <v>365</v>
      </c>
      <c r="B161" s="6" t="s">
        <v>366</v>
      </c>
      <c r="C161" s="11" t="str">
        <f aca="false">IFERROR(INDEX('Cư dân'!$C$2:$C$2000,MATCH(1,INDEX(('Cư dân'!$B$2:$B$2000=A161)*('Cư dân'!$I$2:$I$2000="Chủ hộ"),0),0)),"")</f>
        <v/>
      </c>
      <c r="D161" s="11" t="n">
        <f aca="false">COUNTIFS('Cư dân'!$B$2:$B$2000,A161,'Cư dân'!$O$2:$O$2000,"Đang ở")</f>
        <v>8</v>
      </c>
      <c r="E161" s="6"/>
      <c r="F161" s="12" t="s">
        <v>367</v>
      </c>
    </row>
    <row r="162" customFormat="false" ht="15" hidden="false" customHeight="true" outlineLevel="0" collapsed="false">
      <c r="A162" s="6" t="s">
        <v>368</v>
      </c>
      <c r="B162" s="6" t="s">
        <v>369</v>
      </c>
      <c r="C162" s="11" t="str">
        <f aca="false">IFERROR(INDEX('Cư dân'!$C$2:$C$2000,MATCH(1,INDEX(('Cư dân'!$B$2:$B$2000=A162)*('Cư dân'!$I$2:$I$2000="Chủ hộ"),0),0)),"")</f>
        <v/>
      </c>
      <c r="D162" s="11" t="n">
        <f aca="false">COUNTIFS('Cư dân'!$B$2:$B$2000,A162,'Cư dân'!$O$2:$O$2000,"Đang ở")</f>
        <v>2</v>
      </c>
      <c r="E162" s="6"/>
      <c r="F162" s="12"/>
    </row>
    <row r="163" customFormat="false" ht="15" hidden="false" customHeight="true" outlineLevel="0" collapsed="false">
      <c r="A163" s="6"/>
      <c r="B163" s="6"/>
      <c r="C163" s="11"/>
      <c r="D163" s="11"/>
      <c r="E163" s="6"/>
      <c r="F163" s="12"/>
    </row>
    <row r="164" customFormat="false" ht="15" hidden="false" customHeight="true" outlineLevel="0" collapsed="false">
      <c r="A164" s="6"/>
      <c r="B164" s="6"/>
      <c r="C164" s="11"/>
      <c r="D164" s="11"/>
      <c r="E164" s="6"/>
      <c r="F164" s="12"/>
    </row>
    <row r="165" customFormat="false" ht="15" hidden="false" customHeight="true" outlineLevel="0" collapsed="false">
      <c r="A165" s="6"/>
      <c r="B165" s="6"/>
      <c r="C165" s="11"/>
      <c r="D165" s="11"/>
      <c r="E165" s="6"/>
      <c r="F165" s="12"/>
    </row>
    <row r="166" customFormat="false" ht="15" hidden="false" customHeight="true" outlineLevel="0" collapsed="false">
      <c r="A166" s="6"/>
      <c r="B166" s="6"/>
      <c r="C166" s="11"/>
      <c r="D166" s="11"/>
      <c r="E166" s="6"/>
      <c r="F166" s="12"/>
    </row>
    <row r="167" customFormat="false" ht="15" hidden="false" customHeight="true" outlineLevel="0" collapsed="false">
      <c r="A167" s="6"/>
      <c r="B167" s="6"/>
      <c r="C167" s="11"/>
      <c r="D167" s="11"/>
      <c r="E167" s="6"/>
      <c r="F167" s="12"/>
    </row>
    <row r="168" customFormat="false" ht="15" hidden="false" customHeight="true" outlineLevel="0" collapsed="false">
      <c r="A168" s="6"/>
      <c r="B168" s="6"/>
      <c r="C168" s="11"/>
      <c r="D168" s="11"/>
      <c r="E168" s="6"/>
      <c r="F168" s="12"/>
    </row>
    <row r="169" customFormat="false" ht="15" hidden="false" customHeight="true" outlineLevel="0" collapsed="false">
      <c r="A169" s="6"/>
      <c r="B169" s="6"/>
      <c r="C169" s="11"/>
      <c r="D169" s="11"/>
      <c r="E169" s="6"/>
      <c r="F169" s="12"/>
    </row>
    <row r="170" customFormat="false" ht="15" hidden="false" customHeight="true" outlineLevel="0" collapsed="false">
      <c r="A170" s="6"/>
      <c r="B170" s="6"/>
      <c r="C170" s="11"/>
      <c r="D170" s="11"/>
      <c r="E170" s="6"/>
      <c r="F170" s="12"/>
    </row>
    <row r="171" customFormat="false" ht="15" hidden="false" customHeight="true" outlineLevel="0" collapsed="false">
      <c r="A171" s="6"/>
      <c r="B171" s="6"/>
      <c r="C171" s="11"/>
      <c r="D171" s="11"/>
      <c r="E171" s="6"/>
      <c r="F171" s="12"/>
    </row>
    <row r="172" customFormat="false" ht="15" hidden="false" customHeight="true" outlineLevel="0" collapsed="false">
      <c r="A172" s="6"/>
      <c r="B172" s="6"/>
      <c r="C172" s="11"/>
      <c r="D172" s="11"/>
      <c r="E172" s="6"/>
      <c r="F172" s="12"/>
    </row>
    <row r="173" customFormat="false" ht="15" hidden="false" customHeight="true" outlineLevel="0" collapsed="false">
      <c r="A173" s="6"/>
      <c r="B173" s="6"/>
      <c r="C173" s="11"/>
      <c r="D173" s="11"/>
      <c r="E173" s="6"/>
      <c r="F173" s="12"/>
    </row>
    <row r="174" customFormat="false" ht="15" hidden="false" customHeight="true" outlineLevel="0" collapsed="false">
      <c r="A174" s="6"/>
      <c r="B174" s="6"/>
      <c r="C174" s="11"/>
      <c r="D174" s="11"/>
      <c r="E174" s="6"/>
      <c r="F174" s="12"/>
    </row>
    <row r="175" customFormat="false" ht="15" hidden="false" customHeight="true" outlineLevel="0" collapsed="false">
      <c r="A175" s="6"/>
      <c r="B175" s="6"/>
      <c r="C175" s="11"/>
      <c r="D175" s="11"/>
      <c r="E175" s="6"/>
      <c r="F175" s="12"/>
    </row>
    <row r="176" customFormat="false" ht="15" hidden="false" customHeight="true" outlineLevel="0" collapsed="false">
      <c r="A176" s="6"/>
      <c r="B176" s="6"/>
      <c r="C176" s="11"/>
      <c r="D176" s="11"/>
      <c r="E176" s="6"/>
      <c r="F176" s="12"/>
    </row>
    <row r="177" customFormat="false" ht="15" hidden="false" customHeight="true" outlineLevel="0" collapsed="false">
      <c r="A177" s="6"/>
      <c r="B177" s="6"/>
      <c r="C177" s="11"/>
      <c r="D177" s="11"/>
      <c r="E177" s="6"/>
      <c r="F177" s="12"/>
    </row>
    <row r="178" customFormat="false" ht="15" hidden="false" customHeight="true" outlineLevel="0" collapsed="false">
      <c r="A178" s="6"/>
      <c r="B178" s="6"/>
      <c r="C178" s="11"/>
      <c r="D178" s="11"/>
      <c r="E178" s="6"/>
      <c r="F178" s="12"/>
    </row>
    <row r="179" customFormat="false" ht="15" hidden="false" customHeight="true" outlineLevel="0" collapsed="false">
      <c r="A179" s="6"/>
      <c r="B179" s="6"/>
      <c r="C179" s="11"/>
      <c r="D179" s="11"/>
      <c r="E179" s="6"/>
      <c r="F179" s="12"/>
    </row>
    <row r="180" customFormat="false" ht="15" hidden="false" customHeight="true" outlineLevel="0" collapsed="false">
      <c r="A180" s="6"/>
      <c r="B180" s="6"/>
      <c r="C180" s="11"/>
      <c r="D180" s="11"/>
      <c r="E180" s="6"/>
      <c r="F180" s="12"/>
    </row>
    <row r="181" customFormat="false" ht="15" hidden="false" customHeight="true" outlineLevel="0" collapsed="false">
      <c r="A181" s="6"/>
      <c r="B181" s="6"/>
      <c r="C181" s="11"/>
      <c r="D181" s="11"/>
      <c r="E181" s="6"/>
      <c r="F181" s="12"/>
    </row>
    <row r="182" customFormat="false" ht="15" hidden="false" customHeight="true" outlineLevel="0" collapsed="false">
      <c r="A182" s="6"/>
      <c r="B182" s="6"/>
      <c r="C182" s="11"/>
      <c r="D182" s="11"/>
      <c r="E182" s="6"/>
      <c r="F182" s="12"/>
    </row>
    <row r="183" customFormat="false" ht="15" hidden="false" customHeight="true" outlineLevel="0" collapsed="false">
      <c r="A183" s="6"/>
      <c r="B183" s="6"/>
      <c r="C183" s="11"/>
      <c r="D183" s="11"/>
      <c r="E183" s="6"/>
      <c r="F183" s="12"/>
    </row>
    <row r="184" customFormat="false" ht="15" hidden="false" customHeight="true" outlineLevel="0" collapsed="false">
      <c r="A184" s="6"/>
      <c r="B184" s="6"/>
      <c r="C184" s="11"/>
      <c r="D184" s="11"/>
      <c r="E184" s="6"/>
      <c r="F184" s="12"/>
    </row>
    <row r="185" customFormat="false" ht="15" hidden="false" customHeight="true" outlineLevel="0" collapsed="false">
      <c r="A185" s="6"/>
      <c r="B185" s="6"/>
      <c r="C185" s="11"/>
      <c r="D185" s="11"/>
      <c r="E185" s="6"/>
      <c r="F185" s="12"/>
    </row>
    <row r="186" customFormat="false" ht="15" hidden="false" customHeight="true" outlineLevel="0" collapsed="false">
      <c r="A186" s="6"/>
      <c r="B186" s="6"/>
      <c r="C186" s="11"/>
      <c r="D186" s="11"/>
      <c r="E186" s="6"/>
      <c r="F186" s="12"/>
    </row>
    <row r="187" customFormat="false" ht="15" hidden="false" customHeight="true" outlineLevel="0" collapsed="false">
      <c r="A187" s="6"/>
      <c r="B187" s="6"/>
      <c r="C187" s="11"/>
      <c r="D187" s="11"/>
      <c r="E187" s="6"/>
      <c r="F187" s="12"/>
    </row>
    <row r="188" customFormat="false" ht="15" hidden="false" customHeight="true" outlineLevel="0" collapsed="false">
      <c r="A188" s="6"/>
      <c r="B188" s="6"/>
      <c r="C188" s="11"/>
      <c r="D188" s="11"/>
      <c r="E188" s="6"/>
      <c r="F188" s="12"/>
    </row>
    <row r="189" customFormat="false" ht="15" hidden="false" customHeight="true" outlineLevel="0" collapsed="false">
      <c r="A189" s="6"/>
      <c r="B189" s="6"/>
      <c r="C189" s="11"/>
      <c r="D189" s="11"/>
      <c r="E189" s="6"/>
      <c r="F189" s="12"/>
    </row>
    <row r="190" customFormat="false" ht="15" hidden="false" customHeight="true" outlineLevel="0" collapsed="false">
      <c r="A190" s="6"/>
      <c r="B190" s="6"/>
      <c r="C190" s="11"/>
      <c r="D190" s="11"/>
      <c r="E190" s="6"/>
      <c r="F190" s="12"/>
    </row>
    <row r="191" customFormat="false" ht="15" hidden="false" customHeight="true" outlineLevel="0" collapsed="false">
      <c r="A191" s="6"/>
      <c r="B191" s="6"/>
      <c r="C191" s="11"/>
      <c r="D191" s="11"/>
      <c r="E191" s="6"/>
      <c r="F191" s="12"/>
    </row>
    <row r="192" customFormat="false" ht="15" hidden="false" customHeight="true" outlineLevel="0" collapsed="false">
      <c r="A192" s="6"/>
      <c r="B192" s="6"/>
      <c r="C192" s="11"/>
      <c r="D192" s="11"/>
      <c r="E192" s="6"/>
      <c r="F192" s="12"/>
    </row>
    <row r="193" customFormat="false" ht="15" hidden="false" customHeight="true" outlineLevel="0" collapsed="false">
      <c r="A193" s="6"/>
      <c r="B193" s="6"/>
      <c r="C193" s="11"/>
      <c r="D193" s="11"/>
      <c r="E193" s="6"/>
      <c r="F193" s="12"/>
    </row>
    <row r="194" customFormat="false" ht="15" hidden="false" customHeight="true" outlineLevel="0" collapsed="false">
      <c r="A194" s="6"/>
      <c r="B194" s="6"/>
      <c r="C194" s="11"/>
      <c r="D194" s="11"/>
      <c r="E194" s="6"/>
      <c r="F194" s="12"/>
    </row>
    <row r="195" customFormat="false" ht="15" hidden="false" customHeight="true" outlineLevel="0" collapsed="false">
      <c r="A195" s="6"/>
      <c r="B195" s="6"/>
      <c r="C195" s="11"/>
      <c r="D195" s="11"/>
      <c r="E195" s="6"/>
      <c r="F195" s="12"/>
    </row>
    <row r="196" customFormat="false" ht="15" hidden="false" customHeight="true" outlineLevel="0" collapsed="false">
      <c r="A196" s="6"/>
      <c r="B196" s="6"/>
      <c r="C196" s="11"/>
      <c r="D196" s="11"/>
      <c r="E196" s="6"/>
      <c r="F196" s="12"/>
    </row>
    <row r="197" customFormat="false" ht="15" hidden="false" customHeight="true" outlineLevel="0" collapsed="false">
      <c r="A197" s="6"/>
      <c r="B197" s="6"/>
      <c r="C197" s="11"/>
      <c r="D197" s="11"/>
      <c r="E197" s="6"/>
      <c r="F197" s="12"/>
    </row>
    <row r="198" customFormat="false" ht="15" hidden="false" customHeight="true" outlineLevel="0" collapsed="false">
      <c r="A198" s="6"/>
      <c r="B198" s="6"/>
      <c r="C198" s="11"/>
      <c r="D198" s="11"/>
      <c r="E198" s="6"/>
      <c r="F198" s="12"/>
    </row>
    <row r="199" customFormat="false" ht="15" hidden="false" customHeight="true" outlineLevel="0" collapsed="false">
      <c r="A199" s="6"/>
      <c r="B199" s="6"/>
      <c r="C199" s="11"/>
      <c r="D199" s="11"/>
      <c r="E199" s="6"/>
      <c r="F199" s="12"/>
    </row>
    <row r="200" customFormat="false" ht="15" hidden="false" customHeight="true" outlineLevel="0" collapsed="false">
      <c r="A200" s="6"/>
      <c r="B200" s="6"/>
      <c r="C200" s="11"/>
      <c r="D200" s="11"/>
      <c r="E200" s="6"/>
      <c r="F200" s="12"/>
    </row>
    <row r="201" customFormat="false" ht="15" hidden="false" customHeight="true" outlineLevel="0" collapsed="false">
      <c r="A201" s="6"/>
      <c r="B201" s="6"/>
      <c r="C201" s="11"/>
      <c r="D201" s="11"/>
      <c r="E201" s="6"/>
      <c r="F201" s="12"/>
    </row>
    <row r="202" customFormat="false" ht="15" hidden="false" customHeight="true" outlineLevel="0" collapsed="false">
      <c r="A202" s="6"/>
      <c r="B202" s="6"/>
      <c r="C202" s="11"/>
      <c r="D202" s="11"/>
      <c r="E202" s="6"/>
      <c r="F202" s="12"/>
    </row>
    <row r="203" customFormat="false" ht="15" hidden="false" customHeight="true" outlineLevel="0" collapsed="false">
      <c r="A203" s="6"/>
      <c r="B203" s="6"/>
      <c r="C203" s="11"/>
      <c r="D203" s="11"/>
      <c r="E203" s="6"/>
      <c r="F203" s="12"/>
    </row>
    <row r="204" customFormat="false" ht="15" hidden="false" customHeight="true" outlineLevel="0" collapsed="false">
      <c r="A204" s="6"/>
      <c r="B204" s="6"/>
      <c r="C204" s="11"/>
      <c r="D204" s="11"/>
      <c r="E204" s="6"/>
      <c r="F204" s="12"/>
    </row>
    <row r="205" customFormat="false" ht="15" hidden="false" customHeight="true" outlineLevel="0" collapsed="false">
      <c r="A205" s="6"/>
      <c r="B205" s="6"/>
      <c r="C205" s="11"/>
      <c r="D205" s="11"/>
      <c r="E205" s="6"/>
      <c r="F205" s="12"/>
    </row>
    <row r="206" customFormat="false" ht="15" hidden="false" customHeight="true" outlineLevel="0" collapsed="false">
      <c r="A206" s="6"/>
      <c r="B206" s="6"/>
      <c r="C206" s="11"/>
      <c r="D206" s="11"/>
      <c r="E206" s="6"/>
      <c r="F206" s="12"/>
    </row>
    <row r="207" customFormat="false" ht="15" hidden="false" customHeight="true" outlineLevel="0" collapsed="false">
      <c r="A207" s="6"/>
      <c r="B207" s="6"/>
      <c r="C207" s="11"/>
      <c r="D207" s="11"/>
      <c r="E207" s="6"/>
      <c r="F207" s="12"/>
    </row>
    <row r="208" customFormat="false" ht="15" hidden="false" customHeight="true" outlineLevel="0" collapsed="false">
      <c r="A208" s="6"/>
      <c r="B208" s="6"/>
      <c r="C208" s="11"/>
      <c r="D208" s="11"/>
      <c r="E208" s="6"/>
      <c r="F208" s="12"/>
    </row>
    <row r="209" customFormat="false" ht="15" hidden="false" customHeight="true" outlineLevel="0" collapsed="false">
      <c r="A209" s="6"/>
      <c r="B209" s="6"/>
      <c r="C209" s="11"/>
      <c r="D209" s="11"/>
      <c r="E209" s="6"/>
      <c r="F209" s="12"/>
    </row>
    <row r="210" customFormat="false" ht="15" hidden="false" customHeight="true" outlineLevel="0" collapsed="false">
      <c r="A210" s="6"/>
      <c r="B210" s="6"/>
      <c r="C210" s="11"/>
      <c r="D210" s="11"/>
      <c r="E210" s="6"/>
      <c r="F210" s="12"/>
    </row>
    <row r="211" customFormat="false" ht="15" hidden="false" customHeight="true" outlineLevel="0" collapsed="false">
      <c r="A211" s="6"/>
      <c r="B211" s="6"/>
      <c r="C211" s="11"/>
      <c r="D211" s="11"/>
      <c r="E211" s="6"/>
      <c r="F211" s="12"/>
    </row>
    <row r="212" customFormat="false" ht="15" hidden="false" customHeight="true" outlineLevel="0" collapsed="false">
      <c r="A212" s="6"/>
      <c r="B212" s="6"/>
      <c r="C212" s="11"/>
      <c r="D212" s="11"/>
      <c r="E212" s="6"/>
      <c r="F212" s="12"/>
    </row>
    <row r="213" customFormat="false" ht="15" hidden="false" customHeight="true" outlineLevel="0" collapsed="false">
      <c r="A213" s="6"/>
      <c r="B213" s="6"/>
      <c r="C213" s="11"/>
      <c r="D213" s="11"/>
      <c r="E213" s="6"/>
      <c r="F213" s="12"/>
    </row>
    <row r="214" customFormat="false" ht="15" hidden="false" customHeight="true" outlineLevel="0" collapsed="false">
      <c r="A214" s="6"/>
      <c r="B214" s="6"/>
      <c r="C214" s="11"/>
      <c r="D214" s="11"/>
      <c r="E214" s="6"/>
      <c r="F214" s="12"/>
    </row>
    <row r="215" customFormat="false" ht="15" hidden="false" customHeight="true" outlineLevel="0" collapsed="false">
      <c r="A215" s="6"/>
      <c r="B215" s="6"/>
      <c r="C215" s="11"/>
      <c r="D215" s="11"/>
      <c r="E215" s="6"/>
      <c r="F215" s="12"/>
    </row>
    <row r="216" customFormat="false" ht="15" hidden="false" customHeight="true" outlineLevel="0" collapsed="false">
      <c r="A216" s="6"/>
      <c r="B216" s="6"/>
      <c r="C216" s="11"/>
      <c r="D216" s="11"/>
      <c r="E216" s="6"/>
      <c r="F216" s="12"/>
    </row>
    <row r="217" customFormat="false" ht="15" hidden="false" customHeight="true" outlineLevel="0" collapsed="false">
      <c r="A217" s="6"/>
      <c r="B217" s="6"/>
      <c r="C217" s="11"/>
      <c r="D217" s="11"/>
      <c r="E217" s="6"/>
      <c r="F217" s="12"/>
    </row>
    <row r="218" customFormat="false" ht="15" hidden="false" customHeight="true" outlineLevel="0" collapsed="false">
      <c r="A218" s="6"/>
      <c r="B218" s="6"/>
      <c r="C218" s="11"/>
      <c r="D218" s="11"/>
      <c r="E218" s="6"/>
      <c r="F218" s="12"/>
    </row>
    <row r="219" customFormat="false" ht="15" hidden="false" customHeight="true" outlineLevel="0" collapsed="false">
      <c r="A219" s="6"/>
      <c r="B219" s="6"/>
      <c r="C219" s="11"/>
      <c r="D219" s="11"/>
      <c r="E219" s="6"/>
      <c r="F219" s="12"/>
    </row>
    <row r="220" customFormat="false" ht="15" hidden="false" customHeight="true" outlineLevel="0" collapsed="false">
      <c r="A220" s="6"/>
      <c r="B220" s="6"/>
      <c r="C220" s="11"/>
      <c r="D220" s="11"/>
      <c r="E220" s="6"/>
      <c r="F220" s="12"/>
    </row>
    <row r="221" customFormat="false" ht="15" hidden="false" customHeight="true" outlineLevel="0" collapsed="false">
      <c r="A221" s="6"/>
      <c r="B221" s="6"/>
      <c r="C221" s="11"/>
      <c r="D221" s="11"/>
      <c r="E221" s="6"/>
      <c r="F221" s="12"/>
    </row>
    <row r="222" customFormat="false" ht="15" hidden="false" customHeight="true" outlineLevel="0" collapsed="false">
      <c r="A222" s="6"/>
      <c r="B222" s="6"/>
      <c r="C222" s="11"/>
      <c r="D222" s="11"/>
      <c r="E222" s="6"/>
      <c r="F222" s="12"/>
    </row>
    <row r="223" customFormat="false" ht="15" hidden="false" customHeight="true" outlineLevel="0" collapsed="false">
      <c r="A223" s="6"/>
      <c r="B223" s="6"/>
      <c r="C223" s="11"/>
      <c r="D223" s="11"/>
      <c r="E223" s="6"/>
      <c r="F223" s="12"/>
    </row>
    <row r="224" customFormat="false" ht="15" hidden="false" customHeight="true" outlineLevel="0" collapsed="false">
      <c r="A224" s="6"/>
      <c r="B224" s="6"/>
      <c r="C224" s="11"/>
      <c r="D224" s="11"/>
      <c r="E224" s="6"/>
      <c r="F224" s="12"/>
    </row>
    <row r="225" customFormat="false" ht="15" hidden="false" customHeight="true" outlineLevel="0" collapsed="false">
      <c r="A225" s="6"/>
      <c r="B225" s="6"/>
      <c r="C225" s="11"/>
      <c r="D225" s="11"/>
      <c r="E225" s="6"/>
      <c r="F225" s="12"/>
    </row>
    <row r="226" customFormat="false" ht="15" hidden="false" customHeight="true" outlineLevel="0" collapsed="false">
      <c r="A226" s="6"/>
      <c r="B226" s="6"/>
      <c r="C226" s="11"/>
      <c r="D226" s="11"/>
      <c r="E226" s="6"/>
      <c r="F226" s="12"/>
    </row>
    <row r="227" customFormat="false" ht="15" hidden="false" customHeight="true" outlineLevel="0" collapsed="false">
      <c r="A227" s="6"/>
      <c r="B227" s="6"/>
      <c r="C227" s="11"/>
      <c r="D227" s="11"/>
      <c r="E227" s="6"/>
      <c r="F227" s="12"/>
    </row>
    <row r="228" customFormat="false" ht="15" hidden="false" customHeight="true" outlineLevel="0" collapsed="false">
      <c r="A228" s="6"/>
      <c r="B228" s="6"/>
      <c r="C228" s="11"/>
      <c r="D228" s="11"/>
      <c r="E228" s="6"/>
      <c r="F228" s="12"/>
    </row>
    <row r="229" customFormat="false" ht="15" hidden="false" customHeight="true" outlineLevel="0" collapsed="false">
      <c r="A229" s="6"/>
      <c r="B229" s="6"/>
      <c r="C229" s="11"/>
      <c r="D229" s="11"/>
      <c r="E229" s="6"/>
      <c r="F229" s="12"/>
    </row>
    <row r="230" customFormat="false" ht="15" hidden="false" customHeight="true" outlineLevel="0" collapsed="false">
      <c r="A230" s="6"/>
      <c r="B230" s="6"/>
      <c r="C230" s="11"/>
      <c r="D230" s="11"/>
      <c r="E230" s="6"/>
      <c r="F230" s="12"/>
    </row>
    <row r="231" customFormat="false" ht="15" hidden="false" customHeight="true" outlineLevel="0" collapsed="false">
      <c r="A231" s="6"/>
      <c r="B231" s="6"/>
      <c r="C231" s="11"/>
      <c r="D231" s="11"/>
      <c r="E231" s="6"/>
      <c r="F231" s="12"/>
    </row>
    <row r="232" customFormat="false" ht="15" hidden="false" customHeight="true" outlineLevel="0" collapsed="false">
      <c r="A232" s="6"/>
      <c r="B232" s="6"/>
      <c r="C232" s="11"/>
      <c r="D232" s="11"/>
      <c r="E232" s="6"/>
      <c r="F232" s="12"/>
    </row>
    <row r="233" customFormat="false" ht="15" hidden="false" customHeight="true" outlineLevel="0" collapsed="false">
      <c r="A233" s="6"/>
      <c r="B233" s="6"/>
      <c r="C233" s="11"/>
      <c r="D233" s="11"/>
      <c r="E233" s="6"/>
      <c r="F233" s="12"/>
    </row>
    <row r="234" customFormat="false" ht="15" hidden="false" customHeight="true" outlineLevel="0" collapsed="false">
      <c r="A234" s="6"/>
      <c r="B234" s="6"/>
      <c r="C234" s="11"/>
      <c r="D234" s="11"/>
      <c r="E234" s="6"/>
      <c r="F234" s="12"/>
    </row>
    <row r="235" customFormat="false" ht="15" hidden="false" customHeight="true" outlineLevel="0" collapsed="false">
      <c r="A235" s="6"/>
      <c r="B235" s="6"/>
      <c r="C235" s="11"/>
      <c r="D235" s="11"/>
      <c r="E235" s="6"/>
      <c r="F235" s="12"/>
    </row>
    <row r="236" customFormat="false" ht="15" hidden="false" customHeight="true" outlineLevel="0" collapsed="false">
      <c r="A236" s="6"/>
      <c r="B236" s="6"/>
      <c r="C236" s="11"/>
      <c r="D236" s="11"/>
      <c r="E236" s="6"/>
      <c r="F236" s="12"/>
    </row>
    <row r="237" customFormat="false" ht="15" hidden="false" customHeight="true" outlineLevel="0" collapsed="false">
      <c r="A237" s="6"/>
      <c r="B237" s="6"/>
      <c r="C237" s="11"/>
      <c r="D237" s="11"/>
      <c r="E237" s="6"/>
      <c r="F237" s="12"/>
    </row>
    <row r="238" customFormat="false" ht="15" hidden="false" customHeight="true" outlineLevel="0" collapsed="false">
      <c r="A238" s="6"/>
      <c r="B238" s="6"/>
      <c r="C238" s="11"/>
      <c r="D238" s="11"/>
      <c r="E238" s="6"/>
      <c r="F238" s="12"/>
    </row>
    <row r="239" customFormat="false" ht="15" hidden="false" customHeight="true" outlineLevel="0" collapsed="false">
      <c r="A239" s="6"/>
      <c r="B239" s="6"/>
      <c r="C239" s="11"/>
      <c r="D239" s="11"/>
      <c r="E239" s="6"/>
      <c r="F239" s="12"/>
    </row>
    <row r="240" customFormat="false" ht="15" hidden="false" customHeight="true" outlineLevel="0" collapsed="false">
      <c r="A240" s="6"/>
      <c r="B240" s="6"/>
      <c r="C240" s="11"/>
      <c r="D240" s="11"/>
      <c r="E240" s="6"/>
      <c r="F240" s="12"/>
    </row>
    <row r="241" customFormat="false" ht="15" hidden="false" customHeight="true" outlineLevel="0" collapsed="false">
      <c r="A241" s="6"/>
      <c r="B241" s="6"/>
      <c r="C241" s="11"/>
      <c r="D241" s="11"/>
      <c r="E241" s="6"/>
      <c r="F241" s="12"/>
    </row>
    <row r="242" customFormat="false" ht="15" hidden="false" customHeight="true" outlineLevel="0" collapsed="false">
      <c r="A242" s="6"/>
      <c r="B242" s="6"/>
      <c r="C242" s="11"/>
      <c r="D242" s="11"/>
      <c r="E242" s="6"/>
      <c r="F242" s="12"/>
    </row>
    <row r="243" customFormat="false" ht="15" hidden="false" customHeight="true" outlineLevel="0" collapsed="false">
      <c r="A243" s="6"/>
      <c r="B243" s="6"/>
      <c r="C243" s="11"/>
      <c r="D243" s="11"/>
      <c r="E243" s="6"/>
      <c r="F243" s="12"/>
    </row>
    <row r="244" customFormat="false" ht="15" hidden="false" customHeight="true" outlineLevel="0" collapsed="false">
      <c r="A244" s="6"/>
      <c r="B244" s="6"/>
      <c r="C244" s="11"/>
      <c r="D244" s="11"/>
      <c r="E244" s="6"/>
      <c r="F244" s="12"/>
    </row>
    <row r="245" customFormat="false" ht="15" hidden="false" customHeight="true" outlineLevel="0" collapsed="false">
      <c r="A245" s="6"/>
      <c r="B245" s="6"/>
      <c r="C245" s="11"/>
      <c r="D245" s="11"/>
      <c r="E245" s="6"/>
      <c r="F245" s="12"/>
    </row>
    <row r="246" customFormat="false" ht="15" hidden="false" customHeight="true" outlineLevel="0" collapsed="false">
      <c r="A246" s="6"/>
      <c r="B246" s="6"/>
      <c r="C246" s="11"/>
      <c r="D246" s="11"/>
      <c r="E246" s="6"/>
      <c r="F246" s="12"/>
    </row>
    <row r="247" customFormat="false" ht="15" hidden="false" customHeight="true" outlineLevel="0" collapsed="false">
      <c r="A247" s="6"/>
      <c r="B247" s="6"/>
      <c r="C247" s="11"/>
      <c r="D247" s="11"/>
      <c r="E247" s="6"/>
      <c r="F247" s="12"/>
    </row>
    <row r="248" customFormat="false" ht="15" hidden="false" customHeight="true" outlineLevel="0" collapsed="false">
      <c r="A248" s="6"/>
      <c r="B248" s="6"/>
      <c r="C248" s="11"/>
      <c r="D248" s="11"/>
      <c r="E248" s="6"/>
      <c r="F248" s="12"/>
    </row>
    <row r="249" customFormat="false" ht="15" hidden="false" customHeight="true" outlineLevel="0" collapsed="false">
      <c r="A249" s="6"/>
      <c r="B249" s="6"/>
      <c r="C249" s="11"/>
      <c r="D249" s="11"/>
      <c r="E249" s="6"/>
      <c r="F249" s="12"/>
    </row>
    <row r="250" customFormat="false" ht="15" hidden="false" customHeight="true" outlineLevel="0" collapsed="false">
      <c r="A250" s="6"/>
      <c r="B250" s="6"/>
      <c r="C250" s="11"/>
      <c r="D250" s="11"/>
      <c r="E250" s="6"/>
      <c r="F250" s="12"/>
    </row>
    <row r="251" customFormat="false" ht="15" hidden="false" customHeight="true" outlineLevel="0" collapsed="false">
      <c r="A251" s="6"/>
      <c r="B251" s="6"/>
      <c r="C251" s="11"/>
      <c r="D251" s="11"/>
      <c r="E251" s="6"/>
      <c r="F251" s="12"/>
    </row>
    <row r="252" customFormat="false" ht="15" hidden="false" customHeight="true" outlineLevel="0" collapsed="false">
      <c r="A252" s="6"/>
      <c r="B252" s="6"/>
      <c r="C252" s="11"/>
      <c r="D252" s="11"/>
      <c r="E252" s="6"/>
      <c r="F252" s="12"/>
    </row>
    <row r="253" customFormat="false" ht="15" hidden="false" customHeight="true" outlineLevel="0" collapsed="false">
      <c r="A253" s="6"/>
      <c r="B253" s="6"/>
      <c r="C253" s="11"/>
      <c r="D253" s="11"/>
      <c r="E253" s="6"/>
      <c r="F253" s="12"/>
    </row>
    <row r="254" customFormat="false" ht="15" hidden="false" customHeight="true" outlineLevel="0" collapsed="false">
      <c r="A254" s="6"/>
      <c r="B254" s="6"/>
      <c r="C254" s="11"/>
      <c r="D254" s="11"/>
      <c r="E254" s="6"/>
      <c r="F254" s="12"/>
    </row>
    <row r="255" customFormat="false" ht="15" hidden="false" customHeight="true" outlineLevel="0" collapsed="false">
      <c r="A255" s="6"/>
      <c r="B255" s="6"/>
      <c r="C255" s="11"/>
      <c r="D255" s="11"/>
      <c r="E255" s="6"/>
      <c r="F255" s="12"/>
    </row>
    <row r="256" customFormat="false" ht="15" hidden="false" customHeight="true" outlineLevel="0" collapsed="false">
      <c r="A256" s="6"/>
      <c r="B256" s="6"/>
      <c r="C256" s="11"/>
      <c r="D256" s="11"/>
      <c r="E256" s="6"/>
      <c r="F256" s="12"/>
    </row>
    <row r="257" customFormat="false" ht="15" hidden="false" customHeight="true" outlineLevel="0" collapsed="false">
      <c r="A257" s="6"/>
      <c r="B257" s="6"/>
      <c r="C257" s="11"/>
      <c r="D257" s="11"/>
      <c r="E257" s="6"/>
      <c r="F257" s="12"/>
    </row>
    <row r="258" customFormat="false" ht="15" hidden="false" customHeight="true" outlineLevel="0" collapsed="false">
      <c r="A258" s="6"/>
      <c r="B258" s="6"/>
      <c r="C258" s="11"/>
      <c r="D258" s="11"/>
      <c r="E258" s="6"/>
      <c r="F258" s="12"/>
    </row>
    <row r="259" customFormat="false" ht="15" hidden="false" customHeight="true" outlineLevel="0" collapsed="false">
      <c r="A259" s="6"/>
      <c r="B259" s="6"/>
      <c r="C259" s="11"/>
      <c r="D259" s="11"/>
      <c r="E259" s="6"/>
      <c r="F259" s="12"/>
    </row>
    <row r="260" customFormat="false" ht="15" hidden="false" customHeight="true" outlineLevel="0" collapsed="false">
      <c r="A260" s="6"/>
      <c r="B260" s="6"/>
      <c r="C260" s="11"/>
      <c r="D260" s="11"/>
      <c r="E260" s="6"/>
      <c r="F260" s="12"/>
    </row>
    <row r="261" customFormat="false" ht="15" hidden="false" customHeight="true" outlineLevel="0" collapsed="false">
      <c r="A261" s="6"/>
      <c r="B261" s="6"/>
      <c r="C261" s="11"/>
      <c r="D261" s="11"/>
      <c r="E261" s="6"/>
      <c r="F261" s="12"/>
    </row>
    <row r="262" customFormat="false" ht="15" hidden="false" customHeight="true" outlineLevel="0" collapsed="false">
      <c r="A262" s="6"/>
      <c r="B262" s="6"/>
      <c r="C262" s="11"/>
      <c r="D262" s="11"/>
      <c r="E262" s="6"/>
      <c r="F262" s="12"/>
    </row>
    <row r="263" customFormat="false" ht="15" hidden="false" customHeight="true" outlineLevel="0" collapsed="false">
      <c r="A263" s="6"/>
      <c r="B263" s="6"/>
      <c r="C263" s="11"/>
      <c r="D263" s="11"/>
      <c r="E263" s="6"/>
      <c r="F263" s="12"/>
    </row>
    <row r="264" customFormat="false" ht="15" hidden="false" customHeight="true" outlineLevel="0" collapsed="false">
      <c r="A264" s="6"/>
      <c r="B264" s="6"/>
      <c r="C264" s="11"/>
      <c r="D264" s="11"/>
      <c r="E264" s="6"/>
      <c r="F264" s="12"/>
    </row>
    <row r="265" customFormat="false" ht="15" hidden="false" customHeight="true" outlineLevel="0" collapsed="false">
      <c r="A265" s="6"/>
      <c r="B265" s="6"/>
      <c r="C265" s="11"/>
      <c r="D265" s="11"/>
      <c r="E265" s="6"/>
      <c r="F265" s="12"/>
    </row>
    <row r="266" customFormat="false" ht="15" hidden="false" customHeight="true" outlineLevel="0" collapsed="false">
      <c r="A266" s="6"/>
      <c r="B266" s="6"/>
      <c r="C266" s="11"/>
      <c r="D266" s="11"/>
      <c r="E266" s="6"/>
      <c r="F266" s="12"/>
    </row>
    <row r="267" customFormat="false" ht="15" hidden="false" customHeight="true" outlineLevel="0" collapsed="false">
      <c r="A267" s="6"/>
      <c r="B267" s="6"/>
      <c r="C267" s="11"/>
      <c r="D267" s="11"/>
      <c r="E267" s="6"/>
      <c r="F267" s="12"/>
    </row>
    <row r="268" customFormat="false" ht="15" hidden="false" customHeight="true" outlineLevel="0" collapsed="false">
      <c r="A268" s="6"/>
      <c r="B268" s="6"/>
      <c r="C268" s="11"/>
      <c r="D268" s="11"/>
      <c r="E268" s="6"/>
      <c r="F268" s="12"/>
    </row>
    <row r="269" customFormat="false" ht="15" hidden="false" customHeight="true" outlineLevel="0" collapsed="false">
      <c r="A269" s="6"/>
      <c r="B269" s="6"/>
      <c r="C269" s="11"/>
      <c r="D269" s="11"/>
      <c r="E269" s="6"/>
      <c r="F269" s="12"/>
    </row>
    <row r="270" customFormat="false" ht="15" hidden="false" customHeight="true" outlineLevel="0" collapsed="false">
      <c r="A270" s="6"/>
      <c r="B270" s="6"/>
      <c r="C270" s="11"/>
      <c r="D270" s="11"/>
      <c r="E270" s="6"/>
      <c r="F270" s="12"/>
    </row>
    <row r="271" customFormat="false" ht="15" hidden="false" customHeight="true" outlineLevel="0" collapsed="false">
      <c r="A271" s="6"/>
      <c r="B271" s="6"/>
      <c r="C271" s="11"/>
      <c r="D271" s="11"/>
      <c r="E271" s="6"/>
      <c r="F271" s="12"/>
    </row>
    <row r="272" customFormat="false" ht="15" hidden="false" customHeight="true" outlineLevel="0" collapsed="false">
      <c r="A272" s="6"/>
      <c r="B272" s="6"/>
      <c r="C272" s="11"/>
      <c r="D272" s="11"/>
      <c r="E272" s="6"/>
      <c r="F272" s="12"/>
    </row>
    <row r="273" customFormat="false" ht="15" hidden="false" customHeight="true" outlineLevel="0" collapsed="false">
      <c r="A273" s="6"/>
      <c r="B273" s="6"/>
      <c r="C273" s="11"/>
      <c r="D273" s="11"/>
      <c r="E273" s="6"/>
      <c r="F273" s="12"/>
    </row>
    <row r="274" customFormat="false" ht="15" hidden="false" customHeight="true" outlineLevel="0" collapsed="false">
      <c r="A274" s="6"/>
      <c r="B274" s="6"/>
      <c r="C274" s="11"/>
      <c r="D274" s="11"/>
      <c r="E274" s="6"/>
      <c r="F274" s="12"/>
    </row>
    <row r="275" customFormat="false" ht="15" hidden="false" customHeight="true" outlineLevel="0" collapsed="false">
      <c r="A275" s="6"/>
      <c r="B275" s="6"/>
      <c r="C275" s="11"/>
      <c r="D275" s="11"/>
      <c r="E275" s="6"/>
      <c r="F275" s="12"/>
    </row>
    <row r="276" customFormat="false" ht="15" hidden="false" customHeight="true" outlineLevel="0" collapsed="false">
      <c r="A276" s="6"/>
      <c r="B276" s="6"/>
      <c r="C276" s="11"/>
      <c r="D276" s="11"/>
      <c r="E276" s="6"/>
      <c r="F276" s="12"/>
    </row>
    <row r="277" customFormat="false" ht="15" hidden="false" customHeight="true" outlineLevel="0" collapsed="false">
      <c r="A277" s="6"/>
      <c r="B277" s="6"/>
      <c r="C277" s="11"/>
      <c r="D277" s="11"/>
      <c r="E277" s="6"/>
      <c r="F277" s="12"/>
    </row>
    <row r="278" customFormat="false" ht="15" hidden="false" customHeight="true" outlineLevel="0" collapsed="false">
      <c r="A278" s="6"/>
      <c r="B278" s="6"/>
      <c r="C278" s="11"/>
      <c r="D278" s="11"/>
      <c r="E278" s="6"/>
      <c r="F278" s="12"/>
    </row>
    <row r="279" customFormat="false" ht="15" hidden="false" customHeight="true" outlineLevel="0" collapsed="false">
      <c r="A279" s="6"/>
      <c r="B279" s="6"/>
      <c r="C279" s="11"/>
      <c r="D279" s="11"/>
      <c r="E279" s="6"/>
      <c r="F279" s="12"/>
    </row>
    <row r="280" customFormat="false" ht="15" hidden="false" customHeight="true" outlineLevel="0" collapsed="false">
      <c r="A280" s="6"/>
      <c r="B280" s="6"/>
      <c r="C280" s="11"/>
      <c r="D280" s="11"/>
      <c r="E280" s="6"/>
      <c r="F280" s="12"/>
    </row>
    <row r="281" customFormat="false" ht="15" hidden="false" customHeight="true" outlineLevel="0" collapsed="false">
      <c r="A281" s="6"/>
      <c r="B281" s="6"/>
      <c r="C281" s="11"/>
      <c r="D281" s="11"/>
      <c r="E281" s="6"/>
      <c r="F281" s="12"/>
    </row>
    <row r="282" customFormat="false" ht="15" hidden="false" customHeight="true" outlineLevel="0" collapsed="false">
      <c r="A282" s="6"/>
      <c r="B282" s="6"/>
      <c r="C282" s="11"/>
      <c r="D282" s="11"/>
      <c r="E282" s="6"/>
      <c r="F282" s="12"/>
    </row>
    <row r="283" customFormat="false" ht="15" hidden="false" customHeight="true" outlineLevel="0" collapsed="false">
      <c r="A283" s="6"/>
      <c r="B283" s="6"/>
      <c r="C283" s="11"/>
      <c r="D283" s="11"/>
      <c r="E283" s="6"/>
      <c r="F283" s="12"/>
    </row>
    <row r="284" customFormat="false" ht="15" hidden="false" customHeight="true" outlineLevel="0" collapsed="false">
      <c r="A284" s="6"/>
      <c r="B284" s="6"/>
      <c r="C284" s="11"/>
      <c r="D284" s="11"/>
      <c r="E284" s="6"/>
      <c r="F284" s="12"/>
    </row>
    <row r="285" customFormat="false" ht="15" hidden="false" customHeight="true" outlineLevel="0" collapsed="false">
      <c r="A285" s="6"/>
      <c r="B285" s="6"/>
      <c r="C285" s="11"/>
      <c r="D285" s="11"/>
      <c r="E285" s="6"/>
      <c r="F285" s="12"/>
    </row>
    <row r="286" customFormat="false" ht="15" hidden="false" customHeight="true" outlineLevel="0" collapsed="false">
      <c r="A286" s="6"/>
      <c r="B286" s="6"/>
      <c r="C286" s="11"/>
      <c r="D286" s="11"/>
      <c r="E286" s="6"/>
      <c r="F286" s="12"/>
    </row>
    <row r="287" customFormat="false" ht="15" hidden="false" customHeight="true" outlineLevel="0" collapsed="false">
      <c r="A287" s="6"/>
      <c r="B287" s="6"/>
      <c r="C287" s="11"/>
      <c r="D287" s="11"/>
      <c r="E287" s="6"/>
      <c r="F287" s="12"/>
    </row>
    <row r="288" customFormat="false" ht="15" hidden="false" customHeight="true" outlineLevel="0" collapsed="false">
      <c r="A288" s="6"/>
      <c r="B288" s="6"/>
      <c r="C288" s="11"/>
      <c r="D288" s="11"/>
      <c r="E288" s="6"/>
      <c r="F288" s="12"/>
    </row>
    <row r="289" customFormat="false" ht="15" hidden="false" customHeight="true" outlineLevel="0" collapsed="false">
      <c r="A289" s="6"/>
      <c r="B289" s="6"/>
      <c r="C289" s="11"/>
      <c r="D289" s="11"/>
      <c r="E289" s="6"/>
      <c r="F289" s="12"/>
    </row>
    <row r="290" customFormat="false" ht="15" hidden="false" customHeight="true" outlineLevel="0" collapsed="false">
      <c r="A290" s="6"/>
      <c r="B290" s="6"/>
      <c r="C290" s="11"/>
      <c r="D290" s="11"/>
      <c r="E290" s="6"/>
      <c r="F290" s="12"/>
    </row>
    <row r="291" customFormat="false" ht="15" hidden="false" customHeight="true" outlineLevel="0" collapsed="false">
      <c r="A291" s="6"/>
      <c r="B291" s="6"/>
      <c r="C291" s="11"/>
      <c r="D291" s="11"/>
      <c r="E291" s="6"/>
      <c r="F291" s="12"/>
    </row>
    <row r="292" customFormat="false" ht="15" hidden="false" customHeight="true" outlineLevel="0" collapsed="false">
      <c r="A292" s="6"/>
      <c r="B292" s="6"/>
      <c r="C292" s="11"/>
      <c r="D292" s="11"/>
      <c r="E292" s="6"/>
      <c r="F292" s="12"/>
    </row>
    <row r="293" customFormat="false" ht="15" hidden="false" customHeight="true" outlineLevel="0" collapsed="false">
      <c r="A293" s="6"/>
      <c r="B293" s="6"/>
      <c r="C293" s="11"/>
      <c r="D293" s="11"/>
      <c r="E293" s="6"/>
      <c r="F293" s="12"/>
    </row>
    <row r="294" customFormat="false" ht="15" hidden="false" customHeight="true" outlineLevel="0" collapsed="false">
      <c r="A294" s="6"/>
      <c r="B294" s="6"/>
      <c r="C294" s="11"/>
      <c r="D294" s="11"/>
      <c r="E294" s="6"/>
      <c r="F294" s="12"/>
    </row>
    <row r="295" customFormat="false" ht="15" hidden="false" customHeight="true" outlineLevel="0" collapsed="false">
      <c r="A295" s="6"/>
      <c r="B295" s="6"/>
      <c r="C295" s="11"/>
      <c r="D295" s="11"/>
      <c r="E295" s="6"/>
      <c r="F295" s="12"/>
    </row>
    <row r="296" customFormat="false" ht="15" hidden="false" customHeight="true" outlineLevel="0" collapsed="false">
      <c r="A296" s="6"/>
      <c r="B296" s="6"/>
      <c r="C296" s="11"/>
      <c r="D296" s="11"/>
      <c r="E296" s="6"/>
      <c r="F296" s="12"/>
    </row>
    <row r="297" customFormat="false" ht="15" hidden="false" customHeight="true" outlineLevel="0" collapsed="false">
      <c r="A297" s="6"/>
      <c r="B297" s="6"/>
      <c r="C297" s="11"/>
      <c r="D297" s="11"/>
      <c r="E297" s="6"/>
      <c r="F297" s="12"/>
    </row>
    <row r="298" customFormat="false" ht="15" hidden="false" customHeight="true" outlineLevel="0" collapsed="false">
      <c r="A298" s="6"/>
      <c r="B298" s="6"/>
      <c r="C298" s="11"/>
      <c r="D298" s="11"/>
      <c r="E298" s="6"/>
      <c r="F298" s="12"/>
    </row>
    <row r="299" customFormat="false" ht="15" hidden="false" customHeight="true" outlineLevel="0" collapsed="false">
      <c r="A299" s="6"/>
      <c r="B299" s="6"/>
      <c r="C299" s="11"/>
      <c r="D299" s="11"/>
      <c r="E299" s="6"/>
      <c r="F299" s="12"/>
    </row>
    <row r="300" customFormat="false" ht="15" hidden="false" customHeight="true" outlineLevel="0" collapsed="false">
      <c r="A300" s="6"/>
      <c r="B300" s="6"/>
      <c r="C300" s="11"/>
      <c r="D300" s="11"/>
      <c r="E300" s="6"/>
      <c r="F300" s="12"/>
    </row>
    <row r="301" customFormat="false" ht="15" hidden="false" customHeight="true" outlineLevel="0" collapsed="false">
      <c r="A301" s="6"/>
      <c r="B301" s="6"/>
      <c r="C301" s="11"/>
      <c r="D301" s="11"/>
      <c r="E301" s="6"/>
      <c r="F301" s="12"/>
    </row>
    <row r="302" customFormat="false" ht="15" hidden="false" customHeight="true" outlineLevel="0" collapsed="false">
      <c r="A302" s="6"/>
      <c r="B302" s="6"/>
      <c r="C302" s="11"/>
      <c r="D302" s="11"/>
      <c r="E302" s="6"/>
      <c r="F302" s="12"/>
    </row>
    <row r="303" customFormat="false" ht="15" hidden="false" customHeight="true" outlineLevel="0" collapsed="false">
      <c r="A303" s="6"/>
      <c r="B303" s="6"/>
      <c r="C303" s="11"/>
      <c r="D303" s="11"/>
      <c r="E303" s="6"/>
      <c r="F303" s="12"/>
    </row>
    <row r="304" customFormat="false" ht="15" hidden="false" customHeight="true" outlineLevel="0" collapsed="false">
      <c r="A304" s="6"/>
      <c r="B304" s="6"/>
      <c r="C304" s="11"/>
      <c r="D304" s="11"/>
      <c r="E304" s="6"/>
      <c r="F304" s="12"/>
    </row>
    <row r="305" customFormat="false" ht="15" hidden="false" customHeight="true" outlineLevel="0" collapsed="false">
      <c r="A305" s="6"/>
      <c r="B305" s="6"/>
      <c r="C305" s="11"/>
      <c r="D305" s="11"/>
      <c r="E305" s="6"/>
      <c r="F305" s="12"/>
    </row>
    <row r="306" customFormat="false" ht="15" hidden="false" customHeight="true" outlineLevel="0" collapsed="false">
      <c r="A306" s="6"/>
      <c r="B306" s="6"/>
      <c r="C306" s="11"/>
      <c r="D306" s="11"/>
      <c r="E306" s="6"/>
      <c r="F306" s="12"/>
    </row>
    <row r="307" customFormat="false" ht="15" hidden="false" customHeight="true" outlineLevel="0" collapsed="false">
      <c r="A307" s="6"/>
      <c r="B307" s="6"/>
      <c r="C307" s="11"/>
      <c r="D307" s="11"/>
      <c r="E307" s="6"/>
      <c r="F307" s="12"/>
    </row>
    <row r="308" customFormat="false" ht="15" hidden="false" customHeight="true" outlineLevel="0" collapsed="false">
      <c r="A308" s="6"/>
      <c r="B308" s="6"/>
      <c r="C308" s="11"/>
      <c r="D308" s="11"/>
      <c r="E308" s="6"/>
      <c r="F308" s="12"/>
    </row>
    <row r="309" customFormat="false" ht="15" hidden="false" customHeight="true" outlineLevel="0" collapsed="false">
      <c r="A309" s="6"/>
      <c r="B309" s="6"/>
      <c r="C309" s="11"/>
      <c r="D309" s="11"/>
      <c r="E309" s="6"/>
      <c r="F309" s="12"/>
    </row>
    <row r="310" customFormat="false" ht="15" hidden="false" customHeight="true" outlineLevel="0" collapsed="false">
      <c r="A310" s="6"/>
      <c r="B310" s="6"/>
      <c r="C310" s="11"/>
      <c r="D310" s="11"/>
      <c r="E310" s="6"/>
      <c r="F310" s="12"/>
    </row>
    <row r="311" customFormat="false" ht="15" hidden="false" customHeight="true" outlineLevel="0" collapsed="false">
      <c r="A311" s="6"/>
      <c r="B311" s="6"/>
      <c r="C311" s="11"/>
      <c r="D311" s="11"/>
      <c r="E311" s="6"/>
      <c r="F311" s="12"/>
    </row>
    <row r="312" customFormat="false" ht="15" hidden="false" customHeight="true" outlineLevel="0" collapsed="false">
      <c r="A312" s="6"/>
      <c r="B312" s="6"/>
      <c r="C312" s="11"/>
      <c r="D312" s="11"/>
      <c r="E312" s="6"/>
      <c r="F312" s="12"/>
    </row>
    <row r="313" customFormat="false" ht="15" hidden="false" customHeight="true" outlineLevel="0" collapsed="false">
      <c r="A313" s="6"/>
      <c r="B313" s="6"/>
      <c r="C313" s="11"/>
      <c r="D313" s="11"/>
      <c r="E313" s="6"/>
      <c r="F313" s="12"/>
    </row>
    <row r="314" customFormat="false" ht="15" hidden="false" customHeight="true" outlineLevel="0" collapsed="false">
      <c r="A314" s="6"/>
      <c r="B314" s="6"/>
      <c r="C314" s="11"/>
      <c r="D314" s="11"/>
      <c r="E314" s="6"/>
      <c r="F314" s="12"/>
    </row>
    <row r="315" customFormat="false" ht="15" hidden="false" customHeight="true" outlineLevel="0" collapsed="false">
      <c r="A315" s="6"/>
      <c r="B315" s="6"/>
      <c r="C315" s="11"/>
      <c r="D315" s="11"/>
      <c r="E315" s="6"/>
      <c r="F315" s="12"/>
    </row>
    <row r="316" customFormat="false" ht="15" hidden="false" customHeight="true" outlineLevel="0" collapsed="false">
      <c r="A316" s="6"/>
      <c r="B316" s="6"/>
      <c r="C316" s="11"/>
      <c r="D316" s="11"/>
      <c r="E316" s="6"/>
      <c r="F316" s="12"/>
    </row>
    <row r="317" customFormat="false" ht="15" hidden="false" customHeight="true" outlineLevel="0" collapsed="false">
      <c r="A317" s="6"/>
      <c r="B317" s="6"/>
      <c r="C317" s="11"/>
      <c r="D317" s="11"/>
      <c r="E317" s="6"/>
      <c r="F317" s="12"/>
    </row>
    <row r="318" customFormat="false" ht="15" hidden="false" customHeight="true" outlineLevel="0" collapsed="false">
      <c r="A318" s="6"/>
      <c r="B318" s="6"/>
      <c r="C318" s="11"/>
      <c r="D318" s="11"/>
      <c r="E318" s="6"/>
      <c r="F318" s="12"/>
    </row>
    <row r="319" customFormat="false" ht="15" hidden="false" customHeight="true" outlineLevel="0" collapsed="false">
      <c r="A319" s="6"/>
      <c r="B319" s="6"/>
      <c r="C319" s="11"/>
      <c r="D319" s="11"/>
      <c r="E319" s="6"/>
      <c r="F319" s="12"/>
    </row>
    <row r="320" customFormat="false" ht="15" hidden="false" customHeight="true" outlineLevel="0" collapsed="false">
      <c r="A320" s="6"/>
      <c r="B320" s="6"/>
      <c r="C320" s="11"/>
      <c r="D320" s="11"/>
      <c r="E320" s="6"/>
      <c r="F320" s="12"/>
    </row>
    <row r="321" customFormat="false" ht="15" hidden="false" customHeight="true" outlineLevel="0" collapsed="false">
      <c r="A321" s="6"/>
      <c r="B321" s="6"/>
      <c r="C321" s="11"/>
      <c r="D321" s="11"/>
      <c r="E321" s="6"/>
      <c r="F321" s="12"/>
    </row>
    <row r="322" customFormat="false" ht="15" hidden="false" customHeight="true" outlineLevel="0" collapsed="false">
      <c r="A322" s="6"/>
      <c r="B322" s="6"/>
      <c r="C322" s="11"/>
      <c r="D322" s="11"/>
      <c r="E322" s="6"/>
      <c r="F322" s="12"/>
    </row>
    <row r="323" customFormat="false" ht="15" hidden="false" customHeight="true" outlineLevel="0" collapsed="false">
      <c r="A323" s="6"/>
      <c r="B323" s="6"/>
      <c r="C323" s="11"/>
      <c r="D323" s="11"/>
      <c r="E323" s="6"/>
      <c r="F323" s="12"/>
    </row>
    <row r="324" customFormat="false" ht="15" hidden="false" customHeight="true" outlineLevel="0" collapsed="false">
      <c r="A324" s="6"/>
      <c r="B324" s="6"/>
      <c r="C324" s="11"/>
      <c r="D324" s="11"/>
      <c r="E324" s="6"/>
      <c r="F324" s="12"/>
    </row>
    <row r="325" customFormat="false" ht="15" hidden="false" customHeight="true" outlineLevel="0" collapsed="false">
      <c r="A325" s="6"/>
      <c r="B325" s="6"/>
      <c r="C325" s="11"/>
      <c r="D325" s="11"/>
      <c r="E325" s="6"/>
      <c r="F325" s="12"/>
    </row>
    <row r="326" customFormat="false" ht="15" hidden="false" customHeight="true" outlineLevel="0" collapsed="false">
      <c r="A326" s="6"/>
      <c r="B326" s="6"/>
      <c r="C326" s="11"/>
      <c r="D326" s="11"/>
      <c r="E326" s="6"/>
      <c r="F326" s="12"/>
    </row>
    <row r="327" customFormat="false" ht="15" hidden="false" customHeight="true" outlineLevel="0" collapsed="false">
      <c r="A327" s="6"/>
      <c r="B327" s="6"/>
      <c r="C327" s="11"/>
      <c r="D327" s="11"/>
      <c r="E327" s="6"/>
      <c r="F327" s="12"/>
    </row>
    <row r="328" customFormat="false" ht="15" hidden="false" customHeight="true" outlineLevel="0" collapsed="false">
      <c r="A328" s="6"/>
      <c r="B328" s="6"/>
      <c r="C328" s="11"/>
      <c r="D328" s="11"/>
      <c r="E328" s="6"/>
      <c r="F328" s="12"/>
    </row>
    <row r="329" customFormat="false" ht="15" hidden="false" customHeight="true" outlineLevel="0" collapsed="false">
      <c r="A329" s="6"/>
      <c r="B329" s="6"/>
      <c r="C329" s="11"/>
      <c r="D329" s="11"/>
      <c r="E329" s="6"/>
      <c r="F329" s="12"/>
    </row>
    <row r="330" customFormat="false" ht="15" hidden="false" customHeight="true" outlineLevel="0" collapsed="false">
      <c r="A330" s="6"/>
      <c r="B330" s="6"/>
      <c r="C330" s="11"/>
      <c r="D330" s="11"/>
      <c r="E330" s="6"/>
      <c r="F330" s="12"/>
    </row>
    <row r="331" customFormat="false" ht="15" hidden="false" customHeight="true" outlineLevel="0" collapsed="false">
      <c r="A331" s="6"/>
      <c r="B331" s="6"/>
      <c r="C331" s="11"/>
      <c r="D331" s="11"/>
      <c r="E331" s="6"/>
      <c r="F331" s="12"/>
    </row>
    <row r="332" customFormat="false" ht="15" hidden="false" customHeight="true" outlineLevel="0" collapsed="false">
      <c r="A332" s="6"/>
      <c r="B332" s="6"/>
      <c r="C332" s="11"/>
      <c r="D332" s="11"/>
      <c r="E332" s="6"/>
      <c r="F332" s="12"/>
    </row>
    <row r="333" customFormat="false" ht="15" hidden="false" customHeight="true" outlineLevel="0" collapsed="false">
      <c r="A333" s="6"/>
      <c r="B333" s="6"/>
      <c r="C333" s="11"/>
      <c r="D333" s="11"/>
      <c r="E333" s="6"/>
      <c r="F333" s="12"/>
    </row>
    <row r="334" customFormat="false" ht="15" hidden="false" customHeight="true" outlineLevel="0" collapsed="false">
      <c r="A334" s="6"/>
      <c r="B334" s="6"/>
      <c r="C334" s="11"/>
      <c r="D334" s="11"/>
      <c r="E334" s="6"/>
      <c r="F334" s="12"/>
    </row>
    <row r="335" customFormat="false" ht="15" hidden="false" customHeight="true" outlineLevel="0" collapsed="false">
      <c r="A335" s="6"/>
      <c r="B335" s="6"/>
      <c r="C335" s="11"/>
      <c r="D335" s="11"/>
      <c r="E335" s="6"/>
      <c r="F335" s="12"/>
    </row>
    <row r="336" customFormat="false" ht="15" hidden="false" customHeight="true" outlineLevel="0" collapsed="false">
      <c r="A336" s="6"/>
      <c r="B336" s="6"/>
      <c r="C336" s="11"/>
      <c r="D336" s="11"/>
      <c r="E336" s="6"/>
      <c r="F336" s="12"/>
    </row>
    <row r="337" customFormat="false" ht="15" hidden="false" customHeight="true" outlineLevel="0" collapsed="false">
      <c r="A337" s="6"/>
      <c r="B337" s="6"/>
      <c r="C337" s="11"/>
      <c r="D337" s="11"/>
      <c r="E337" s="6"/>
      <c r="F337" s="12"/>
    </row>
    <row r="338" customFormat="false" ht="15" hidden="false" customHeight="true" outlineLevel="0" collapsed="false">
      <c r="A338" s="6"/>
      <c r="B338" s="6"/>
      <c r="C338" s="11"/>
      <c r="D338" s="11"/>
      <c r="E338" s="6"/>
      <c r="F338" s="12"/>
    </row>
    <row r="339" customFormat="false" ht="15" hidden="false" customHeight="true" outlineLevel="0" collapsed="false">
      <c r="A339" s="6"/>
      <c r="B339" s="6"/>
      <c r="C339" s="11"/>
      <c r="D339" s="11"/>
      <c r="E339" s="6"/>
      <c r="F339" s="12"/>
    </row>
    <row r="340" customFormat="false" ht="15" hidden="false" customHeight="true" outlineLevel="0" collapsed="false">
      <c r="A340" s="6"/>
      <c r="B340" s="6"/>
      <c r="C340" s="11"/>
      <c r="D340" s="11"/>
      <c r="E340" s="6"/>
      <c r="F340" s="12"/>
    </row>
    <row r="341" customFormat="false" ht="15" hidden="false" customHeight="true" outlineLevel="0" collapsed="false">
      <c r="A341" s="6"/>
      <c r="B341" s="6"/>
      <c r="C341" s="11"/>
      <c r="D341" s="11"/>
      <c r="E341" s="6"/>
      <c r="F341" s="12"/>
    </row>
    <row r="342" customFormat="false" ht="15" hidden="false" customHeight="true" outlineLevel="0" collapsed="false">
      <c r="A342" s="6"/>
      <c r="B342" s="6"/>
      <c r="C342" s="11"/>
      <c r="D342" s="11"/>
      <c r="E342" s="6"/>
      <c r="F342" s="12"/>
    </row>
    <row r="343" customFormat="false" ht="15" hidden="false" customHeight="true" outlineLevel="0" collapsed="false">
      <c r="A343" s="6"/>
      <c r="B343" s="6"/>
      <c r="C343" s="11"/>
      <c r="D343" s="11"/>
      <c r="E343" s="6"/>
      <c r="F343" s="12"/>
    </row>
    <row r="344" customFormat="false" ht="15" hidden="false" customHeight="true" outlineLevel="0" collapsed="false">
      <c r="A344" s="6"/>
      <c r="B344" s="6"/>
      <c r="C344" s="11"/>
      <c r="D344" s="11"/>
      <c r="E344" s="6"/>
      <c r="F344" s="12"/>
    </row>
    <row r="345" customFormat="false" ht="15" hidden="false" customHeight="true" outlineLevel="0" collapsed="false">
      <c r="A345" s="6"/>
      <c r="B345" s="6"/>
      <c r="C345" s="11"/>
      <c r="D345" s="11"/>
      <c r="E345" s="6"/>
      <c r="F345" s="12"/>
    </row>
    <row r="346" customFormat="false" ht="15" hidden="false" customHeight="true" outlineLevel="0" collapsed="false">
      <c r="A346" s="6"/>
      <c r="B346" s="6"/>
      <c r="C346" s="11"/>
      <c r="D346" s="11"/>
      <c r="E346" s="6"/>
      <c r="F346" s="12"/>
    </row>
    <row r="347" customFormat="false" ht="15" hidden="false" customHeight="true" outlineLevel="0" collapsed="false">
      <c r="A347" s="6"/>
      <c r="B347" s="6"/>
      <c r="C347" s="11"/>
      <c r="D347" s="11"/>
      <c r="E347" s="6"/>
      <c r="F347" s="12"/>
    </row>
    <row r="348" customFormat="false" ht="15" hidden="false" customHeight="true" outlineLevel="0" collapsed="false">
      <c r="A348" s="6"/>
      <c r="B348" s="6"/>
      <c r="C348" s="11"/>
      <c r="D348" s="11"/>
      <c r="E348" s="6"/>
      <c r="F348" s="12"/>
    </row>
    <row r="349" customFormat="false" ht="15" hidden="false" customHeight="true" outlineLevel="0" collapsed="false">
      <c r="A349" s="6"/>
      <c r="B349" s="6"/>
      <c r="C349" s="11"/>
      <c r="D349" s="11"/>
      <c r="E349" s="6"/>
      <c r="F349" s="12"/>
    </row>
    <row r="350" customFormat="false" ht="15" hidden="false" customHeight="true" outlineLevel="0" collapsed="false">
      <c r="A350" s="6"/>
      <c r="B350" s="6"/>
      <c r="C350" s="11"/>
      <c r="D350" s="11"/>
      <c r="E350" s="6"/>
      <c r="F350" s="12"/>
    </row>
    <row r="351" customFormat="false" ht="15" hidden="false" customHeight="true" outlineLevel="0" collapsed="false">
      <c r="A351" s="6"/>
      <c r="B351" s="6"/>
      <c r="C351" s="11"/>
      <c r="D351" s="11"/>
      <c r="E351" s="6"/>
      <c r="F351" s="12"/>
    </row>
    <row r="352" customFormat="false" ht="15" hidden="false" customHeight="true" outlineLevel="0" collapsed="false">
      <c r="A352" s="6"/>
      <c r="B352" s="6"/>
      <c r="C352" s="11"/>
      <c r="D352" s="11"/>
      <c r="E352" s="6"/>
      <c r="F352" s="12"/>
    </row>
    <row r="353" customFormat="false" ht="15" hidden="false" customHeight="true" outlineLevel="0" collapsed="false">
      <c r="A353" s="6"/>
      <c r="B353" s="6"/>
      <c r="C353" s="11"/>
      <c r="D353" s="11"/>
      <c r="E353" s="6"/>
      <c r="F353" s="12"/>
    </row>
    <row r="354" customFormat="false" ht="15" hidden="false" customHeight="true" outlineLevel="0" collapsed="false">
      <c r="A354" s="6"/>
      <c r="B354" s="6"/>
      <c r="C354" s="11"/>
      <c r="D354" s="11"/>
      <c r="E354" s="6"/>
      <c r="F354" s="12"/>
    </row>
    <row r="355" customFormat="false" ht="15" hidden="false" customHeight="true" outlineLevel="0" collapsed="false">
      <c r="A355" s="6"/>
      <c r="B355" s="6"/>
      <c r="C355" s="11"/>
      <c r="D355" s="11"/>
      <c r="E355" s="6"/>
      <c r="F355" s="12"/>
    </row>
    <row r="356" customFormat="false" ht="15" hidden="false" customHeight="true" outlineLevel="0" collapsed="false">
      <c r="A356" s="6"/>
      <c r="B356" s="6"/>
      <c r="C356" s="11"/>
      <c r="D356" s="11"/>
      <c r="E356" s="6"/>
      <c r="F356" s="12"/>
    </row>
    <row r="357" customFormat="false" ht="15" hidden="false" customHeight="true" outlineLevel="0" collapsed="false">
      <c r="A357" s="6"/>
      <c r="B357" s="6"/>
      <c r="C357" s="11"/>
      <c r="D357" s="11"/>
      <c r="E357" s="6"/>
      <c r="F357" s="12"/>
    </row>
    <row r="358" customFormat="false" ht="15" hidden="false" customHeight="true" outlineLevel="0" collapsed="false">
      <c r="A358" s="6"/>
      <c r="B358" s="6"/>
      <c r="C358" s="11"/>
      <c r="D358" s="11"/>
      <c r="E358" s="6"/>
      <c r="F358" s="12"/>
    </row>
    <row r="359" customFormat="false" ht="15" hidden="false" customHeight="true" outlineLevel="0" collapsed="false">
      <c r="A359" s="6"/>
      <c r="B359" s="6"/>
      <c r="C359" s="11"/>
      <c r="D359" s="11"/>
      <c r="E359" s="6"/>
      <c r="F359" s="12"/>
    </row>
    <row r="360" customFormat="false" ht="15" hidden="false" customHeight="true" outlineLevel="0" collapsed="false">
      <c r="A360" s="6"/>
      <c r="B360" s="6"/>
      <c r="C360" s="11"/>
      <c r="D360" s="11"/>
      <c r="E360" s="6"/>
      <c r="F360" s="12"/>
    </row>
    <row r="361" customFormat="false" ht="15" hidden="false" customHeight="true" outlineLevel="0" collapsed="false">
      <c r="A361" s="6"/>
      <c r="B361" s="6"/>
      <c r="C361" s="11"/>
      <c r="D361" s="11"/>
      <c r="E361" s="6"/>
      <c r="F361" s="12"/>
    </row>
    <row r="362" customFormat="false" ht="15" hidden="false" customHeight="true" outlineLevel="0" collapsed="false">
      <c r="A362" s="6"/>
      <c r="B362" s="6"/>
      <c r="C362" s="11"/>
      <c r="D362" s="11"/>
      <c r="E362" s="6"/>
      <c r="F362" s="12"/>
    </row>
    <row r="363" customFormat="false" ht="15" hidden="false" customHeight="true" outlineLevel="0" collapsed="false">
      <c r="A363" s="6"/>
      <c r="B363" s="6"/>
      <c r="C363" s="11"/>
      <c r="D363" s="11"/>
      <c r="E363" s="6"/>
      <c r="F363" s="12"/>
    </row>
    <row r="364" customFormat="false" ht="15" hidden="false" customHeight="true" outlineLevel="0" collapsed="false">
      <c r="A364" s="6"/>
      <c r="B364" s="6"/>
      <c r="C364" s="11"/>
      <c r="D364" s="11"/>
      <c r="E364" s="6"/>
      <c r="F364" s="12"/>
    </row>
    <row r="365" customFormat="false" ht="15" hidden="false" customHeight="true" outlineLevel="0" collapsed="false">
      <c r="A365" s="6"/>
      <c r="B365" s="6"/>
      <c r="C365" s="11"/>
      <c r="D365" s="11"/>
      <c r="E365" s="6"/>
      <c r="F365" s="12"/>
    </row>
    <row r="366" customFormat="false" ht="15" hidden="false" customHeight="true" outlineLevel="0" collapsed="false">
      <c r="A366" s="6"/>
      <c r="B366" s="6"/>
      <c r="C366" s="11"/>
      <c r="D366" s="11"/>
      <c r="E366" s="6"/>
      <c r="F366" s="12"/>
    </row>
    <row r="367" customFormat="false" ht="15" hidden="false" customHeight="true" outlineLevel="0" collapsed="false">
      <c r="A367" s="6"/>
      <c r="B367" s="6"/>
      <c r="C367" s="11"/>
      <c r="D367" s="11"/>
      <c r="E367" s="6"/>
      <c r="F367" s="12"/>
    </row>
    <row r="368" customFormat="false" ht="15" hidden="false" customHeight="true" outlineLevel="0" collapsed="false">
      <c r="A368" s="6"/>
      <c r="B368" s="6"/>
      <c r="C368" s="11"/>
      <c r="D368" s="11"/>
      <c r="E368" s="6"/>
      <c r="F368" s="12"/>
    </row>
    <row r="369" customFormat="false" ht="15" hidden="false" customHeight="true" outlineLevel="0" collapsed="false">
      <c r="A369" s="6"/>
      <c r="B369" s="6"/>
      <c r="C369" s="11"/>
      <c r="D369" s="11"/>
      <c r="E369" s="6"/>
      <c r="F369" s="12"/>
    </row>
    <row r="370" customFormat="false" ht="15" hidden="false" customHeight="true" outlineLevel="0" collapsed="false">
      <c r="A370" s="6"/>
      <c r="B370" s="6"/>
      <c r="C370" s="11"/>
      <c r="D370" s="11"/>
      <c r="E370" s="6"/>
      <c r="F370" s="12"/>
    </row>
    <row r="371" customFormat="false" ht="15" hidden="false" customHeight="true" outlineLevel="0" collapsed="false">
      <c r="A371" s="6"/>
      <c r="B371" s="6"/>
      <c r="C371" s="11"/>
      <c r="D371" s="11"/>
      <c r="E371" s="6"/>
      <c r="F371" s="12"/>
    </row>
    <row r="372" customFormat="false" ht="15" hidden="false" customHeight="true" outlineLevel="0" collapsed="false">
      <c r="A372" s="6"/>
      <c r="B372" s="6"/>
      <c r="C372" s="11"/>
      <c r="D372" s="11"/>
      <c r="E372" s="6"/>
      <c r="F372" s="12"/>
    </row>
    <row r="373" customFormat="false" ht="15" hidden="false" customHeight="true" outlineLevel="0" collapsed="false">
      <c r="A373" s="6"/>
      <c r="B373" s="6"/>
      <c r="C373" s="11"/>
      <c r="D373" s="11"/>
      <c r="E373" s="6"/>
      <c r="F373" s="12"/>
    </row>
    <row r="374" customFormat="false" ht="15" hidden="false" customHeight="true" outlineLevel="0" collapsed="false">
      <c r="A374" s="6"/>
      <c r="B374" s="6"/>
      <c r="C374" s="11"/>
      <c r="D374" s="11"/>
      <c r="E374" s="6"/>
      <c r="F374" s="12"/>
    </row>
    <row r="375" customFormat="false" ht="15" hidden="false" customHeight="true" outlineLevel="0" collapsed="false">
      <c r="A375" s="6"/>
      <c r="B375" s="6"/>
      <c r="C375" s="11"/>
      <c r="D375" s="11"/>
      <c r="E375" s="6"/>
      <c r="F375" s="12"/>
    </row>
    <row r="376" customFormat="false" ht="15" hidden="false" customHeight="true" outlineLevel="0" collapsed="false">
      <c r="A376" s="6"/>
      <c r="B376" s="6"/>
      <c r="C376" s="11"/>
      <c r="D376" s="11"/>
      <c r="E376" s="6"/>
      <c r="F376" s="12"/>
    </row>
    <row r="377" customFormat="false" ht="15" hidden="false" customHeight="true" outlineLevel="0" collapsed="false">
      <c r="A377" s="6"/>
      <c r="B377" s="6"/>
      <c r="C377" s="11"/>
      <c r="D377" s="11"/>
      <c r="E377" s="6"/>
      <c r="F377" s="12"/>
    </row>
    <row r="378" customFormat="false" ht="15" hidden="false" customHeight="true" outlineLevel="0" collapsed="false">
      <c r="A378" s="6"/>
      <c r="B378" s="6"/>
      <c r="C378" s="11"/>
      <c r="D378" s="11"/>
      <c r="E378" s="6"/>
      <c r="F378" s="12"/>
    </row>
    <row r="379" customFormat="false" ht="15" hidden="false" customHeight="true" outlineLevel="0" collapsed="false">
      <c r="A379" s="6"/>
      <c r="B379" s="6"/>
      <c r="C379" s="11"/>
      <c r="D379" s="11"/>
      <c r="E379" s="6"/>
      <c r="F379" s="12"/>
    </row>
    <row r="380" customFormat="false" ht="15" hidden="false" customHeight="true" outlineLevel="0" collapsed="false">
      <c r="A380" s="6"/>
      <c r="B380" s="6"/>
      <c r="C380" s="11"/>
      <c r="D380" s="11"/>
      <c r="E380" s="6"/>
      <c r="F380" s="12"/>
    </row>
    <row r="381" customFormat="false" ht="15" hidden="false" customHeight="true" outlineLevel="0" collapsed="false">
      <c r="A381" s="6"/>
      <c r="B381" s="6"/>
      <c r="C381" s="11"/>
      <c r="D381" s="11"/>
      <c r="E381" s="6"/>
      <c r="F381" s="12"/>
    </row>
    <row r="382" customFormat="false" ht="15" hidden="false" customHeight="true" outlineLevel="0" collapsed="false">
      <c r="A382" s="6"/>
      <c r="B382" s="6"/>
      <c r="C382" s="11"/>
      <c r="D382" s="11"/>
      <c r="E382" s="6"/>
      <c r="F382" s="12"/>
    </row>
    <row r="383" customFormat="false" ht="15" hidden="false" customHeight="true" outlineLevel="0" collapsed="false">
      <c r="A383" s="6"/>
      <c r="B383" s="6"/>
      <c r="C383" s="11"/>
      <c r="D383" s="11"/>
      <c r="E383" s="6"/>
      <c r="F383" s="12"/>
    </row>
    <row r="384" customFormat="false" ht="15" hidden="false" customHeight="true" outlineLevel="0" collapsed="false">
      <c r="A384" s="6"/>
      <c r="B384" s="6"/>
      <c r="C384" s="11"/>
      <c r="D384" s="11"/>
      <c r="E384" s="6"/>
      <c r="F384" s="12"/>
    </row>
    <row r="385" customFormat="false" ht="15" hidden="false" customHeight="true" outlineLevel="0" collapsed="false">
      <c r="A385" s="6"/>
      <c r="B385" s="6"/>
      <c r="C385" s="11"/>
      <c r="D385" s="11"/>
      <c r="E385" s="6"/>
      <c r="F385" s="12"/>
    </row>
    <row r="386" customFormat="false" ht="15" hidden="false" customHeight="true" outlineLevel="0" collapsed="false">
      <c r="A386" s="6"/>
      <c r="B386" s="6"/>
      <c r="C386" s="11"/>
      <c r="D386" s="11"/>
      <c r="E386" s="6"/>
      <c r="F386" s="12"/>
    </row>
    <row r="387" customFormat="false" ht="15" hidden="false" customHeight="true" outlineLevel="0" collapsed="false">
      <c r="A387" s="6"/>
      <c r="B387" s="6"/>
      <c r="C387" s="11"/>
      <c r="D387" s="11"/>
      <c r="E387" s="6"/>
      <c r="F387" s="12"/>
    </row>
    <row r="388" customFormat="false" ht="15" hidden="false" customHeight="true" outlineLevel="0" collapsed="false">
      <c r="A388" s="6"/>
      <c r="B388" s="6"/>
      <c r="C388" s="11"/>
      <c r="D388" s="11"/>
      <c r="E388" s="6"/>
      <c r="F388" s="12"/>
    </row>
    <row r="389" customFormat="false" ht="15" hidden="false" customHeight="true" outlineLevel="0" collapsed="false">
      <c r="A389" s="6"/>
      <c r="B389" s="6"/>
      <c r="C389" s="11"/>
      <c r="D389" s="11"/>
      <c r="E389" s="6"/>
      <c r="F389" s="12"/>
    </row>
    <row r="390" customFormat="false" ht="15" hidden="false" customHeight="true" outlineLevel="0" collapsed="false">
      <c r="A390" s="6"/>
      <c r="B390" s="6"/>
      <c r="C390" s="11"/>
      <c r="D390" s="11"/>
      <c r="E390" s="6"/>
      <c r="F390" s="12"/>
    </row>
    <row r="391" customFormat="false" ht="15" hidden="false" customHeight="true" outlineLevel="0" collapsed="false">
      <c r="A391" s="6"/>
      <c r="B391" s="6"/>
      <c r="C391" s="11"/>
      <c r="D391" s="11"/>
      <c r="E391" s="6"/>
      <c r="F391" s="12"/>
    </row>
    <row r="392" customFormat="false" ht="15" hidden="false" customHeight="true" outlineLevel="0" collapsed="false">
      <c r="A392" s="6"/>
      <c r="B392" s="6"/>
      <c r="C392" s="11"/>
      <c r="D392" s="11"/>
      <c r="E392" s="6"/>
      <c r="F392" s="12"/>
    </row>
    <row r="393" customFormat="false" ht="15" hidden="false" customHeight="true" outlineLevel="0" collapsed="false">
      <c r="A393" s="6"/>
      <c r="B393" s="6"/>
      <c r="C393" s="11"/>
      <c r="D393" s="11"/>
      <c r="E393" s="6"/>
      <c r="F393" s="12"/>
    </row>
    <row r="394" customFormat="false" ht="15" hidden="false" customHeight="true" outlineLevel="0" collapsed="false">
      <c r="A394" s="6"/>
      <c r="B394" s="6"/>
      <c r="C394" s="11"/>
      <c r="D394" s="11"/>
      <c r="E394" s="6"/>
      <c r="F394" s="12"/>
    </row>
    <row r="395" customFormat="false" ht="15" hidden="false" customHeight="true" outlineLevel="0" collapsed="false">
      <c r="A395" s="6"/>
      <c r="B395" s="6"/>
      <c r="C395" s="11"/>
      <c r="D395" s="11"/>
      <c r="E395" s="6"/>
      <c r="F395" s="12"/>
    </row>
    <row r="396" customFormat="false" ht="15" hidden="false" customHeight="true" outlineLevel="0" collapsed="false">
      <c r="A396" s="6"/>
      <c r="B396" s="6"/>
      <c r="C396" s="11"/>
      <c r="D396" s="11"/>
      <c r="E396" s="6"/>
      <c r="F396" s="12"/>
    </row>
    <row r="397" customFormat="false" ht="15" hidden="false" customHeight="true" outlineLevel="0" collapsed="false">
      <c r="A397" s="6"/>
      <c r="B397" s="6"/>
      <c r="C397" s="11"/>
      <c r="D397" s="11"/>
      <c r="E397" s="6"/>
      <c r="F397" s="12"/>
    </row>
    <row r="398" customFormat="false" ht="15" hidden="false" customHeight="true" outlineLevel="0" collapsed="false">
      <c r="A398" s="6"/>
      <c r="B398" s="6"/>
      <c r="C398" s="11"/>
      <c r="D398" s="11"/>
      <c r="E398" s="6"/>
      <c r="F398" s="12"/>
    </row>
    <row r="399" customFormat="false" ht="15" hidden="false" customHeight="true" outlineLevel="0" collapsed="false">
      <c r="A399" s="6"/>
      <c r="B399" s="6"/>
      <c r="C399" s="11"/>
      <c r="D399" s="11"/>
      <c r="E399" s="6"/>
      <c r="F399" s="12"/>
    </row>
    <row r="400" customFormat="false" ht="15" hidden="false" customHeight="true" outlineLevel="0" collapsed="false">
      <c r="A400" s="6"/>
      <c r="B400" s="6"/>
      <c r="C400" s="11"/>
      <c r="D400" s="11"/>
      <c r="E400" s="6"/>
      <c r="F400" s="12"/>
    </row>
    <row r="401" customFormat="false" ht="15" hidden="false" customHeight="true" outlineLevel="0" collapsed="false">
      <c r="A401" s="6"/>
      <c r="B401" s="6"/>
      <c r="C401" s="11"/>
      <c r="D401" s="11"/>
      <c r="E401" s="6"/>
      <c r="F401" s="12"/>
    </row>
    <row r="402" customFormat="false" ht="15" hidden="false" customHeight="true" outlineLevel="0" collapsed="false">
      <c r="A402" s="6"/>
      <c r="B402" s="6"/>
      <c r="C402" s="11"/>
      <c r="D402" s="11"/>
      <c r="E402" s="6"/>
      <c r="F402" s="12"/>
    </row>
    <row r="403" customFormat="false" ht="15" hidden="false" customHeight="true" outlineLevel="0" collapsed="false">
      <c r="A403" s="6"/>
      <c r="B403" s="6"/>
      <c r="C403" s="11"/>
      <c r="D403" s="11"/>
      <c r="E403" s="6"/>
      <c r="F403" s="12"/>
    </row>
    <row r="404" customFormat="false" ht="15" hidden="false" customHeight="true" outlineLevel="0" collapsed="false">
      <c r="A404" s="6"/>
      <c r="B404" s="6"/>
      <c r="C404" s="11"/>
      <c r="D404" s="11"/>
      <c r="E404" s="6"/>
      <c r="F404" s="12"/>
    </row>
    <row r="405" customFormat="false" ht="15" hidden="false" customHeight="true" outlineLevel="0" collapsed="false">
      <c r="A405" s="6"/>
      <c r="B405" s="6"/>
      <c r="C405" s="11"/>
      <c r="D405" s="11"/>
      <c r="E405" s="6"/>
      <c r="F405" s="12"/>
    </row>
    <row r="406" customFormat="false" ht="15" hidden="false" customHeight="true" outlineLevel="0" collapsed="false">
      <c r="A406" s="6"/>
      <c r="B406" s="6"/>
      <c r="C406" s="11"/>
      <c r="D406" s="11"/>
      <c r="E406" s="6"/>
      <c r="F406" s="12"/>
    </row>
    <row r="407" customFormat="false" ht="15" hidden="false" customHeight="true" outlineLevel="0" collapsed="false">
      <c r="A407" s="6"/>
      <c r="B407" s="6"/>
      <c r="C407" s="11"/>
      <c r="D407" s="11"/>
      <c r="E407" s="6"/>
      <c r="F407" s="12"/>
    </row>
    <row r="408" customFormat="false" ht="15" hidden="false" customHeight="true" outlineLevel="0" collapsed="false">
      <c r="A408" s="6"/>
      <c r="B408" s="6"/>
      <c r="C408" s="11"/>
      <c r="D408" s="11"/>
      <c r="E408" s="6"/>
      <c r="F408" s="12"/>
    </row>
    <row r="409" customFormat="false" ht="15" hidden="false" customHeight="true" outlineLevel="0" collapsed="false">
      <c r="A409" s="6"/>
      <c r="B409" s="6"/>
      <c r="C409" s="11"/>
      <c r="D409" s="11"/>
      <c r="E409" s="6"/>
      <c r="F409" s="12"/>
    </row>
    <row r="410" customFormat="false" ht="15" hidden="false" customHeight="true" outlineLevel="0" collapsed="false">
      <c r="A410" s="6"/>
      <c r="B410" s="6"/>
      <c r="C410" s="11"/>
      <c r="D410" s="11"/>
      <c r="E410" s="6"/>
      <c r="F410" s="12"/>
    </row>
    <row r="411" customFormat="false" ht="15" hidden="false" customHeight="true" outlineLevel="0" collapsed="false">
      <c r="A411" s="6"/>
      <c r="B411" s="6"/>
      <c r="C411" s="11"/>
      <c r="D411" s="11"/>
      <c r="E411" s="6"/>
      <c r="F411" s="12"/>
    </row>
    <row r="412" customFormat="false" ht="15" hidden="false" customHeight="true" outlineLevel="0" collapsed="false">
      <c r="A412" s="6"/>
      <c r="B412" s="6"/>
      <c r="C412" s="11"/>
      <c r="D412" s="11"/>
      <c r="E412" s="6"/>
      <c r="F412" s="12"/>
    </row>
    <row r="413" customFormat="false" ht="15" hidden="false" customHeight="true" outlineLevel="0" collapsed="false">
      <c r="A413" s="6"/>
      <c r="B413" s="6"/>
      <c r="C413" s="11"/>
      <c r="D413" s="11"/>
      <c r="E413" s="6"/>
      <c r="F413" s="12"/>
    </row>
    <row r="414" customFormat="false" ht="15" hidden="false" customHeight="true" outlineLevel="0" collapsed="false">
      <c r="A414" s="6"/>
      <c r="B414" s="6"/>
      <c r="C414" s="11"/>
      <c r="D414" s="11"/>
      <c r="E414" s="6"/>
      <c r="F414" s="12"/>
    </row>
    <row r="415" customFormat="false" ht="15" hidden="false" customHeight="true" outlineLevel="0" collapsed="false">
      <c r="A415" s="6"/>
      <c r="B415" s="6"/>
      <c r="C415" s="11"/>
      <c r="D415" s="11"/>
      <c r="E415" s="6"/>
      <c r="F415" s="12"/>
    </row>
    <row r="416" customFormat="false" ht="15" hidden="false" customHeight="true" outlineLevel="0" collapsed="false">
      <c r="A416" s="6"/>
      <c r="B416" s="6"/>
      <c r="C416" s="11"/>
      <c r="D416" s="11"/>
      <c r="E416" s="6"/>
      <c r="F416" s="12"/>
    </row>
    <row r="417" customFormat="false" ht="15" hidden="false" customHeight="true" outlineLevel="0" collapsed="false">
      <c r="A417" s="6"/>
      <c r="B417" s="6"/>
      <c r="C417" s="11"/>
      <c r="D417" s="11"/>
      <c r="E417" s="6"/>
      <c r="F417" s="12"/>
    </row>
    <row r="418" customFormat="false" ht="15" hidden="false" customHeight="true" outlineLevel="0" collapsed="false">
      <c r="A418" s="6"/>
      <c r="B418" s="6"/>
      <c r="C418" s="11"/>
      <c r="D418" s="11"/>
      <c r="E418" s="6"/>
      <c r="F418" s="12"/>
    </row>
    <row r="419" customFormat="false" ht="15" hidden="false" customHeight="true" outlineLevel="0" collapsed="false">
      <c r="A419" s="6"/>
      <c r="B419" s="6"/>
      <c r="C419" s="11"/>
      <c r="D419" s="11"/>
      <c r="E419" s="6"/>
      <c r="F419" s="12"/>
    </row>
    <row r="420" customFormat="false" ht="15" hidden="false" customHeight="true" outlineLevel="0" collapsed="false">
      <c r="A420" s="6"/>
      <c r="B420" s="6"/>
      <c r="C420" s="11"/>
      <c r="D420" s="11"/>
      <c r="E420" s="6"/>
      <c r="F420" s="12"/>
    </row>
    <row r="421" customFormat="false" ht="15" hidden="false" customHeight="true" outlineLevel="0" collapsed="false">
      <c r="A421" s="6"/>
      <c r="B421" s="6"/>
      <c r="C421" s="11"/>
      <c r="D421" s="11"/>
      <c r="E421" s="6"/>
      <c r="F421" s="12"/>
    </row>
    <row r="422" customFormat="false" ht="15" hidden="false" customHeight="true" outlineLevel="0" collapsed="false">
      <c r="A422" s="6"/>
      <c r="B422" s="6"/>
      <c r="C422" s="11"/>
      <c r="D422" s="11"/>
      <c r="E422" s="6"/>
      <c r="F422" s="12"/>
    </row>
    <row r="423" customFormat="false" ht="15" hidden="false" customHeight="true" outlineLevel="0" collapsed="false">
      <c r="A423" s="6"/>
      <c r="B423" s="6"/>
      <c r="C423" s="11"/>
      <c r="D423" s="11"/>
      <c r="E423" s="6"/>
      <c r="F423" s="12"/>
    </row>
    <row r="424" customFormat="false" ht="15" hidden="false" customHeight="true" outlineLevel="0" collapsed="false">
      <c r="A424" s="6"/>
      <c r="B424" s="6"/>
      <c r="C424" s="11"/>
      <c r="D424" s="11"/>
      <c r="E424" s="6"/>
      <c r="F424" s="12"/>
    </row>
    <row r="425" customFormat="false" ht="15" hidden="false" customHeight="true" outlineLevel="0" collapsed="false">
      <c r="A425" s="6"/>
      <c r="B425" s="6"/>
      <c r="C425" s="11"/>
      <c r="D425" s="11"/>
      <c r="E425" s="6"/>
      <c r="F425" s="12"/>
    </row>
    <row r="426" customFormat="false" ht="15" hidden="false" customHeight="true" outlineLevel="0" collapsed="false">
      <c r="A426" s="6"/>
      <c r="B426" s="6"/>
      <c r="C426" s="11"/>
      <c r="D426" s="11"/>
      <c r="E426" s="6"/>
      <c r="F426" s="12"/>
    </row>
    <row r="427" customFormat="false" ht="15" hidden="false" customHeight="true" outlineLevel="0" collapsed="false">
      <c r="A427" s="6"/>
      <c r="B427" s="6"/>
      <c r="C427" s="11"/>
      <c r="D427" s="11"/>
      <c r="E427" s="6"/>
      <c r="F427" s="12"/>
    </row>
    <row r="428" customFormat="false" ht="15" hidden="false" customHeight="true" outlineLevel="0" collapsed="false">
      <c r="A428" s="6"/>
      <c r="B428" s="6"/>
      <c r="C428" s="11"/>
      <c r="D428" s="11"/>
      <c r="E428" s="6"/>
      <c r="F428" s="12"/>
    </row>
    <row r="429" customFormat="false" ht="15" hidden="false" customHeight="true" outlineLevel="0" collapsed="false">
      <c r="A429" s="6"/>
      <c r="B429" s="6"/>
      <c r="C429" s="11"/>
      <c r="D429" s="11"/>
      <c r="E429" s="6"/>
      <c r="F429" s="12"/>
    </row>
    <row r="430" customFormat="false" ht="15" hidden="false" customHeight="true" outlineLevel="0" collapsed="false">
      <c r="A430" s="6"/>
      <c r="B430" s="6"/>
      <c r="C430" s="11"/>
      <c r="D430" s="11"/>
      <c r="E430" s="6"/>
      <c r="F430" s="12"/>
    </row>
    <row r="431" customFormat="false" ht="15" hidden="false" customHeight="true" outlineLevel="0" collapsed="false">
      <c r="A431" s="6"/>
      <c r="B431" s="6"/>
      <c r="C431" s="11"/>
      <c r="D431" s="11"/>
      <c r="E431" s="6"/>
      <c r="F431" s="12"/>
    </row>
    <row r="432" customFormat="false" ht="15" hidden="false" customHeight="true" outlineLevel="0" collapsed="false">
      <c r="A432" s="6"/>
      <c r="B432" s="6"/>
      <c r="C432" s="11"/>
      <c r="D432" s="11"/>
      <c r="E432" s="6"/>
      <c r="F432" s="12"/>
    </row>
    <row r="433" customFormat="false" ht="15" hidden="false" customHeight="true" outlineLevel="0" collapsed="false">
      <c r="A433" s="6"/>
      <c r="B433" s="6"/>
      <c r="C433" s="11"/>
      <c r="D433" s="11"/>
      <c r="E433" s="6"/>
      <c r="F433" s="12"/>
    </row>
    <row r="434" customFormat="false" ht="15" hidden="false" customHeight="true" outlineLevel="0" collapsed="false">
      <c r="A434" s="6"/>
      <c r="B434" s="6"/>
      <c r="C434" s="11"/>
      <c r="D434" s="11"/>
      <c r="E434" s="6"/>
      <c r="F434" s="12"/>
    </row>
    <row r="435" customFormat="false" ht="15" hidden="false" customHeight="true" outlineLevel="0" collapsed="false">
      <c r="A435" s="6"/>
      <c r="B435" s="6"/>
      <c r="C435" s="11"/>
      <c r="D435" s="11"/>
      <c r="E435" s="6"/>
      <c r="F435" s="12"/>
    </row>
    <row r="436" customFormat="false" ht="15" hidden="false" customHeight="true" outlineLevel="0" collapsed="false">
      <c r="A436" s="6"/>
      <c r="B436" s="6"/>
      <c r="C436" s="11"/>
      <c r="D436" s="11"/>
      <c r="E436" s="6"/>
      <c r="F436" s="12"/>
    </row>
    <row r="437" customFormat="false" ht="15" hidden="false" customHeight="true" outlineLevel="0" collapsed="false">
      <c r="A437" s="6"/>
      <c r="B437" s="6"/>
      <c r="C437" s="11"/>
      <c r="D437" s="11"/>
      <c r="E437" s="6"/>
      <c r="F437" s="12"/>
    </row>
    <row r="438" customFormat="false" ht="15" hidden="false" customHeight="true" outlineLevel="0" collapsed="false">
      <c r="A438" s="6"/>
      <c r="B438" s="6"/>
      <c r="C438" s="11"/>
      <c r="D438" s="11"/>
      <c r="E438" s="6"/>
      <c r="F438" s="12"/>
    </row>
    <row r="439" customFormat="false" ht="15" hidden="false" customHeight="true" outlineLevel="0" collapsed="false">
      <c r="A439" s="6"/>
      <c r="B439" s="6"/>
      <c r="C439" s="11"/>
      <c r="D439" s="11"/>
      <c r="E439" s="6"/>
      <c r="F439" s="12"/>
    </row>
    <row r="440" customFormat="false" ht="15" hidden="false" customHeight="true" outlineLevel="0" collapsed="false">
      <c r="A440" s="6"/>
      <c r="B440" s="6"/>
      <c r="C440" s="11"/>
      <c r="D440" s="11"/>
      <c r="E440" s="6"/>
      <c r="F440" s="12"/>
    </row>
    <row r="441" customFormat="false" ht="15" hidden="false" customHeight="true" outlineLevel="0" collapsed="false">
      <c r="A441" s="6"/>
      <c r="B441" s="6"/>
      <c r="C441" s="11"/>
      <c r="D441" s="11"/>
      <c r="E441" s="6"/>
      <c r="F441" s="12"/>
    </row>
    <row r="442" customFormat="false" ht="15" hidden="false" customHeight="true" outlineLevel="0" collapsed="false">
      <c r="A442" s="6"/>
      <c r="B442" s="6"/>
      <c r="C442" s="11"/>
      <c r="D442" s="11"/>
      <c r="E442" s="6"/>
      <c r="F442" s="12"/>
    </row>
    <row r="443" customFormat="false" ht="15" hidden="false" customHeight="true" outlineLevel="0" collapsed="false">
      <c r="A443" s="6"/>
      <c r="B443" s="6"/>
      <c r="C443" s="11"/>
      <c r="D443" s="11"/>
      <c r="E443" s="6"/>
      <c r="F443" s="12"/>
    </row>
    <row r="444" customFormat="false" ht="15" hidden="false" customHeight="true" outlineLevel="0" collapsed="false">
      <c r="A444" s="6"/>
      <c r="B444" s="6"/>
      <c r="C444" s="11"/>
      <c r="D444" s="11"/>
      <c r="E444" s="6"/>
      <c r="F444" s="12"/>
    </row>
    <row r="445" customFormat="false" ht="15" hidden="false" customHeight="true" outlineLevel="0" collapsed="false">
      <c r="A445" s="6"/>
      <c r="B445" s="6"/>
      <c r="C445" s="11"/>
      <c r="D445" s="11"/>
      <c r="E445" s="6"/>
      <c r="F445" s="12"/>
    </row>
    <row r="446" customFormat="false" ht="15" hidden="false" customHeight="true" outlineLevel="0" collapsed="false">
      <c r="A446" s="6"/>
      <c r="B446" s="6"/>
      <c r="C446" s="11"/>
      <c r="D446" s="11"/>
      <c r="E446" s="6"/>
      <c r="F446" s="12"/>
    </row>
    <row r="447" customFormat="false" ht="15" hidden="false" customHeight="true" outlineLevel="0" collapsed="false">
      <c r="A447" s="6"/>
      <c r="B447" s="6"/>
      <c r="C447" s="11"/>
      <c r="D447" s="11"/>
      <c r="E447" s="6"/>
      <c r="F447" s="12"/>
    </row>
    <row r="448" customFormat="false" ht="15" hidden="false" customHeight="true" outlineLevel="0" collapsed="false">
      <c r="A448" s="6"/>
      <c r="B448" s="6"/>
      <c r="C448" s="11"/>
      <c r="D448" s="11"/>
      <c r="E448" s="6"/>
      <c r="F448" s="12"/>
    </row>
    <row r="449" customFormat="false" ht="15" hidden="false" customHeight="true" outlineLevel="0" collapsed="false">
      <c r="A449" s="6"/>
      <c r="B449" s="6"/>
      <c r="C449" s="11"/>
      <c r="D449" s="11"/>
      <c r="E449" s="6"/>
      <c r="F449" s="12"/>
    </row>
    <row r="450" customFormat="false" ht="15" hidden="false" customHeight="true" outlineLevel="0" collapsed="false">
      <c r="A450" s="6"/>
      <c r="B450" s="6"/>
      <c r="C450" s="11"/>
      <c r="D450" s="11"/>
      <c r="E450" s="6"/>
      <c r="F450" s="12"/>
    </row>
    <row r="451" customFormat="false" ht="15" hidden="false" customHeight="true" outlineLevel="0" collapsed="false">
      <c r="A451" s="6"/>
      <c r="B451" s="6"/>
      <c r="C451" s="11"/>
      <c r="D451" s="11"/>
      <c r="E451" s="6"/>
      <c r="F451" s="12"/>
    </row>
    <row r="452" customFormat="false" ht="15" hidden="false" customHeight="true" outlineLevel="0" collapsed="false">
      <c r="A452" s="6"/>
      <c r="B452" s="6"/>
      <c r="C452" s="11"/>
      <c r="D452" s="11"/>
      <c r="E452" s="6"/>
      <c r="F452" s="12"/>
    </row>
    <row r="453" customFormat="false" ht="15" hidden="false" customHeight="true" outlineLevel="0" collapsed="false">
      <c r="A453" s="6"/>
      <c r="B453" s="6"/>
      <c r="C453" s="11"/>
      <c r="D453" s="11"/>
      <c r="E453" s="6"/>
      <c r="F453" s="12"/>
    </row>
    <row r="454" customFormat="false" ht="15" hidden="false" customHeight="true" outlineLevel="0" collapsed="false">
      <c r="A454" s="6"/>
      <c r="B454" s="6"/>
      <c r="C454" s="11"/>
      <c r="D454" s="11"/>
      <c r="E454" s="6"/>
      <c r="F454" s="12"/>
    </row>
    <row r="455" customFormat="false" ht="15" hidden="false" customHeight="true" outlineLevel="0" collapsed="false">
      <c r="A455" s="6"/>
      <c r="B455" s="6"/>
      <c r="C455" s="11"/>
      <c r="D455" s="11"/>
      <c r="E455" s="6"/>
      <c r="F455" s="12"/>
    </row>
    <row r="456" customFormat="false" ht="15" hidden="false" customHeight="true" outlineLevel="0" collapsed="false">
      <c r="A456" s="6"/>
      <c r="B456" s="6"/>
      <c r="C456" s="11"/>
      <c r="D456" s="11"/>
      <c r="E456" s="6"/>
      <c r="F456" s="12"/>
    </row>
    <row r="457" customFormat="false" ht="15" hidden="false" customHeight="true" outlineLevel="0" collapsed="false">
      <c r="A457" s="6"/>
      <c r="B457" s="6"/>
      <c r="C457" s="11"/>
      <c r="D457" s="11"/>
      <c r="E457" s="6"/>
      <c r="F457" s="12"/>
    </row>
    <row r="458" customFormat="false" ht="15" hidden="false" customHeight="true" outlineLevel="0" collapsed="false">
      <c r="A458" s="6"/>
      <c r="B458" s="6"/>
      <c r="C458" s="11"/>
      <c r="D458" s="11"/>
      <c r="E458" s="6"/>
      <c r="F458" s="12"/>
    </row>
    <row r="459" customFormat="false" ht="15" hidden="false" customHeight="true" outlineLevel="0" collapsed="false">
      <c r="A459" s="6"/>
      <c r="B459" s="6"/>
      <c r="C459" s="11"/>
      <c r="D459" s="11"/>
      <c r="E459" s="6"/>
      <c r="F459" s="12"/>
    </row>
    <row r="460" customFormat="false" ht="15" hidden="false" customHeight="true" outlineLevel="0" collapsed="false">
      <c r="A460" s="6"/>
      <c r="B460" s="6"/>
      <c r="C460" s="11"/>
      <c r="D460" s="11"/>
      <c r="E460" s="6"/>
      <c r="F460" s="12"/>
    </row>
    <row r="461" customFormat="false" ht="15" hidden="false" customHeight="true" outlineLevel="0" collapsed="false">
      <c r="A461" s="6"/>
      <c r="B461" s="6"/>
      <c r="C461" s="11"/>
      <c r="D461" s="11"/>
      <c r="E461" s="6"/>
      <c r="F461" s="12"/>
    </row>
    <row r="462" customFormat="false" ht="15" hidden="false" customHeight="true" outlineLevel="0" collapsed="false">
      <c r="A462" s="6"/>
      <c r="B462" s="6"/>
      <c r="C462" s="11"/>
      <c r="D462" s="11"/>
      <c r="E462" s="6"/>
      <c r="F462" s="12"/>
    </row>
    <row r="463" customFormat="false" ht="15" hidden="false" customHeight="true" outlineLevel="0" collapsed="false">
      <c r="A463" s="6"/>
      <c r="B463" s="6"/>
      <c r="C463" s="11"/>
      <c r="D463" s="11"/>
      <c r="E463" s="6"/>
      <c r="F463" s="12"/>
    </row>
    <row r="464" customFormat="false" ht="15" hidden="false" customHeight="true" outlineLevel="0" collapsed="false">
      <c r="A464" s="6"/>
      <c r="B464" s="6"/>
      <c r="C464" s="11"/>
      <c r="D464" s="11"/>
      <c r="E464" s="6"/>
      <c r="F464" s="12"/>
    </row>
    <row r="465" customFormat="false" ht="15" hidden="false" customHeight="true" outlineLevel="0" collapsed="false">
      <c r="A465" s="6"/>
      <c r="B465" s="6"/>
      <c r="C465" s="11"/>
      <c r="D465" s="11"/>
      <c r="E465" s="6"/>
      <c r="F465" s="12"/>
    </row>
    <row r="466" customFormat="false" ht="15" hidden="false" customHeight="true" outlineLevel="0" collapsed="false">
      <c r="A466" s="6"/>
      <c r="B466" s="6"/>
      <c r="C466" s="11"/>
      <c r="D466" s="11"/>
      <c r="E466" s="6"/>
      <c r="F466" s="12"/>
    </row>
    <row r="467" customFormat="false" ht="15" hidden="false" customHeight="true" outlineLevel="0" collapsed="false">
      <c r="A467" s="6"/>
      <c r="B467" s="6"/>
      <c r="C467" s="11"/>
      <c r="D467" s="11"/>
      <c r="E467" s="6"/>
      <c r="F467" s="12"/>
    </row>
    <row r="468" customFormat="false" ht="15" hidden="false" customHeight="true" outlineLevel="0" collapsed="false">
      <c r="A468" s="6"/>
      <c r="B468" s="6"/>
      <c r="C468" s="11"/>
      <c r="D468" s="11"/>
      <c r="E468" s="6"/>
      <c r="F468" s="12"/>
    </row>
    <row r="469" customFormat="false" ht="15" hidden="false" customHeight="true" outlineLevel="0" collapsed="false">
      <c r="A469" s="6"/>
      <c r="B469" s="6"/>
      <c r="C469" s="11"/>
      <c r="D469" s="11"/>
      <c r="E469" s="6"/>
      <c r="F469" s="12"/>
    </row>
    <row r="470" customFormat="false" ht="15" hidden="false" customHeight="true" outlineLevel="0" collapsed="false">
      <c r="A470" s="6"/>
      <c r="B470" s="6"/>
      <c r="C470" s="11"/>
      <c r="D470" s="11"/>
      <c r="E470" s="6"/>
      <c r="F470" s="12"/>
    </row>
    <row r="471" customFormat="false" ht="15" hidden="false" customHeight="true" outlineLevel="0" collapsed="false">
      <c r="A471" s="6"/>
      <c r="B471" s="6"/>
      <c r="C471" s="11"/>
      <c r="D471" s="11"/>
      <c r="E471" s="6"/>
      <c r="F471" s="12"/>
    </row>
    <row r="472" customFormat="false" ht="15" hidden="false" customHeight="true" outlineLevel="0" collapsed="false">
      <c r="A472" s="6"/>
      <c r="B472" s="6"/>
      <c r="C472" s="11"/>
      <c r="D472" s="11"/>
      <c r="E472" s="6"/>
      <c r="F472" s="12"/>
    </row>
    <row r="473" customFormat="false" ht="15" hidden="false" customHeight="true" outlineLevel="0" collapsed="false">
      <c r="A473" s="6"/>
      <c r="B473" s="6"/>
      <c r="C473" s="11"/>
      <c r="D473" s="11"/>
      <c r="E473" s="6"/>
      <c r="F473" s="12"/>
    </row>
    <row r="474" customFormat="false" ht="15" hidden="false" customHeight="true" outlineLevel="0" collapsed="false">
      <c r="A474" s="6"/>
      <c r="B474" s="6"/>
      <c r="C474" s="11"/>
      <c r="D474" s="11"/>
      <c r="E474" s="6"/>
      <c r="F474" s="12"/>
    </row>
    <row r="475" customFormat="false" ht="15" hidden="false" customHeight="true" outlineLevel="0" collapsed="false">
      <c r="A475" s="6"/>
      <c r="B475" s="6"/>
      <c r="C475" s="11"/>
      <c r="D475" s="11"/>
      <c r="E475" s="6"/>
      <c r="F475" s="12"/>
    </row>
    <row r="476" customFormat="false" ht="15" hidden="false" customHeight="true" outlineLevel="0" collapsed="false">
      <c r="A476" s="6"/>
      <c r="B476" s="6"/>
      <c r="C476" s="11"/>
      <c r="D476" s="11"/>
      <c r="E476" s="6"/>
      <c r="F476" s="12"/>
    </row>
    <row r="477" customFormat="false" ht="15" hidden="false" customHeight="true" outlineLevel="0" collapsed="false">
      <c r="A477" s="6"/>
      <c r="B477" s="6"/>
      <c r="C477" s="11"/>
      <c r="D477" s="11"/>
      <c r="E477" s="6"/>
      <c r="F477" s="12"/>
    </row>
    <row r="478" customFormat="false" ht="15" hidden="false" customHeight="true" outlineLevel="0" collapsed="false">
      <c r="A478" s="6"/>
      <c r="B478" s="6"/>
      <c r="C478" s="11"/>
      <c r="D478" s="11"/>
      <c r="E478" s="6"/>
      <c r="F478" s="12"/>
    </row>
    <row r="479" customFormat="false" ht="15" hidden="false" customHeight="true" outlineLevel="0" collapsed="false">
      <c r="A479" s="6"/>
      <c r="B479" s="6"/>
      <c r="C479" s="11"/>
      <c r="D479" s="11"/>
      <c r="E479" s="6"/>
      <c r="F479" s="12"/>
    </row>
    <row r="480" customFormat="false" ht="15" hidden="false" customHeight="true" outlineLevel="0" collapsed="false">
      <c r="A480" s="6"/>
      <c r="B480" s="6"/>
      <c r="C480" s="11"/>
      <c r="D480" s="11"/>
      <c r="E480" s="6"/>
      <c r="F480" s="12"/>
    </row>
    <row r="481" customFormat="false" ht="15" hidden="false" customHeight="true" outlineLevel="0" collapsed="false">
      <c r="A481" s="6"/>
      <c r="B481" s="6"/>
      <c r="C481" s="11"/>
      <c r="D481" s="11"/>
      <c r="E481" s="6"/>
      <c r="F481" s="12"/>
    </row>
    <row r="482" customFormat="false" ht="15" hidden="false" customHeight="true" outlineLevel="0" collapsed="false">
      <c r="A482" s="6"/>
      <c r="B482" s="6"/>
      <c r="C482" s="11"/>
      <c r="D482" s="11"/>
      <c r="E482" s="6"/>
      <c r="F482" s="12"/>
    </row>
    <row r="483" customFormat="false" ht="15" hidden="false" customHeight="true" outlineLevel="0" collapsed="false">
      <c r="A483" s="6"/>
      <c r="B483" s="6"/>
      <c r="C483" s="11"/>
      <c r="D483" s="11"/>
      <c r="E483" s="6"/>
      <c r="F483" s="12"/>
    </row>
    <row r="484" customFormat="false" ht="15" hidden="false" customHeight="true" outlineLevel="0" collapsed="false">
      <c r="A484" s="6"/>
      <c r="B484" s="6"/>
      <c r="C484" s="11"/>
      <c r="D484" s="11"/>
      <c r="E484" s="6"/>
      <c r="F484" s="12"/>
    </row>
    <row r="485" customFormat="false" ht="15" hidden="false" customHeight="true" outlineLevel="0" collapsed="false">
      <c r="A485" s="6"/>
      <c r="B485" s="6"/>
      <c r="C485" s="11"/>
      <c r="D485" s="11"/>
      <c r="E485" s="6"/>
      <c r="F485" s="12"/>
    </row>
    <row r="486" customFormat="false" ht="15" hidden="false" customHeight="true" outlineLevel="0" collapsed="false">
      <c r="A486" s="6"/>
      <c r="B486" s="6"/>
      <c r="C486" s="11"/>
      <c r="D486" s="11"/>
      <c r="E486" s="6"/>
      <c r="F486" s="12"/>
    </row>
    <row r="487" customFormat="false" ht="15" hidden="false" customHeight="true" outlineLevel="0" collapsed="false">
      <c r="A487" s="6"/>
      <c r="B487" s="6"/>
      <c r="C487" s="11"/>
      <c r="D487" s="11"/>
      <c r="E487" s="6"/>
      <c r="F487" s="12"/>
    </row>
    <row r="488" customFormat="false" ht="15" hidden="false" customHeight="true" outlineLevel="0" collapsed="false">
      <c r="A488" s="6"/>
      <c r="B488" s="6"/>
      <c r="C488" s="11"/>
      <c r="D488" s="11"/>
      <c r="E488" s="6"/>
      <c r="F488" s="12"/>
    </row>
    <row r="489" customFormat="false" ht="15" hidden="false" customHeight="true" outlineLevel="0" collapsed="false">
      <c r="A489" s="6"/>
      <c r="B489" s="6"/>
      <c r="C489" s="11"/>
      <c r="D489" s="11"/>
      <c r="E489" s="6"/>
      <c r="F489" s="12"/>
    </row>
    <row r="490" customFormat="false" ht="15" hidden="false" customHeight="true" outlineLevel="0" collapsed="false">
      <c r="A490" s="6"/>
      <c r="B490" s="6"/>
      <c r="C490" s="11"/>
      <c r="D490" s="11"/>
      <c r="E490" s="6"/>
      <c r="F490" s="12"/>
    </row>
    <row r="491" customFormat="false" ht="15" hidden="false" customHeight="true" outlineLevel="0" collapsed="false">
      <c r="A491" s="6"/>
      <c r="B491" s="6"/>
      <c r="C491" s="11"/>
      <c r="D491" s="11"/>
      <c r="E491" s="6"/>
      <c r="F491" s="12"/>
    </row>
    <row r="492" customFormat="false" ht="15" hidden="false" customHeight="true" outlineLevel="0" collapsed="false">
      <c r="A492" s="6"/>
      <c r="B492" s="6"/>
      <c r="C492" s="11"/>
      <c r="D492" s="11"/>
      <c r="E492" s="6"/>
      <c r="F492" s="12"/>
    </row>
    <row r="493" customFormat="false" ht="15" hidden="false" customHeight="true" outlineLevel="0" collapsed="false">
      <c r="A493" s="6"/>
      <c r="B493" s="6"/>
      <c r="C493" s="11"/>
      <c r="D493" s="11"/>
      <c r="E493" s="6"/>
      <c r="F493" s="12"/>
    </row>
    <row r="494" customFormat="false" ht="15" hidden="false" customHeight="true" outlineLevel="0" collapsed="false">
      <c r="A494" s="6"/>
      <c r="B494" s="6"/>
      <c r="C494" s="11"/>
      <c r="D494" s="11"/>
      <c r="E494" s="6"/>
      <c r="F494" s="12"/>
    </row>
    <row r="495" customFormat="false" ht="15" hidden="false" customHeight="true" outlineLevel="0" collapsed="false">
      <c r="A495" s="6"/>
      <c r="B495" s="6"/>
      <c r="C495" s="11"/>
      <c r="D495" s="11"/>
      <c r="E495" s="6"/>
      <c r="F495" s="12"/>
    </row>
    <row r="496" customFormat="false" ht="15" hidden="false" customHeight="true" outlineLevel="0" collapsed="false">
      <c r="A496" s="6"/>
      <c r="B496" s="6"/>
      <c r="C496" s="11"/>
      <c r="D496" s="11"/>
      <c r="E496" s="6"/>
      <c r="F496" s="12"/>
    </row>
    <row r="497" customFormat="false" ht="15" hidden="false" customHeight="true" outlineLevel="0" collapsed="false">
      <c r="A497" s="6"/>
      <c r="B497" s="6"/>
      <c r="C497" s="11"/>
      <c r="D497" s="11"/>
      <c r="E497" s="6"/>
      <c r="F497" s="12"/>
    </row>
    <row r="498" customFormat="false" ht="15" hidden="false" customHeight="true" outlineLevel="0" collapsed="false">
      <c r="A498" s="6"/>
      <c r="B498" s="6"/>
      <c r="C498" s="11"/>
      <c r="D498" s="11"/>
      <c r="E498" s="6"/>
      <c r="F498" s="12"/>
    </row>
    <row r="499" customFormat="false" ht="15" hidden="false" customHeight="true" outlineLevel="0" collapsed="false">
      <c r="A499" s="6"/>
      <c r="B499" s="6"/>
      <c r="C499" s="11"/>
      <c r="D499" s="11"/>
      <c r="E499" s="6"/>
      <c r="F499" s="12"/>
    </row>
    <row r="500" customFormat="false" ht="15" hidden="false" customHeight="true" outlineLevel="0" collapsed="false">
      <c r="A500" s="6"/>
      <c r="B500" s="6"/>
      <c r="C500" s="11"/>
      <c r="D500" s="11"/>
      <c r="E500" s="6"/>
      <c r="F500" s="12"/>
    </row>
    <row r="501" customFormat="false" ht="15" hidden="false" customHeight="true" outlineLevel="0" collapsed="false">
      <c r="A501" s="6"/>
      <c r="B501" s="6"/>
      <c r="C501" s="11"/>
      <c r="D501" s="11"/>
      <c r="E501" s="6"/>
      <c r="F501" s="12"/>
    </row>
    <row r="502" customFormat="false" ht="15" hidden="false" customHeight="true" outlineLevel="0" collapsed="false">
      <c r="A502" s="6"/>
      <c r="B502" s="6"/>
      <c r="C502" s="11"/>
      <c r="D502" s="11"/>
      <c r="E502" s="6"/>
      <c r="F502" s="12"/>
    </row>
    <row r="503" customFormat="false" ht="15" hidden="false" customHeight="true" outlineLevel="0" collapsed="false">
      <c r="A503" s="6"/>
      <c r="B503" s="6"/>
      <c r="C503" s="11"/>
      <c r="D503" s="11"/>
      <c r="E503" s="6"/>
      <c r="F503" s="12"/>
    </row>
    <row r="504" customFormat="false" ht="15" hidden="false" customHeight="true" outlineLevel="0" collapsed="false">
      <c r="A504" s="6"/>
      <c r="B504" s="6"/>
      <c r="C504" s="11"/>
      <c r="D504" s="11"/>
      <c r="E504" s="6"/>
      <c r="F504" s="12"/>
    </row>
    <row r="505" customFormat="false" ht="15" hidden="false" customHeight="true" outlineLevel="0" collapsed="false">
      <c r="A505" s="6"/>
      <c r="B505" s="6"/>
      <c r="C505" s="11"/>
      <c r="D505" s="11"/>
      <c r="E505" s="6"/>
      <c r="F505" s="12"/>
    </row>
    <row r="506" customFormat="false" ht="15" hidden="false" customHeight="true" outlineLevel="0" collapsed="false">
      <c r="A506" s="6"/>
      <c r="B506" s="6"/>
      <c r="C506" s="11"/>
      <c r="D506" s="11"/>
      <c r="E506" s="6"/>
      <c r="F506" s="12"/>
    </row>
    <row r="507" customFormat="false" ht="15" hidden="false" customHeight="true" outlineLevel="0" collapsed="false">
      <c r="A507" s="6"/>
      <c r="B507" s="6"/>
      <c r="C507" s="11"/>
      <c r="D507" s="11"/>
      <c r="E507" s="6"/>
      <c r="F507" s="12"/>
    </row>
    <row r="508" customFormat="false" ht="15" hidden="false" customHeight="true" outlineLevel="0" collapsed="false">
      <c r="A508" s="6"/>
      <c r="B508" s="6"/>
      <c r="C508" s="11"/>
      <c r="D508" s="11"/>
      <c r="E508" s="6"/>
      <c r="F508" s="12"/>
    </row>
    <row r="509" customFormat="false" ht="15" hidden="false" customHeight="true" outlineLevel="0" collapsed="false">
      <c r="A509" s="6"/>
      <c r="B509" s="6"/>
      <c r="C509" s="11"/>
      <c r="D509" s="11"/>
      <c r="E509" s="6"/>
      <c r="F509" s="12"/>
    </row>
    <row r="510" customFormat="false" ht="15" hidden="false" customHeight="true" outlineLevel="0" collapsed="false">
      <c r="A510" s="6"/>
      <c r="B510" s="6"/>
      <c r="C510" s="11"/>
      <c r="D510" s="11"/>
      <c r="E510" s="6"/>
      <c r="F510" s="12"/>
    </row>
    <row r="511" customFormat="false" ht="15" hidden="false" customHeight="true" outlineLevel="0" collapsed="false">
      <c r="A511" s="6"/>
      <c r="B511" s="6"/>
      <c r="C511" s="11"/>
      <c r="D511" s="11"/>
      <c r="E511" s="6"/>
      <c r="F511" s="12"/>
    </row>
    <row r="512" customFormat="false" ht="15" hidden="false" customHeight="true" outlineLevel="0" collapsed="false">
      <c r="A512" s="6"/>
      <c r="B512" s="6"/>
      <c r="C512" s="11"/>
      <c r="D512" s="11"/>
      <c r="E512" s="6"/>
      <c r="F512" s="12"/>
    </row>
    <row r="513" customFormat="false" ht="15" hidden="false" customHeight="true" outlineLevel="0" collapsed="false">
      <c r="A513" s="6"/>
      <c r="B513" s="6"/>
      <c r="C513" s="11"/>
      <c r="D513" s="11"/>
      <c r="E513" s="6"/>
      <c r="F513" s="12"/>
    </row>
    <row r="514" customFormat="false" ht="15" hidden="false" customHeight="true" outlineLevel="0" collapsed="false">
      <c r="A514" s="6"/>
      <c r="B514" s="6"/>
      <c r="C514" s="11"/>
      <c r="D514" s="11"/>
      <c r="E514" s="6"/>
      <c r="F514" s="12"/>
    </row>
    <row r="515" customFormat="false" ht="15" hidden="false" customHeight="true" outlineLevel="0" collapsed="false">
      <c r="A515" s="6"/>
      <c r="B515" s="6"/>
      <c r="C515" s="11"/>
      <c r="D515" s="11"/>
      <c r="E515" s="6"/>
      <c r="F515" s="12"/>
    </row>
    <row r="516" customFormat="false" ht="15" hidden="false" customHeight="true" outlineLevel="0" collapsed="false">
      <c r="A516" s="6"/>
      <c r="B516" s="6"/>
      <c r="C516" s="11"/>
      <c r="D516" s="11"/>
      <c r="E516" s="6"/>
      <c r="F516" s="12"/>
    </row>
    <row r="517" customFormat="false" ht="15" hidden="false" customHeight="true" outlineLevel="0" collapsed="false">
      <c r="A517" s="6"/>
      <c r="B517" s="6"/>
      <c r="C517" s="11"/>
      <c r="D517" s="11"/>
      <c r="E517" s="6"/>
      <c r="F517" s="12"/>
    </row>
    <row r="518" customFormat="false" ht="15" hidden="false" customHeight="true" outlineLevel="0" collapsed="false">
      <c r="A518" s="6"/>
      <c r="B518" s="6"/>
      <c r="C518" s="11"/>
      <c r="D518" s="11"/>
      <c r="E518" s="6"/>
      <c r="F518" s="12"/>
    </row>
    <row r="519" customFormat="false" ht="15" hidden="false" customHeight="true" outlineLevel="0" collapsed="false">
      <c r="A519" s="6"/>
      <c r="B519" s="6"/>
      <c r="C519" s="11"/>
      <c r="D519" s="11"/>
      <c r="E519" s="6"/>
      <c r="F519" s="12"/>
    </row>
    <row r="520" customFormat="false" ht="15" hidden="false" customHeight="true" outlineLevel="0" collapsed="false">
      <c r="A520" s="6"/>
      <c r="B520" s="6"/>
      <c r="C520" s="11"/>
      <c r="D520" s="11"/>
      <c r="E520" s="6"/>
      <c r="F520" s="12"/>
    </row>
    <row r="521" customFormat="false" ht="15" hidden="false" customHeight="true" outlineLevel="0" collapsed="false">
      <c r="A521" s="6"/>
      <c r="B521" s="6"/>
      <c r="C521" s="11"/>
      <c r="D521" s="11"/>
      <c r="E521" s="6"/>
      <c r="F521" s="12"/>
    </row>
    <row r="522" customFormat="false" ht="15" hidden="false" customHeight="true" outlineLevel="0" collapsed="false">
      <c r="A522" s="6"/>
      <c r="B522" s="6"/>
      <c r="C522" s="11"/>
      <c r="D522" s="11"/>
      <c r="E522" s="6"/>
      <c r="F522" s="12"/>
    </row>
    <row r="523" customFormat="false" ht="15" hidden="false" customHeight="true" outlineLevel="0" collapsed="false">
      <c r="A523" s="6"/>
      <c r="B523" s="6"/>
      <c r="C523" s="11"/>
      <c r="D523" s="11"/>
      <c r="E523" s="6"/>
      <c r="F523" s="12"/>
    </row>
    <row r="524" customFormat="false" ht="15" hidden="false" customHeight="true" outlineLevel="0" collapsed="false">
      <c r="A524" s="6"/>
      <c r="B524" s="6"/>
      <c r="C524" s="11"/>
      <c r="D524" s="11"/>
      <c r="E524" s="6"/>
      <c r="F524" s="12"/>
    </row>
    <row r="525" customFormat="false" ht="15" hidden="false" customHeight="true" outlineLevel="0" collapsed="false">
      <c r="A525" s="6"/>
      <c r="B525" s="6"/>
      <c r="C525" s="11"/>
      <c r="D525" s="11"/>
      <c r="E525" s="6"/>
      <c r="F525" s="12"/>
    </row>
    <row r="526" customFormat="false" ht="15" hidden="false" customHeight="true" outlineLevel="0" collapsed="false">
      <c r="A526" s="6"/>
      <c r="B526" s="6"/>
      <c r="C526" s="11"/>
      <c r="D526" s="11"/>
      <c r="E526" s="6"/>
      <c r="F526" s="12"/>
    </row>
    <row r="527" customFormat="false" ht="15" hidden="false" customHeight="true" outlineLevel="0" collapsed="false">
      <c r="A527" s="6"/>
      <c r="B527" s="6"/>
      <c r="C527" s="11"/>
      <c r="D527" s="11"/>
      <c r="E527" s="6"/>
      <c r="F527" s="12"/>
    </row>
    <row r="528" customFormat="false" ht="15" hidden="false" customHeight="true" outlineLevel="0" collapsed="false">
      <c r="A528" s="6"/>
      <c r="B528" s="6"/>
      <c r="C528" s="11"/>
      <c r="D528" s="11"/>
      <c r="E528" s="6"/>
      <c r="F528" s="12"/>
    </row>
    <row r="529" customFormat="false" ht="15" hidden="false" customHeight="true" outlineLevel="0" collapsed="false">
      <c r="A529" s="6"/>
      <c r="B529" s="6"/>
      <c r="C529" s="11"/>
      <c r="D529" s="11"/>
      <c r="E529" s="6"/>
      <c r="F529" s="12"/>
    </row>
    <row r="530" customFormat="false" ht="15" hidden="false" customHeight="true" outlineLevel="0" collapsed="false">
      <c r="A530" s="6"/>
      <c r="B530" s="6"/>
      <c r="C530" s="11"/>
      <c r="D530" s="11"/>
      <c r="E530" s="6"/>
      <c r="F530" s="12"/>
    </row>
    <row r="531" customFormat="false" ht="15" hidden="false" customHeight="true" outlineLevel="0" collapsed="false">
      <c r="A531" s="6"/>
      <c r="B531" s="6"/>
      <c r="C531" s="11"/>
      <c r="D531" s="11"/>
      <c r="E531" s="6"/>
      <c r="F531" s="12"/>
    </row>
    <row r="532" customFormat="false" ht="15" hidden="false" customHeight="true" outlineLevel="0" collapsed="false">
      <c r="A532" s="6"/>
      <c r="B532" s="6"/>
      <c r="C532" s="11"/>
      <c r="D532" s="11"/>
      <c r="E532" s="6"/>
      <c r="F532" s="12"/>
    </row>
    <row r="533" customFormat="false" ht="15" hidden="false" customHeight="true" outlineLevel="0" collapsed="false">
      <c r="A533" s="6"/>
      <c r="B533" s="6"/>
      <c r="C533" s="11"/>
      <c r="D533" s="11"/>
      <c r="E533" s="6"/>
      <c r="F533" s="12"/>
    </row>
    <row r="534" customFormat="false" ht="15" hidden="false" customHeight="true" outlineLevel="0" collapsed="false">
      <c r="A534" s="6"/>
      <c r="B534" s="6"/>
      <c r="C534" s="11"/>
      <c r="D534" s="11"/>
      <c r="E534" s="6"/>
      <c r="F534" s="12"/>
    </row>
    <row r="535" customFormat="false" ht="15" hidden="false" customHeight="true" outlineLevel="0" collapsed="false">
      <c r="A535" s="6"/>
      <c r="B535" s="6"/>
      <c r="C535" s="11"/>
      <c r="D535" s="11"/>
      <c r="E535" s="6"/>
      <c r="F535" s="12"/>
    </row>
    <row r="536" customFormat="false" ht="15" hidden="false" customHeight="true" outlineLevel="0" collapsed="false">
      <c r="A536" s="6"/>
      <c r="B536" s="6"/>
      <c r="C536" s="11"/>
      <c r="D536" s="11"/>
      <c r="E536" s="6"/>
      <c r="F536" s="12"/>
    </row>
    <row r="537" customFormat="false" ht="15" hidden="false" customHeight="true" outlineLevel="0" collapsed="false">
      <c r="A537" s="6"/>
      <c r="B537" s="6"/>
      <c r="C537" s="11"/>
      <c r="D537" s="11"/>
      <c r="E537" s="6"/>
      <c r="F537" s="12"/>
    </row>
    <row r="538" customFormat="false" ht="15" hidden="false" customHeight="true" outlineLevel="0" collapsed="false">
      <c r="A538" s="6"/>
      <c r="B538" s="6"/>
      <c r="C538" s="11"/>
      <c r="D538" s="11"/>
      <c r="E538" s="6"/>
      <c r="F538" s="12"/>
    </row>
    <row r="539" customFormat="false" ht="15" hidden="false" customHeight="true" outlineLevel="0" collapsed="false">
      <c r="A539" s="6"/>
      <c r="B539" s="6"/>
      <c r="C539" s="11"/>
      <c r="D539" s="11"/>
      <c r="E539" s="6"/>
      <c r="F539" s="12"/>
    </row>
    <row r="540" customFormat="false" ht="15" hidden="false" customHeight="true" outlineLevel="0" collapsed="false">
      <c r="A540" s="6"/>
      <c r="B540" s="6"/>
      <c r="C540" s="11"/>
      <c r="D540" s="11"/>
      <c r="E540" s="6"/>
      <c r="F540" s="12"/>
    </row>
    <row r="541" customFormat="false" ht="15" hidden="false" customHeight="true" outlineLevel="0" collapsed="false">
      <c r="A541" s="6"/>
      <c r="B541" s="6"/>
      <c r="C541" s="11"/>
      <c r="D541" s="11"/>
      <c r="E541" s="6"/>
      <c r="F541" s="12"/>
    </row>
    <row r="542" customFormat="false" ht="15" hidden="false" customHeight="true" outlineLevel="0" collapsed="false">
      <c r="A542" s="6"/>
      <c r="B542" s="6"/>
      <c r="C542" s="11"/>
      <c r="D542" s="11"/>
      <c r="E542" s="6"/>
      <c r="F542" s="12"/>
    </row>
    <row r="543" customFormat="false" ht="15" hidden="false" customHeight="true" outlineLevel="0" collapsed="false">
      <c r="A543" s="6"/>
      <c r="B543" s="6"/>
      <c r="C543" s="11"/>
      <c r="D543" s="11"/>
      <c r="E543" s="6"/>
      <c r="F543" s="12"/>
    </row>
    <row r="544" customFormat="false" ht="15" hidden="false" customHeight="true" outlineLevel="0" collapsed="false">
      <c r="A544" s="6"/>
      <c r="B544" s="6"/>
      <c r="C544" s="11"/>
      <c r="D544" s="11"/>
      <c r="E544" s="6"/>
      <c r="F544" s="12"/>
    </row>
    <row r="545" customFormat="false" ht="15" hidden="false" customHeight="true" outlineLevel="0" collapsed="false">
      <c r="A545" s="6"/>
      <c r="B545" s="6"/>
      <c r="C545" s="11"/>
      <c r="D545" s="11"/>
      <c r="E545" s="6"/>
      <c r="F545" s="12"/>
    </row>
    <row r="546" customFormat="false" ht="15" hidden="false" customHeight="true" outlineLevel="0" collapsed="false">
      <c r="A546" s="6"/>
      <c r="B546" s="6"/>
      <c r="C546" s="11"/>
      <c r="D546" s="11"/>
      <c r="E546" s="6"/>
      <c r="F546" s="12"/>
    </row>
    <row r="547" customFormat="false" ht="15" hidden="false" customHeight="true" outlineLevel="0" collapsed="false">
      <c r="A547" s="6"/>
      <c r="B547" s="6"/>
      <c r="C547" s="11"/>
      <c r="D547" s="11"/>
      <c r="E547" s="6"/>
      <c r="F547" s="12"/>
    </row>
    <row r="548" customFormat="false" ht="15" hidden="false" customHeight="true" outlineLevel="0" collapsed="false">
      <c r="A548" s="6"/>
      <c r="B548" s="6"/>
      <c r="C548" s="11"/>
      <c r="D548" s="11"/>
      <c r="E548" s="6"/>
      <c r="F548" s="12"/>
    </row>
    <row r="549" customFormat="false" ht="15" hidden="false" customHeight="true" outlineLevel="0" collapsed="false">
      <c r="A549" s="6"/>
      <c r="B549" s="6"/>
      <c r="C549" s="11"/>
      <c r="D549" s="11"/>
      <c r="E549" s="6"/>
      <c r="F549" s="12"/>
    </row>
    <row r="550" customFormat="false" ht="15" hidden="false" customHeight="true" outlineLevel="0" collapsed="false">
      <c r="A550" s="6"/>
      <c r="B550" s="6"/>
      <c r="C550" s="11"/>
      <c r="D550" s="11"/>
      <c r="E550" s="6"/>
      <c r="F550" s="12"/>
    </row>
    <row r="551" customFormat="false" ht="15" hidden="false" customHeight="true" outlineLevel="0" collapsed="false">
      <c r="A551" s="6"/>
      <c r="B551" s="6"/>
      <c r="C551" s="11"/>
      <c r="D551" s="11"/>
      <c r="E551" s="6"/>
      <c r="F551" s="12"/>
    </row>
    <row r="552" customFormat="false" ht="15" hidden="false" customHeight="true" outlineLevel="0" collapsed="false">
      <c r="A552" s="6"/>
      <c r="B552" s="6"/>
      <c r="C552" s="11"/>
      <c r="D552" s="11"/>
      <c r="E552" s="6"/>
      <c r="F552" s="12"/>
    </row>
    <row r="553" customFormat="false" ht="15" hidden="false" customHeight="true" outlineLevel="0" collapsed="false">
      <c r="A553" s="6"/>
      <c r="B553" s="6"/>
      <c r="C553" s="11"/>
      <c r="D553" s="11"/>
      <c r="E553" s="6"/>
      <c r="F553" s="12"/>
    </row>
    <row r="554" customFormat="false" ht="15" hidden="false" customHeight="true" outlineLevel="0" collapsed="false">
      <c r="A554" s="6"/>
      <c r="B554" s="6"/>
      <c r="C554" s="11"/>
      <c r="D554" s="11"/>
      <c r="E554" s="6"/>
      <c r="F554" s="12"/>
    </row>
    <row r="555" customFormat="false" ht="15" hidden="false" customHeight="true" outlineLevel="0" collapsed="false">
      <c r="A555" s="6"/>
      <c r="B555" s="6"/>
      <c r="C555" s="11"/>
      <c r="D555" s="11"/>
      <c r="E555" s="6"/>
      <c r="F555" s="12"/>
    </row>
    <row r="556" customFormat="false" ht="15" hidden="false" customHeight="true" outlineLevel="0" collapsed="false">
      <c r="A556" s="6"/>
      <c r="B556" s="6"/>
      <c r="C556" s="11"/>
      <c r="D556" s="11"/>
      <c r="E556" s="6"/>
      <c r="F556" s="12"/>
    </row>
    <row r="557" customFormat="false" ht="15" hidden="false" customHeight="true" outlineLevel="0" collapsed="false">
      <c r="A557" s="6"/>
      <c r="B557" s="6"/>
      <c r="C557" s="11"/>
      <c r="D557" s="11"/>
      <c r="E557" s="6"/>
      <c r="F557" s="12"/>
    </row>
    <row r="558" customFormat="false" ht="15" hidden="false" customHeight="true" outlineLevel="0" collapsed="false">
      <c r="A558" s="6"/>
      <c r="B558" s="6"/>
      <c r="C558" s="11"/>
      <c r="D558" s="11"/>
      <c r="E558" s="6"/>
      <c r="F558" s="12"/>
    </row>
    <row r="559" customFormat="false" ht="15" hidden="false" customHeight="true" outlineLevel="0" collapsed="false">
      <c r="A559" s="6"/>
      <c r="B559" s="6"/>
      <c r="C559" s="11"/>
      <c r="D559" s="11"/>
      <c r="E559" s="6"/>
      <c r="F559" s="12"/>
    </row>
    <row r="560" customFormat="false" ht="15" hidden="false" customHeight="true" outlineLevel="0" collapsed="false">
      <c r="A560" s="6"/>
      <c r="B560" s="6"/>
      <c r="C560" s="11"/>
      <c r="D560" s="11"/>
      <c r="E560" s="6"/>
      <c r="F560" s="12"/>
    </row>
    <row r="561" customFormat="false" ht="15" hidden="false" customHeight="true" outlineLevel="0" collapsed="false">
      <c r="A561" s="6"/>
      <c r="B561" s="6"/>
      <c r="C561" s="11"/>
      <c r="D561" s="11"/>
      <c r="E561" s="6"/>
      <c r="F561" s="12"/>
    </row>
    <row r="562" customFormat="false" ht="15" hidden="false" customHeight="true" outlineLevel="0" collapsed="false">
      <c r="A562" s="6"/>
      <c r="B562" s="6"/>
      <c r="C562" s="11"/>
      <c r="D562" s="11"/>
      <c r="E562" s="6"/>
      <c r="F562" s="12"/>
    </row>
    <row r="563" customFormat="false" ht="15" hidden="false" customHeight="true" outlineLevel="0" collapsed="false">
      <c r="A563" s="6"/>
      <c r="B563" s="6"/>
      <c r="C563" s="11"/>
      <c r="D563" s="11"/>
      <c r="E563" s="6"/>
      <c r="F563" s="12"/>
    </row>
    <row r="564" customFormat="false" ht="15" hidden="false" customHeight="true" outlineLevel="0" collapsed="false">
      <c r="A564" s="6"/>
      <c r="B564" s="6"/>
      <c r="C564" s="11"/>
      <c r="D564" s="11"/>
      <c r="E564" s="6"/>
      <c r="F564" s="12"/>
    </row>
    <row r="565" customFormat="false" ht="15" hidden="false" customHeight="true" outlineLevel="0" collapsed="false">
      <c r="A565" s="6"/>
      <c r="B565" s="6"/>
      <c r="C565" s="11"/>
      <c r="D565" s="11"/>
      <c r="E565" s="6"/>
      <c r="F565" s="12"/>
    </row>
    <row r="566" customFormat="false" ht="15" hidden="false" customHeight="true" outlineLevel="0" collapsed="false">
      <c r="A566" s="6"/>
      <c r="B566" s="6"/>
      <c r="C566" s="11"/>
      <c r="D566" s="11"/>
      <c r="E566" s="6"/>
      <c r="F566" s="12"/>
    </row>
    <row r="567" customFormat="false" ht="15" hidden="false" customHeight="true" outlineLevel="0" collapsed="false">
      <c r="A567" s="6"/>
      <c r="B567" s="6"/>
      <c r="C567" s="11"/>
      <c r="D567" s="11"/>
      <c r="E567" s="6"/>
      <c r="F567" s="12"/>
    </row>
    <row r="568" customFormat="false" ht="15" hidden="false" customHeight="true" outlineLevel="0" collapsed="false">
      <c r="A568" s="6"/>
      <c r="B568" s="6"/>
      <c r="C568" s="11"/>
      <c r="D568" s="11"/>
      <c r="E568" s="6"/>
      <c r="F568" s="12"/>
    </row>
    <row r="569" customFormat="false" ht="15" hidden="false" customHeight="true" outlineLevel="0" collapsed="false">
      <c r="A569" s="6"/>
      <c r="B569" s="6"/>
      <c r="C569" s="11"/>
      <c r="D569" s="11"/>
      <c r="E569" s="6"/>
      <c r="F569" s="12"/>
    </row>
    <row r="570" customFormat="false" ht="15" hidden="false" customHeight="true" outlineLevel="0" collapsed="false">
      <c r="A570" s="6"/>
      <c r="B570" s="6"/>
      <c r="C570" s="11"/>
      <c r="D570" s="11"/>
      <c r="E570" s="6"/>
      <c r="F570" s="12"/>
    </row>
    <row r="571" customFormat="false" ht="15" hidden="false" customHeight="true" outlineLevel="0" collapsed="false">
      <c r="A571" s="6"/>
      <c r="B571" s="6"/>
      <c r="C571" s="11"/>
      <c r="D571" s="11"/>
      <c r="E571" s="6"/>
      <c r="F571" s="12"/>
    </row>
    <row r="572" customFormat="false" ht="15" hidden="false" customHeight="true" outlineLevel="0" collapsed="false">
      <c r="A572" s="6"/>
      <c r="B572" s="6"/>
      <c r="C572" s="11"/>
      <c r="D572" s="11"/>
      <c r="E572" s="6"/>
      <c r="F572" s="12"/>
    </row>
    <row r="573" customFormat="false" ht="15" hidden="false" customHeight="true" outlineLevel="0" collapsed="false">
      <c r="A573" s="6"/>
      <c r="B573" s="6"/>
      <c r="C573" s="11"/>
      <c r="D573" s="11"/>
      <c r="E573" s="6"/>
      <c r="F573" s="12"/>
    </row>
    <row r="574" customFormat="false" ht="15" hidden="false" customHeight="true" outlineLevel="0" collapsed="false">
      <c r="A574" s="6"/>
      <c r="B574" s="6"/>
      <c r="C574" s="11"/>
      <c r="D574" s="11"/>
      <c r="E574" s="6"/>
      <c r="F574" s="12"/>
    </row>
    <row r="575" customFormat="false" ht="15" hidden="false" customHeight="true" outlineLevel="0" collapsed="false">
      <c r="A575" s="6"/>
      <c r="B575" s="6"/>
      <c r="C575" s="11"/>
      <c r="D575" s="11"/>
      <c r="E575" s="6"/>
      <c r="F575" s="12"/>
    </row>
    <row r="576" customFormat="false" ht="15" hidden="false" customHeight="true" outlineLevel="0" collapsed="false">
      <c r="A576" s="6"/>
      <c r="B576" s="6"/>
      <c r="C576" s="11"/>
      <c r="D576" s="11"/>
      <c r="E576" s="6"/>
      <c r="F576" s="12"/>
    </row>
    <row r="577" customFormat="false" ht="15" hidden="false" customHeight="true" outlineLevel="0" collapsed="false">
      <c r="A577" s="6"/>
      <c r="B577" s="6"/>
      <c r="C577" s="11"/>
      <c r="D577" s="11"/>
      <c r="E577" s="6"/>
      <c r="F577" s="12"/>
    </row>
    <row r="578" customFormat="false" ht="15" hidden="false" customHeight="true" outlineLevel="0" collapsed="false">
      <c r="A578" s="6"/>
      <c r="B578" s="6"/>
      <c r="C578" s="11"/>
      <c r="D578" s="11"/>
      <c r="E578" s="6"/>
      <c r="F578" s="12"/>
    </row>
    <row r="579" customFormat="false" ht="15" hidden="false" customHeight="true" outlineLevel="0" collapsed="false">
      <c r="A579" s="6"/>
      <c r="B579" s="6"/>
      <c r="C579" s="11"/>
      <c r="D579" s="11"/>
      <c r="E579" s="6"/>
      <c r="F579" s="12"/>
    </row>
    <row r="580" customFormat="false" ht="15" hidden="false" customHeight="true" outlineLevel="0" collapsed="false">
      <c r="A580" s="6"/>
      <c r="B580" s="6"/>
      <c r="C580" s="11"/>
      <c r="D580" s="11"/>
      <c r="E580" s="6"/>
      <c r="F580" s="12"/>
    </row>
    <row r="581" customFormat="false" ht="15" hidden="false" customHeight="true" outlineLevel="0" collapsed="false">
      <c r="A581" s="6"/>
      <c r="B581" s="6"/>
      <c r="C581" s="11"/>
      <c r="D581" s="11"/>
      <c r="E581" s="6"/>
      <c r="F581" s="12"/>
    </row>
    <row r="582" customFormat="false" ht="15" hidden="false" customHeight="true" outlineLevel="0" collapsed="false">
      <c r="A582" s="6"/>
      <c r="B582" s="6"/>
      <c r="C582" s="11"/>
      <c r="D582" s="11"/>
      <c r="E582" s="6"/>
      <c r="F582" s="12"/>
    </row>
    <row r="583" customFormat="false" ht="15" hidden="false" customHeight="true" outlineLevel="0" collapsed="false">
      <c r="A583" s="6"/>
      <c r="B583" s="6"/>
      <c r="C583" s="11"/>
      <c r="D583" s="11"/>
      <c r="E583" s="6"/>
      <c r="F583" s="12"/>
    </row>
    <row r="584" customFormat="false" ht="15" hidden="false" customHeight="true" outlineLevel="0" collapsed="false">
      <c r="A584" s="6"/>
      <c r="B584" s="6"/>
      <c r="C584" s="11"/>
      <c r="D584" s="11"/>
      <c r="E584" s="6"/>
      <c r="F584" s="12"/>
    </row>
    <row r="585" customFormat="false" ht="15" hidden="false" customHeight="true" outlineLevel="0" collapsed="false">
      <c r="A585" s="6"/>
      <c r="B585" s="6"/>
      <c r="C585" s="11"/>
      <c r="D585" s="11"/>
      <c r="E585" s="6"/>
      <c r="F585" s="12"/>
    </row>
    <row r="586" customFormat="false" ht="15" hidden="false" customHeight="true" outlineLevel="0" collapsed="false">
      <c r="A586" s="6"/>
      <c r="B586" s="6"/>
      <c r="C586" s="11"/>
      <c r="D586" s="11"/>
      <c r="E586" s="6"/>
      <c r="F586" s="12"/>
    </row>
    <row r="587" customFormat="false" ht="15" hidden="false" customHeight="true" outlineLevel="0" collapsed="false">
      <c r="A587" s="6"/>
      <c r="B587" s="6"/>
      <c r="C587" s="11"/>
      <c r="D587" s="11"/>
      <c r="E587" s="6"/>
      <c r="F587" s="12"/>
    </row>
    <row r="588" customFormat="false" ht="15" hidden="false" customHeight="true" outlineLevel="0" collapsed="false">
      <c r="A588" s="6"/>
      <c r="B588" s="6"/>
      <c r="C588" s="11"/>
      <c r="D588" s="11"/>
      <c r="E588" s="6"/>
      <c r="F588" s="12"/>
    </row>
    <row r="589" customFormat="false" ht="15" hidden="false" customHeight="true" outlineLevel="0" collapsed="false">
      <c r="A589" s="6"/>
      <c r="B589" s="6"/>
      <c r="C589" s="11"/>
      <c r="D589" s="11"/>
      <c r="E589" s="6"/>
      <c r="F589" s="12"/>
    </row>
    <row r="590" customFormat="false" ht="15" hidden="false" customHeight="true" outlineLevel="0" collapsed="false">
      <c r="A590" s="6"/>
      <c r="B590" s="6"/>
      <c r="C590" s="11"/>
      <c r="D590" s="11"/>
      <c r="E590" s="6"/>
      <c r="F590" s="12"/>
    </row>
    <row r="591" customFormat="false" ht="15" hidden="false" customHeight="true" outlineLevel="0" collapsed="false">
      <c r="A591" s="6"/>
      <c r="B591" s="6"/>
      <c r="C591" s="11"/>
      <c r="D591" s="11"/>
      <c r="E591" s="6"/>
      <c r="F591" s="12"/>
    </row>
    <row r="592" customFormat="false" ht="15" hidden="false" customHeight="true" outlineLevel="0" collapsed="false">
      <c r="A592" s="6"/>
      <c r="B592" s="6"/>
      <c r="C592" s="11"/>
      <c r="D592" s="11"/>
      <c r="E592" s="6"/>
      <c r="F592" s="12"/>
    </row>
    <row r="593" customFormat="false" ht="15" hidden="false" customHeight="true" outlineLevel="0" collapsed="false">
      <c r="A593" s="6"/>
      <c r="B593" s="6"/>
      <c r="C593" s="11"/>
      <c r="D593" s="11"/>
      <c r="E593" s="6"/>
      <c r="F593" s="12"/>
    </row>
    <row r="594" customFormat="false" ht="15" hidden="false" customHeight="true" outlineLevel="0" collapsed="false">
      <c r="A594" s="6"/>
      <c r="B594" s="6"/>
      <c r="C594" s="11"/>
      <c r="D594" s="11"/>
      <c r="E594" s="6"/>
      <c r="F594" s="12"/>
    </row>
    <row r="595" customFormat="false" ht="15" hidden="false" customHeight="true" outlineLevel="0" collapsed="false">
      <c r="A595" s="6"/>
      <c r="B595" s="6"/>
      <c r="C595" s="11"/>
      <c r="D595" s="11"/>
      <c r="E595" s="6"/>
      <c r="F595" s="12"/>
    </row>
    <row r="596" customFormat="false" ht="15" hidden="false" customHeight="true" outlineLevel="0" collapsed="false">
      <c r="A596" s="6"/>
      <c r="B596" s="6"/>
      <c r="C596" s="11"/>
      <c r="D596" s="11"/>
      <c r="E596" s="6"/>
      <c r="F596" s="12"/>
    </row>
    <row r="597" customFormat="false" ht="15" hidden="false" customHeight="true" outlineLevel="0" collapsed="false">
      <c r="A597" s="6"/>
      <c r="B597" s="6"/>
      <c r="C597" s="11"/>
      <c r="D597" s="11"/>
      <c r="E597" s="6"/>
      <c r="F597" s="12"/>
    </row>
    <row r="598" customFormat="false" ht="15" hidden="false" customHeight="true" outlineLevel="0" collapsed="false">
      <c r="A598" s="6"/>
      <c r="B598" s="6"/>
      <c r="C598" s="11"/>
      <c r="D598" s="11"/>
      <c r="E598" s="6"/>
      <c r="F598" s="12"/>
    </row>
    <row r="599" customFormat="false" ht="15" hidden="false" customHeight="true" outlineLevel="0" collapsed="false">
      <c r="A599" s="6"/>
      <c r="B599" s="6"/>
      <c r="C599" s="11"/>
      <c r="D599" s="11"/>
      <c r="E599" s="6"/>
      <c r="F599" s="12"/>
    </row>
    <row r="600" customFormat="false" ht="15" hidden="false" customHeight="true" outlineLevel="0" collapsed="false">
      <c r="A600" s="6"/>
      <c r="B600" s="6"/>
      <c r="C600" s="11"/>
      <c r="D600" s="11"/>
      <c r="E600" s="6"/>
      <c r="F600" s="12"/>
    </row>
    <row r="601" customFormat="false" ht="15" hidden="false" customHeight="true" outlineLevel="0" collapsed="false">
      <c r="A601" s="6"/>
      <c r="B601" s="6"/>
      <c r="C601" s="11"/>
      <c r="D601" s="11"/>
      <c r="E601" s="6"/>
      <c r="F601" s="12"/>
    </row>
    <row r="602" customFormat="false" ht="15" hidden="false" customHeight="true" outlineLevel="0" collapsed="false">
      <c r="A602" s="6"/>
      <c r="B602" s="6"/>
      <c r="C602" s="11"/>
      <c r="D602" s="11"/>
      <c r="E602" s="6"/>
      <c r="F602" s="12"/>
    </row>
    <row r="603" customFormat="false" ht="15" hidden="false" customHeight="true" outlineLevel="0" collapsed="false">
      <c r="A603" s="6"/>
      <c r="B603" s="6"/>
      <c r="C603" s="11"/>
      <c r="D603" s="11"/>
      <c r="E603" s="6"/>
      <c r="F603" s="12"/>
    </row>
    <row r="604" customFormat="false" ht="15" hidden="false" customHeight="true" outlineLevel="0" collapsed="false">
      <c r="A604" s="6"/>
      <c r="B604" s="6"/>
      <c r="C604" s="11"/>
      <c r="D604" s="11"/>
      <c r="E604" s="6"/>
      <c r="F604" s="12"/>
    </row>
    <row r="605" customFormat="false" ht="15" hidden="false" customHeight="true" outlineLevel="0" collapsed="false">
      <c r="A605" s="6"/>
      <c r="B605" s="6"/>
      <c r="C605" s="11"/>
      <c r="D605" s="11"/>
      <c r="E605" s="6"/>
      <c r="F605" s="12"/>
    </row>
    <row r="606" customFormat="false" ht="15" hidden="false" customHeight="true" outlineLevel="0" collapsed="false">
      <c r="A606" s="6"/>
      <c r="B606" s="6"/>
      <c r="C606" s="11"/>
      <c r="D606" s="11"/>
      <c r="E606" s="6"/>
      <c r="F606" s="12"/>
    </row>
    <row r="607" customFormat="false" ht="15" hidden="false" customHeight="true" outlineLevel="0" collapsed="false">
      <c r="A607" s="6"/>
      <c r="B607" s="6"/>
      <c r="C607" s="11"/>
      <c r="D607" s="11"/>
      <c r="E607" s="6"/>
      <c r="F607" s="12"/>
    </row>
    <row r="608" customFormat="false" ht="15" hidden="false" customHeight="true" outlineLevel="0" collapsed="false">
      <c r="A608" s="6"/>
      <c r="B608" s="6"/>
      <c r="C608" s="11"/>
      <c r="D608" s="11"/>
      <c r="E608" s="6"/>
      <c r="F608" s="12"/>
    </row>
    <row r="609" customFormat="false" ht="15" hidden="false" customHeight="true" outlineLevel="0" collapsed="false">
      <c r="A609" s="6"/>
      <c r="B609" s="6"/>
      <c r="C609" s="11"/>
      <c r="D609" s="11"/>
      <c r="E609" s="6"/>
      <c r="F609" s="12"/>
    </row>
    <row r="610" customFormat="false" ht="15" hidden="false" customHeight="true" outlineLevel="0" collapsed="false">
      <c r="A610" s="6"/>
      <c r="B610" s="6"/>
      <c r="C610" s="11"/>
      <c r="D610" s="11"/>
      <c r="E610" s="6"/>
      <c r="F610" s="12"/>
    </row>
    <row r="611" customFormat="false" ht="15" hidden="false" customHeight="true" outlineLevel="0" collapsed="false">
      <c r="A611" s="6"/>
      <c r="B611" s="6"/>
      <c r="C611" s="11"/>
      <c r="D611" s="11"/>
      <c r="E611" s="6"/>
      <c r="F611" s="12"/>
    </row>
    <row r="612" customFormat="false" ht="15" hidden="false" customHeight="true" outlineLevel="0" collapsed="false">
      <c r="A612" s="6"/>
      <c r="B612" s="6"/>
      <c r="C612" s="11"/>
      <c r="D612" s="11"/>
      <c r="E612" s="6"/>
      <c r="F612" s="12"/>
    </row>
    <row r="613" customFormat="false" ht="15" hidden="false" customHeight="true" outlineLevel="0" collapsed="false">
      <c r="A613" s="6"/>
      <c r="B613" s="6"/>
      <c r="C613" s="11"/>
      <c r="D613" s="11"/>
      <c r="E613" s="6"/>
      <c r="F613" s="12"/>
    </row>
    <row r="614" customFormat="false" ht="15" hidden="false" customHeight="true" outlineLevel="0" collapsed="false">
      <c r="A614" s="6"/>
      <c r="B614" s="6"/>
      <c r="C614" s="11"/>
      <c r="D614" s="11"/>
      <c r="E614" s="6"/>
      <c r="F614" s="12"/>
    </row>
    <row r="615" customFormat="false" ht="15" hidden="false" customHeight="true" outlineLevel="0" collapsed="false">
      <c r="A615" s="6"/>
      <c r="B615" s="6"/>
      <c r="C615" s="11"/>
      <c r="D615" s="11"/>
      <c r="E615" s="6"/>
      <c r="F615" s="12"/>
    </row>
    <row r="616" customFormat="false" ht="15" hidden="false" customHeight="true" outlineLevel="0" collapsed="false">
      <c r="A616" s="6"/>
      <c r="B616" s="6"/>
      <c r="C616" s="11"/>
      <c r="D616" s="11"/>
      <c r="E616" s="6"/>
      <c r="F616" s="12"/>
    </row>
    <row r="617" customFormat="false" ht="15" hidden="false" customHeight="true" outlineLevel="0" collapsed="false">
      <c r="A617" s="6"/>
      <c r="B617" s="6"/>
      <c r="C617" s="11"/>
      <c r="D617" s="11"/>
      <c r="E617" s="6"/>
      <c r="F617" s="12"/>
    </row>
    <row r="618" customFormat="false" ht="15" hidden="false" customHeight="true" outlineLevel="0" collapsed="false">
      <c r="A618" s="6"/>
      <c r="B618" s="6"/>
      <c r="C618" s="11"/>
      <c r="D618" s="11"/>
      <c r="E618" s="6"/>
      <c r="F618" s="12"/>
    </row>
    <row r="619" customFormat="false" ht="15" hidden="false" customHeight="true" outlineLevel="0" collapsed="false">
      <c r="A619" s="6"/>
      <c r="B619" s="6"/>
      <c r="C619" s="11"/>
      <c r="D619" s="11"/>
      <c r="E619" s="6"/>
      <c r="F619" s="12"/>
    </row>
    <row r="620" customFormat="false" ht="15" hidden="false" customHeight="true" outlineLevel="0" collapsed="false">
      <c r="A620" s="6"/>
      <c r="B620" s="6"/>
      <c r="C620" s="11"/>
      <c r="D620" s="11"/>
      <c r="E620" s="6"/>
      <c r="F620" s="12"/>
    </row>
    <row r="621" customFormat="false" ht="15" hidden="false" customHeight="true" outlineLevel="0" collapsed="false">
      <c r="A621" s="6"/>
      <c r="B621" s="6"/>
      <c r="C621" s="11"/>
      <c r="D621" s="11"/>
      <c r="E621" s="6"/>
      <c r="F621" s="12"/>
    </row>
    <row r="622" customFormat="false" ht="15" hidden="false" customHeight="true" outlineLevel="0" collapsed="false">
      <c r="A622" s="6"/>
      <c r="B622" s="6"/>
      <c r="C622" s="11"/>
      <c r="D622" s="11"/>
      <c r="E622" s="6"/>
      <c r="F622" s="12"/>
    </row>
    <row r="623" customFormat="false" ht="15" hidden="false" customHeight="true" outlineLevel="0" collapsed="false">
      <c r="A623" s="6"/>
      <c r="B623" s="6"/>
      <c r="C623" s="11"/>
      <c r="D623" s="11"/>
      <c r="E623" s="6"/>
      <c r="F623" s="12"/>
    </row>
    <row r="624" customFormat="false" ht="15" hidden="false" customHeight="true" outlineLevel="0" collapsed="false">
      <c r="A624" s="6"/>
      <c r="B624" s="6"/>
      <c r="C624" s="11"/>
      <c r="D624" s="11"/>
      <c r="E624" s="6"/>
      <c r="F624" s="12"/>
    </row>
    <row r="625" customFormat="false" ht="15" hidden="false" customHeight="true" outlineLevel="0" collapsed="false">
      <c r="A625" s="6"/>
      <c r="B625" s="6"/>
      <c r="C625" s="11"/>
      <c r="D625" s="11"/>
      <c r="E625" s="6"/>
      <c r="F625" s="12"/>
    </row>
    <row r="626" customFormat="false" ht="15" hidden="false" customHeight="true" outlineLevel="0" collapsed="false">
      <c r="A626" s="6"/>
      <c r="B626" s="6"/>
      <c r="C626" s="11"/>
      <c r="D626" s="11"/>
      <c r="E626" s="6"/>
      <c r="F626" s="12"/>
    </row>
    <row r="627" customFormat="false" ht="15" hidden="false" customHeight="true" outlineLevel="0" collapsed="false">
      <c r="A627" s="6"/>
      <c r="B627" s="6"/>
      <c r="C627" s="11"/>
      <c r="D627" s="11"/>
      <c r="E627" s="6"/>
      <c r="F627" s="12"/>
    </row>
    <row r="628" customFormat="false" ht="15" hidden="false" customHeight="true" outlineLevel="0" collapsed="false">
      <c r="A628" s="6"/>
      <c r="B628" s="6"/>
      <c r="C628" s="11"/>
      <c r="D628" s="11"/>
      <c r="E628" s="6"/>
      <c r="F628" s="12"/>
    </row>
    <row r="629" customFormat="false" ht="15" hidden="false" customHeight="true" outlineLevel="0" collapsed="false">
      <c r="A629" s="6"/>
      <c r="B629" s="6"/>
      <c r="C629" s="11"/>
      <c r="D629" s="11"/>
      <c r="E629" s="6"/>
      <c r="F629" s="12"/>
    </row>
    <row r="630" customFormat="false" ht="15" hidden="false" customHeight="true" outlineLevel="0" collapsed="false">
      <c r="A630" s="6"/>
      <c r="B630" s="6"/>
      <c r="C630" s="11"/>
      <c r="D630" s="11"/>
      <c r="E630" s="6"/>
      <c r="F630" s="12"/>
    </row>
    <row r="631" customFormat="false" ht="15" hidden="false" customHeight="true" outlineLevel="0" collapsed="false">
      <c r="A631" s="6"/>
      <c r="B631" s="6"/>
      <c r="C631" s="11"/>
      <c r="D631" s="11"/>
      <c r="E631" s="6"/>
      <c r="F631" s="12"/>
    </row>
    <row r="632" customFormat="false" ht="15" hidden="false" customHeight="true" outlineLevel="0" collapsed="false">
      <c r="A632" s="6"/>
      <c r="B632" s="6"/>
      <c r="C632" s="11"/>
      <c r="D632" s="11"/>
      <c r="E632" s="6"/>
      <c r="F632" s="12"/>
    </row>
    <row r="633" customFormat="false" ht="15" hidden="false" customHeight="true" outlineLevel="0" collapsed="false">
      <c r="A633" s="6"/>
      <c r="B633" s="6"/>
      <c r="C633" s="11"/>
      <c r="D633" s="11"/>
      <c r="E633" s="6"/>
      <c r="F633" s="12"/>
    </row>
    <row r="634" customFormat="false" ht="15" hidden="false" customHeight="true" outlineLevel="0" collapsed="false">
      <c r="A634" s="6"/>
      <c r="B634" s="6"/>
      <c r="C634" s="11"/>
      <c r="D634" s="11"/>
      <c r="E634" s="6"/>
      <c r="F634" s="12"/>
    </row>
    <row r="635" customFormat="false" ht="15" hidden="false" customHeight="true" outlineLevel="0" collapsed="false">
      <c r="A635" s="6"/>
      <c r="B635" s="6"/>
      <c r="C635" s="11"/>
      <c r="D635" s="11"/>
      <c r="E635" s="6"/>
      <c r="F635" s="12"/>
    </row>
    <row r="636" customFormat="false" ht="15" hidden="false" customHeight="true" outlineLevel="0" collapsed="false">
      <c r="A636" s="6"/>
      <c r="B636" s="6"/>
      <c r="C636" s="11"/>
      <c r="D636" s="11"/>
      <c r="E636" s="6"/>
      <c r="F636" s="12"/>
    </row>
    <row r="637" customFormat="false" ht="15" hidden="false" customHeight="true" outlineLevel="0" collapsed="false">
      <c r="A637" s="6"/>
      <c r="B637" s="6"/>
      <c r="C637" s="11"/>
      <c r="D637" s="11"/>
      <c r="E637" s="6"/>
      <c r="F637" s="12"/>
    </row>
    <row r="638" customFormat="false" ht="15" hidden="false" customHeight="true" outlineLevel="0" collapsed="false">
      <c r="A638" s="6"/>
      <c r="B638" s="6"/>
      <c r="C638" s="11"/>
      <c r="D638" s="11"/>
      <c r="E638" s="6"/>
      <c r="F638" s="12"/>
    </row>
    <row r="639" customFormat="false" ht="15" hidden="false" customHeight="true" outlineLevel="0" collapsed="false">
      <c r="A639" s="6"/>
      <c r="B639" s="6"/>
      <c r="C639" s="11"/>
      <c r="D639" s="11"/>
      <c r="E639" s="6"/>
      <c r="F639" s="12"/>
    </row>
    <row r="640" customFormat="false" ht="15" hidden="false" customHeight="true" outlineLevel="0" collapsed="false">
      <c r="A640" s="6"/>
      <c r="B640" s="6"/>
      <c r="C640" s="11"/>
      <c r="D640" s="11"/>
      <c r="E640" s="6"/>
      <c r="F640" s="12"/>
    </row>
    <row r="641" customFormat="false" ht="15" hidden="false" customHeight="true" outlineLevel="0" collapsed="false">
      <c r="A641" s="6"/>
      <c r="B641" s="6"/>
      <c r="C641" s="11"/>
      <c r="D641" s="11"/>
      <c r="E641" s="6"/>
      <c r="F641" s="12"/>
    </row>
    <row r="642" customFormat="false" ht="15" hidden="false" customHeight="true" outlineLevel="0" collapsed="false">
      <c r="A642" s="6"/>
      <c r="B642" s="6"/>
      <c r="C642" s="11"/>
      <c r="D642" s="11"/>
      <c r="E642" s="6"/>
      <c r="F642" s="12"/>
    </row>
    <row r="643" customFormat="false" ht="15" hidden="false" customHeight="true" outlineLevel="0" collapsed="false">
      <c r="A643" s="6"/>
      <c r="B643" s="6"/>
      <c r="C643" s="11"/>
      <c r="D643" s="11"/>
      <c r="E643" s="6"/>
      <c r="F643" s="12"/>
    </row>
    <row r="644" customFormat="false" ht="15" hidden="false" customHeight="true" outlineLevel="0" collapsed="false">
      <c r="A644" s="6"/>
      <c r="B644" s="6"/>
      <c r="C644" s="11"/>
      <c r="D644" s="11"/>
      <c r="E644" s="6"/>
      <c r="F644" s="12"/>
    </row>
    <row r="645" customFormat="false" ht="15" hidden="false" customHeight="true" outlineLevel="0" collapsed="false">
      <c r="A645" s="6"/>
      <c r="B645" s="6"/>
      <c r="C645" s="11"/>
      <c r="D645" s="11"/>
      <c r="E645" s="6"/>
      <c r="F645" s="12"/>
    </row>
    <row r="646" customFormat="false" ht="15" hidden="false" customHeight="true" outlineLevel="0" collapsed="false">
      <c r="A646" s="6"/>
      <c r="B646" s="6"/>
      <c r="C646" s="11"/>
      <c r="D646" s="11"/>
      <c r="E646" s="6"/>
      <c r="F646" s="12"/>
    </row>
    <row r="647" customFormat="false" ht="15" hidden="false" customHeight="true" outlineLevel="0" collapsed="false">
      <c r="A647" s="6"/>
      <c r="B647" s="6"/>
      <c r="C647" s="11"/>
      <c r="D647" s="11"/>
      <c r="E647" s="6"/>
      <c r="F647" s="12"/>
    </row>
    <row r="648" customFormat="false" ht="15" hidden="false" customHeight="true" outlineLevel="0" collapsed="false">
      <c r="A648" s="6"/>
      <c r="B648" s="6"/>
      <c r="C648" s="11"/>
      <c r="D648" s="11"/>
      <c r="E648" s="6"/>
      <c r="F648" s="12"/>
    </row>
    <row r="649" customFormat="false" ht="15" hidden="false" customHeight="true" outlineLevel="0" collapsed="false">
      <c r="A649" s="6"/>
      <c r="B649" s="6"/>
      <c r="C649" s="11"/>
      <c r="D649" s="11"/>
      <c r="E649" s="6"/>
      <c r="F649" s="12"/>
    </row>
    <row r="650" customFormat="false" ht="15" hidden="false" customHeight="true" outlineLevel="0" collapsed="false">
      <c r="A650" s="6"/>
      <c r="B650" s="6"/>
      <c r="C650" s="11"/>
      <c r="D650" s="11"/>
      <c r="E650" s="6"/>
      <c r="F650" s="12"/>
    </row>
    <row r="651" customFormat="false" ht="15" hidden="false" customHeight="true" outlineLevel="0" collapsed="false">
      <c r="A651" s="6"/>
      <c r="B651" s="6"/>
      <c r="C651" s="11"/>
      <c r="D651" s="11"/>
      <c r="E651" s="6"/>
      <c r="F651" s="12"/>
    </row>
    <row r="652" customFormat="false" ht="15" hidden="false" customHeight="true" outlineLevel="0" collapsed="false">
      <c r="A652" s="6"/>
      <c r="B652" s="6"/>
      <c r="C652" s="11"/>
      <c r="D652" s="11"/>
      <c r="E652" s="6"/>
      <c r="F652" s="12"/>
    </row>
    <row r="653" customFormat="false" ht="15" hidden="false" customHeight="true" outlineLevel="0" collapsed="false">
      <c r="A653" s="6"/>
      <c r="B653" s="6"/>
      <c r="C653" s="11"/>
      <c r="D653" s="11"/>
      <c r="E653" s="6"/>
      <c r="F653" s="12"/>
    </row>
    <row r="654" customFormat="false" ht="15" hidden="false" customHeight="true" outlineLevel="0" collapsed="false">
      <c r="A654" s="6"/>
      <c r="B654" s="6"/>
      <c r="C654" s="11"/>
      <c r="D654" s="11"/>
      <c r="E654" s="6"/>
      <c r="F654" s="12"/>
    </row>
    <row r="655" customFormat="false" ht="15" hidden="false" customHeight="true" outlineLevel="0" collapsed="false">
      <c r="A655" s="6"/>
      <c r="B655" s="6"/>
      <c r="C655" s="11"/>
      <c r="D655" s="11"/>
      <c r="E655" s="6"/>
      <c r="F655" s="12"/>
    </row>
    <row r="656" customFormat="false" ht="15" hidden="false" customHeight="true" outlineLevel="0" collapsed="false">
      <c r="A656" s="6"/>
      <c r="B656" s="6"/>
      <c r="C656" s="11"/>
      <c r="D656" s="11"/>
      <c r="E656" s="6"/>
      <c r="F656" s="12"/>
    </row>
    <row r="657" customFormat="false" ht="15" hidden="false" customHeight="true" outlineLevel="0" collapsed="false">
      <c r="A657" s="6"/>
      <c r="B657" s="6"/>
      <c r="C657" s="11"/>
      <c r="D657" s="11"/>
      <c r="E657" s="6"/>
      <c r="F657" s="12"/>
    </row>
    <row r="658" customFormat="false" ht="15" hidden="false" customHeight="true" outlineLevel="0" collapsed="false">
      <c r="A658" s="6"/>
      <c r="B658" s="6"/>
      <c r="C658" s="11"/>
      <c r="D658" s="11"/>
      <c r="E658" s="6"/>
      <c r="F658" s="12"/>
    </row>
    <row r="659" customFormat="false" ht="15" hidden="false" customHeight="true" outlineLevel="0" collapsed="false">
      <c r="A659" s="6"/>
      <c r="B659" s="6"/>
      <c r="C659" s="11"/>
      <c r="D659" s="11"/>
      <c r="E659" s="6"/>
      <c r="F659" s="12"/>
    </row>
    <row r="660" customFormat="false" ht="15" hidden="false" customHeight="true" outlineLevel="0" collapsed="false">
      <c r="A660" s="6"/>
      <c r="B660" s="6"/>
      <c r="C660" s="11"/>
      <c r="D660" s="11"/>
      <c r="E660" s="6"/>
      <c r="F660" s="12"/>
    </row>
    <row r="661" customFormat="false" ht="15" hidden="false" customHeight="true" outlineLevel="0" collapsed="false">
      <c r="A661" s="6"/>
      <c r="B661" s="6"/>
      <c r="C661" s="11"/>
      <c r="D661" s="11"/>
      <c r="E661" s="6"/>
      <c r="F661" s="12"/>
    </row>
    <row r="662" customFormat="false" ht="15" hidden="false" customHeight="true" outlineLevel="0" collapsed="false">
      <c r="A662" s="6"/>
      <c r="B662" s="6"/>
      <c r="C662" s="11"/>
      <c r="D662" s="11"/>
      <c r="E662" s="6"/>
      <c r="F662" s="12"/>
    </row>
    <row r="663" customFormat="false" ht="15" hidden="false" customHeight="true" outlineLevel="0" collapsed="false">
      <c r="A663" s="6"/>
      <c r="B663" s="6"/>
      <c r="C663" s="11"/>
      <c r="D663" s="11"/>
      <c r="E663" s="6"/>
      <c r="F663" s="12"/>
    </row>
    <row r="664" customFormat="false" ht="15" hidden="false" customHeight="true" outlineLevel="0" collapsed="false">
      <c r="A664" s="6"/>
      <c r="B664" s="6"/>
      <c r="C664" s="11"/>
      <c r="D664" s="11"/>
      <c r="E664" s="6"/>
      <c r="F664" s="12"/>
    </row>
    <row r="665" customFormat="false" ht="15" hidden="false" customHeight="true" outlineLevel="0" collapsed="false">
      <c r="A665" s="6"/>
      <c r="B665" s="6"/>
      <c r="C665" s="11"/>
      <c r="D665" s="11"/>
      <c r="E665" s="6"/>
      <c r="F665" s="12"/>
    </row>
    <row r="666" customFormat="false" ht="15" hidden="false" customHeight="true" outlineLevel="0" collapsed="false">
      <c r="A666" s="6"/>
      <c r="B666" s="6"/>
      <c r="C666" s="11"/>
      <c r="D666" s="11"/>
      <c r="E666" s="6"/>
      <c r="F666" s="12"/>
    </row>
    <row r="667" customFormat="false" ht="15" hidden="false" customHeight="true" outlineLevel="0" collapsed="false">
      <c r="A667" s="6"/>
      <c r="B667" s="6"/>
      <c r="C667" s="11"/>
      <c r="D667" s="11"/>
      <c r="E667" s="6"/>
      <c r="F667" s="12"/>
    </row>
    <row r="668" customFormat="false" ht="15" hidden="false" customHeight="true" outlineLevel="0" collapsed="false">
      <c r="A668" s="6"/>
      <c r="B668" s="6"/>
      <c r="C668" s="11"/>
      <c r="D668" s="11"/>
      <c r="E668" s="6"/>
      <c r="F668" s="12"/>
    </row>
    <row r="669" customFormat="false" ht="15" hidden="false" customHeight="true" outlineLevel="0" collapsed="false">
      <c r="A669" s="6"/>
      <c r="B669" s="6"/>
      <c r="C669" s="11"/>
      <c r="D669" s="11"/>
      <c r="E669" s="6"/>
      <c r="F669" s="12"/>
    </row>
    <row r="670" customFormat="false" ht="15" hidden="false" customHeight="true" outlineLevel="0" collapsed="false">
      <c r="A670" s="6"/>
      <c r="B670" s="6"/>
      <c r="C670" s="11"/>
      <c r="D670" s="11"/>
      <c r="E670" s="6"/>
      <c r="F670" s="12"/>
    </row>
    <row r="671" customFormat="false" ht="15" hidden="false" customHeight="true" outlineLevel="0" collapsed="false">
      <c r="A671" s="6"/>
      <c r="B671" s="6"/>
      <c r="C671" s="11"/>
      <c r="D671" s="11"/>
      <c r="E671" s="6"/>
      <c r="F671" s="12"/>
    </row>
    <row r="672" customFormat="false" ht="15" hidden="false" customHeight="true" outlineLevel="0" collapsed="false">
      <c r="A672" s="6"/>
      <c r="B672" s="6"/>
      <c r="C672" s="11"/>
      <c r="D672" s="11"/>
      <c r="E672" s="6"/>
      <c r="F672" s="12"/>
    </row>
    <row r="673" customFormat="false" ht="15" hidden="false" customHeight="true" outlineLevel="0" collapsed="false">
      <c r="A673" s="6"/>
      <c r="B673" s="6"/>
      <c r="C673" s="11"/>
      <c r="D673" s="11"/>
      <c r="E673" s="6"/>
      <c r="F673" s="12"/>
    </row>
    <row r="674" customFormat="false" ht="15" hidden="false" customHeight="true" outlineLevel="0" collapsed="false">
      <c r="A674" s="6"/>
      <c r="B674" s="6"/>
      <c r="C674" s="11"/>
      <c r="D674" s="11"/>
      <c r="E674" s="6"/>
      <c r="F674" s="12"/>
    </row>
    <row r="675" customFormat="false" ht="15" hidden="false" customHeight="true" outlineLevel="0" collapsed="false">
      <c r="A675" s="6"/>
      <c r="B675" s="6"/>
      <c r="C675" s="11"/>
      <c r="D675" s="11"/>
      <c r="E675" s="6"/>
      <c r="F675" s="12"/>
    </row>
    <row r="676" customFormat="false" ht="15" hidden="false" customHeight="true" outlineLevel="0" collapsed="false">
      <c r="A676" s="6"/>
      <c r="B676" s="6"/>
      <c r="C676" s="11"/>
      <c r="D676" s="11"/>
      <c r="E676" s="6"/>
      <c r="F676" s="12"/>
    </row>
    <row r="677" customFormat="false" ht="15" hidden="false" customHeight="true" outlineLevel="0" collapsed="false">
      <c r="A677" s="6"/>
      <c r="B677" s="6"/>
      <c r="C677" s="11"/>
      <c r="D677" s="11"/>
      <c r="E677" s="6"/>
      <c r="F677" s="12"/>
    </row>
    <row r="678" customFormat="false" ht="15" hidden="false" customHeight="true" outlineLevel="0" collapsed="false">
      <c r="A678" s="6"/>
      <c r="B678" s="6"/>
      <c r="C678" s="11"/>
      <c r="D678" s="11"/>
      <c r="E678" s="6"/>
      <c r="F678" s="12"/>
    </row>
    <row r="679" customFormat="false" ht="15" hidden="false" customHeight="true" outlineLevel="0" collapsed="false">
      <c r="A679" s="6"/>
      <c r="B679" s="6"/>
      <c r="C679" s="11"/>
      <c r="D679" s="11"/>
      <c r="E679" s="6"/>
      <c r="F679" s="12"/>
    </row>
    <row r="680" customFormat="false" ht="15" hidden="false" customHeight="true" outlineLevel="0" collapsed="false">
      <c r="A680" s="6"/>
      <c r="B680" s="6"/>
      <c r="C680" s="11"/>
      <c r="D680" s="11"/>
      <c r="E680" s="6"/>
      <c r="F680" s="12"/>
    </row>
    <row r="681" customFormat="false" ht="15" hidden="false" customHeight="true" outlineLevel="0" collapsed="false">
      <c r="A681" s="6"/>
      <c r="B681" s="6"/>
      <c r="C681" s="11"/>
      <c r="D681" s="11"/>
      <c r="E681" s="6"/>
      <c r="F681" s="12"/>
    </row>
    <row r="682" customFormat="false" ht="15" hidden="false" customHeight="true" outlineLevel="0" collapsed="false">
      <c r="A682" s="6"/>
      <c r="B682" s="6"/>
      <c r="C682" s="11"/>
      <c r="D682" s="11"/>
      <c r="E682" s="6"/>
      <c r="F682" s="12"/>
    </row>
    <row r="683" customFormat="false" ht="15" hidden="false" customHeight="true" outlineLevel="0" collapsed="false">
      <c r="A683" s="6"/>
      <c r="B683" s="6"/>
      <c r="C683" s="11"/>
      <c r="D683" s="11"/>
      <c r="E683" s="6"/>
      <c r="F683" s="12"/>
    </row>
    <row r="684" customFormat="false" ht="15" hidden="false" customHeight="true" outlineLevel="0" collapsed="false">
      <c r="A684" s="6"/>
      <c r="B684" s="6"/>
      <c r="C684" s="11"/>
      <c r="D684" s="11"/>
      <c r="E684" s="6"/>
      <c r="F684" s="12"/>
    </row>
    <row r="685" customFormat="false" ht="15" hidden="false" customHeight="true" outlineLevel="0" collapsed="false">
      <c r="A685" s="6"/>
      <c r="B685" s="6"/>
      <c r="C685" s="11"/>
      <c r="D685" s="11"/>
      <c r="E685" s="6"/>
      <c r="F685" s="12"/>
    </row>
    <row r="686" customFormat="false" ht="15" hidden="false" customHeight="true" outlineLevel="0" collapsed="false">
      <c r="A686" s="6"/>
      <c r="B686" s="6"/>
      <c r="C686" s="11"/>
      <c r="D686" s="11"/>
      <c r="E686" s="6"/>
      <c r="F686" s="12"/>
    </row>
    <row r="687" customFormat="false" ht="15" hidden="false" customHeight="true" outlineLevel="0" collapsed="false">
      <c r="A687" s="6"/>
      <c r="B687" s="6"/>
      <c r="C687" s="11"/>
      <c r="D687" s="11"/>
      <c r="E687" s="6"/>
      <c r="F687" s="12"/>
    </row>
    <row r="688" customFormat="false" ht="15" hidden="false" customHeight="true" outlineLevel="0" collapsed="false">
      <c r="A688" s="6"/>
      <c r="B688" s="6"/>
      <c r="C688" s="11"/>
      <c r="D688" s="11"/>
      <c r="E688" s="6"/>
      <c r="F688" s="12"/>
    </row>
    <row r="689" customFormat="false" ht="15" hidden="false" customHeight="true" outlineLevel="0" collapsed="false">
      <c r="A689" s="6"/>
      <c r="B689" s="6"/>
      <c r="C689" s="11"/>
      <c r="D689" s="11"/>
      <c r="E689" s="6"/>
      <c r="F689" s="12"/>
    </row>
    <row r="690" customFormat="false" ht="15" hidden="false" customHeight="true" outlineLevel="0" collapsed="false">
      <c r="A690" s="6"/>
      <c r="B690" s="6"/>
      <c r="C690" s="11"/>
      <c r="D690" s="11"/>
      <c r="E690" s="6"/>
      <c r="F690" s="12"/>
    </row>
    <row r="691" customFormat="false" ht="15" hidden="false" customHeight="true" outlineLevel="0" collapsed="false">
      <c r="A691" s="6"/>
      <c r="B691" s="6"/>
      <c r="C691" s="11"/>
      <c r="D691" s="11"/>
      <c r="E691" s="6"/>
      <c r="F691" s="12"/>
    </row>
    <row r="692" customFormat="false" ht="15" hidden="false" customHeight="true" outlineLevel="0" collapsed="false">
      <c r="A692" s="6"/>
      <c r="B692" s="6"/>
      <c r="C692" s="11"/>
      <c r="D692" s="11"/>
      <c r="E692" s="6"/>
      <c r="F692" s="12"/>
    </row>
    <row r="693" customFormat="false" ht="15" hidden="false" customHeight="true" outlineLevel="0" collapsed="false">
      <c r="A693" s="6"/>
      <c r="B693" s="6"/>
      <c r="C693" s="11"/>
      <c r="D693" s="11"/>
      <c r="E693" s="6"/>
      <c r="F693" s="12"/>
    </row>
    <row r="694" customFormat="false" ht="15" hidden="false" customHeight="true" outlineLevel="0" collapsed="false">
      <c r="A694" s="6"/>
      <c r="B694" s="6"/>
      <c r="C694" s="11"/>
      <c r="D694" s="11"/>
      <c r="E694" s="6"/>
      <c r="F694" s="12"/>
    </row>
    <row r="695" customFormat="false" ht="15" hidden="false" customHeight="true" outlineLevel="0" collapsed="false">
      <c r="A695" s="6"/>
      <c r="B695" s="6"/>
      <c r="C695" s="11"/>
      <c r="D695" s="11"/>
      <c r="E695" s="6"/>
      <c r="F695" s="12"/>
    </row>
    <row r="696" customFormat="false" ht="15" hidden="false" customHeight="true" outlineLevel="0" collapsed="false">
      <c r="A696" s="6"/>
      <c r="B696" s="6"/>
      <c r="C696" s="11"/>
      <c r="D696" s="11"/>
      <c r="E696" s="6"/>
      <c r="F696" s="12"/>
    </row>
    <row r="697" customFormat="false" ht="15" hidden="false" customHeight="true" outlineLevel="0" collapsed="false">
      <c r="A697" s="6"/>
      <c r="B697" s="6"/>
      <c r="C697" s="11"/>
      <c r="D697" s="11"/>
      <c r="E697" s="6"/>
      <c r="F697" s="12"/>
    </row>
    <row r="698" customFormat="false" ht="15" hidden="false" customHeight="true" outlineLevel="0" collapsed="false">
      <c r="A698" s="6"/>
      <c r="B698" s="6"/>
      <c r="C698" s="11"/>
      <c r="D698" s="11"/>
      <c r="E698" s="6"/>
      <c r="F698" s="12"/>
    </row>
    <row r="699" customFormat="false" ht="15" hidden="false" customHeight="true" outlineLevel="0" collapsed="false">
      <c r="A699" s="6"/>
      <c r="B699" s="6"/>
      <c r="C699" s="11"/>
      <c r="D699" s="11"/>
      <c r="E699" s="6"/>
      <c r="F699" s="12"/>
    </row>
    <row r="700" customFormat="false" ht="15" hidden="false" customHeight="true" outlineLevel="0" collapsed="false">
      <c r="A700" s="6"/>
      <c r="B700" s="6"/>
      <c r="C700" s="11"/>
      <c r="D700" s="11"/>
      <c r="E700" s="6"/>
      <c r="F700" s="12"/>
    </row>
    <row r="701" customFormat="false" ht="15" hidden="false" customHeight="true" outlineLevel="0" collapsed="false">
      <c r="A701" s="6"/>
      <c r="B701" s="6"/>
      <c r="C701" s="11"/>
      <c r="D701" s="11"/>
      <c r="E701" s="6"/>
      <c r="F701" s="12"/>
    </row>
    <row r="702" customFormat="false" ht="15" hidden="false" customHeight="true" outlineLevel="0" collapsed="false">
      <c r="A702" s="6"/>
      <c r="B702" s="6"/>
      <c r="C702" s="11"/>
      <c r="D702" s="11"/>
      <c r="E702" s="6"/>
      <c r="F702" s="12"/>
    </row>
    <row r="703" customFormat="false" ht="15" hidden="false" customHeight="true" outlineLevel="0" collapsed="false">
      <c r="A703" s="6"/>
      <c r="B703" s="6"/>
      <c r="C703" s="11"/>
      <c r="D703" s="11"/>
      <c r="E703" s="6"/>
      <c r="F703" s="12"/>
    </row>
    <row r="704" customFormat="false" ht="15" hidden="false" customHeight="true" outlineLevel="0" collapsed="false">
      <c r="A704" s="6"/>
      <c r="B704" s="6"/>
      <c r="C704" s="11"/>
      <c r="D704" s="11"/>
      <c r="E704" s="6"/>
      <c r="F704" s="12"/>
    </row>
    <row r="705" customFormat="false" ht="15" hidden="false" customHeight="true" outlineLevel="0" collapsed="false">
      <c r="A705" s="6"/>
      <c r="B705" s="6"/>
      <c r="C705" s="11"/>
      <c r="D705" s="11"/>
      <c r="E705" s="6"/>
      <c r="F705" s="12"/>
    </row>
    <row r="706" customFormat="false" ht="15" hidden="false" customHeight="true" outlineLevel="0" collapsed="false">
      <c r="A706" s="6"/>
      <c r="B706" s="6"/>
      <c r="C706" s="11"/>
      <c r="D706" s="11"/>
      <c r="E706" s="6"/>
      <c r="F706" s="12"/>
    </row>
    <row r="707" customFormat="false" ht="15" hidden="false" customHeight="true" outlineLevel="0" collapsed="false">
      <c r="A707" s="6"/>
      <c r="B707" s="6"/>
      <c r="C707" s="11"/>
      <c r="D707" s="11"/>
      <c r="E707" s="6"/>
      <c r="F707" s="12"/>
    </row>
    <row r="708" customFormat="false" ht="15" hidden="false" customHeight="true" outlineLevel="0" collapsed="false">
      <c r="A708" s="6"/>
      <c r="B708" s="6"/>
      <c r="C708" s="11"/>
      <c r="D708" s="11"/>
      <c r="E708" s="6"/>
      <c r="F708" s="12"/>
    </row>
    <row r="709" customFormat="false" ht="15" hidden="false" customHeight="true" outlineLevel="0" collapsed="false">
      <c r="A709" s="6"/>
      <c r="B709" s="6"/>
      <c r="C709" s="11"/>
      <c r="D709" s="11"/>
      <c r="E709" s="6"/>
      <c r="F709" s="12"/>
    </row>
    <row r="710" customFormat="false" ht="15" hidden="false" customHeight="true" outlineLevel="0" collapsed="false">
      <c r="A710" s="6"/>
      <c r="B710" s="6"/>
      <c r="C710" s="11"/>
      <c r="D710" s="11"/>
      <c r="E710" s="6"/>
      <c r="F710" s="12"/>
    </row>
    <row r="711" customFormat="false" ht="15" hidden="false" customHeight="true" outlineLevel="0" collapsed="false">
      <c r="A711" s="6"/>
      <c r="B711" s="6"/>
      <c r="C711" s="11"/>
      <c r="D711" s="11"/>
      <c r="E711" s="6"/>
      <c r="F711" s="12"/>
    </row>
    <row r="712" customFormat="false" ht="15" hidden="false" customHeight="true" outlineLevel="0" collapsed="false">
      <c r="A712" s="6"/>
      <c r="B712" s="6"/>
      <c r="C712" s="11"/>
      <c r="D712" s="11"/>
      <c r="E712" s="6"/>
      <c r="F712" s="12"/>
    </row>
    <row r="713" customFormat="false" ht="15" hidden="false" customHeight="true" outlineLevel="0" collapsed="false">
      <c r="A713" s="6"/>
      <c r="B713" s="6"/>
      <c r="C713" s="11"/>
      <c r="D713" s="11"/>
      <c r="E713" s="6"/>
      <c r="F713" s="12"/>
    </row>
    <row r="714" customFormat="false" ht="15" hidden="false" customHeight="true" outlineLevel="0" collapsed="false">
      <c r="A714" s="6"/>
      <c r="B714" s="6"/>
      <c r="C714" s="11"/>
      <c r="D714" s="11"/>
      <c r="E714" s="6"/>
      <c r="F714" s="12"/>
    </row>
    <row r="715" customFormat="false" ht="15" hidden="false" customHeight="true" outlineLevel="0" collapsed="false">
      <c r="A715" s="6"/>
      <c r="B715" s="6"/>
      <c r="C715" s="11"/>
      <c r="D715" s="11"/>
      <c r="E715" s="6"/>
      <c r="F715" s="12"/>
    </row>
    <row r="716" customFormat="false" ht="15" hidden="false" customHeight="true" outlineLevel="0" collapsed="false">
      <c r="A716" s="6"/>
      <c r="B716" s="6"/>
      <c r="C716" s="11"/>
      <c r="D716" s="11"/>
      <c r="E716" s="6"/>
      <c r="F716" s="12"/>
    </row>
    <row r="717" customFormat="false" ht="15" hidden="false" customHeight="true" outlineLevel="0" collapsed="false">
      <c r="A717" s="6"/>
      <c r="B717" s="6"/>
      <c r="C717" s="11"/>
      <c r="D717" s="11"/>
      <c r="E717" s="6"/>
      <c r="F717" s="12"/>
    </row>
    <row r="718" customFormat="false" ht="15" hidden="false" customHeight="true" outlineLevel="0" collapsed="false">
      <c r="A718" s="6"/>
      <c r="B718" s="6"/>
      <c r="C718" s="11"/>
      <c r="D718" s="11"/>
      <c r="E718" s="6"/>
      <c r="F718" s="12"/>
    </row>
    <row r="719" customFormat="false" ht="15" hidden="false" customHeight="true" outlineLevel="0" collapsed="false">
      <c r="A719" s="6"/>
      <c r="B719" s="6"/>
      <c r="C719" s="11"/>
      <c r="D719" s="11"/>
      <c r="E719" s="6"/>
      <c r="F719" s="12"/>
    </row>
    <row r="720" customFormat="false" ht="15" hidden="false" customHeight="true" outlineLevel="0" collapsed="false">
      <c r="A720" s="6"/>
      <c r="B720" s="6"/>
      <c r="C720" s="11"/>
      <c r="D720" s="11"/>
      <c r="E720" s="6"/>
      <c r="F720" s="12"/>
    </row>
    <row r="721" customFormat="false" ht="15" hidden="false" customHeight="true" outlineLevel="0" collapsed="false">
      <c r="A721" s="6"/>
      <c r="B721" s="6"/>
      <c r="C721" s="11"/>
      <c r="D721" s="11"/>
      <c r="E721" s="6"/>
      <c r="F721" s="12"/>
    </row>
    <row r="722" customFormat="false" ht="15" hidden="false" customHeight="true" outlineLevel="0" collapsed="false">
      <c r="A722" s="6"/>
      <c r="B722" s="6"/>
      <c r="C722" s="11"/>
      <c r="D722" s="11"/>
      <c r="E722" s="6"/>
      <c r="F722" s="12"/>
    </row>
    <row r="723" customFormat="false" ht="15" hidden="false" customHeight="true" outlineLevel="0" collapsed="false">
      <c r="A723" s="6"/>
      <c r="B723" s="6"/>
      <c r="C723" s="11"/>
      <c r="D723" s="11"/>
      <c r="E723" s="6"/>
      <c r="F723" s="12"/>
    </row>
    <row r="724" customFormat="false" ht="15" hidden="false" customHeight="true" outlineLevel="0" collapsed="false">
      <c r="A724" s="6"/>
      <c r="B724" s="6"/>
      <c r="C724" s="11"/>
      <c r="D724" s="11"/>
      <c r="E724" s="6"/>
      <c r="F724" s="12"/>
    </row>
    <row r="725" customFormat="false" ht="15" hidden="false" customHeight="true" outlineLevel="0" collapsed="false">
      <c r="A725" s="6"/>
      <c r="B725" s="6"/>
      <c r="C725" s="11"/>
      <c r="D725" s="11"/>
      <c r="E725" s="6"/>
      <c r="F725" s="12"/>
    </row>
    <row r="726" customFormat="false" ht="15" hidden="false" customHeight="true" outlineLevel="0" collapsed="false">
      <c r="A726" s="6"/>
      <c r="B726" s="6"/>
      <c r="C726" s="11"/>
      <c r="D726" s="11"/>
      <c r="E726" s="6"/>
      <c r="F726" s="12"/>
    </row>
    <row r="727" customFormat="false" ht="15" hidden="false" customHeight="true" outlineLevel="0" collapsed="false">
      <c r="A727" s="6"/>
      <c r="B727" s="6"/>
      <c r="C727" s="11"/>
      <c r="D727" s="11"/>
      <c r="E727" s="6"/>
      <c r="F727" s="12"/>
    </row>
    <row r="728" customFormat="false" ht="15" hidden="false" customHeight="true" outlineLevel="0" collapsed="false">
      <c r="A728" s="6"/>
      <c r="B728" s="6"/>
      <c r="C728" s="11"/>
      <c r="D728" s="11"/>
      <c r="E728" s="6"/>
      <c r="F728" s="12"/>
    </row>
    <row r="729" customFormat="false" ht="15" hidden="false" customHeight="true" outlineLevel="0" collapsed="false">
      <c r="A729" s="6"/>
      <c r="B729" s="6"/>
      <c r="C729" s="11"/>
      <c r="D729" s="11"/>
      <c r="E729" s="6"/>
      <c r="F729" s="12"/>
    </row>
    <row r="730" customFormat="false" ht="15" hidden="false" customHeight="true" outlineLevel="0" collapsed="false">
      <c r="A730" s="6"/>
      <c r="B730" s="6"/>
      <c r="C730" s="11"/>
      <c r="D730" s="11"/>
      <c r="E730" s="6"/>
      <c r="F730" s="12"/>
    </row>
    <row r="731" customFormat="false" ht="15" hidden="false" customHeight="true" outlineLevel="0" collapsed="false">
      <c r="A731" s="6"/>
      <c r="B731" s="6"/>
      <c r="C731" s="11"/>
      <c r="D731" s="11"/>
      <c r="E731" s="6"/>
      <c r="F731" s="12"/>
    </row>
    <row r="732" customFormat="false" ht="15" hidden="false" customHeight="true" outlineLevel="0" collapsed="false">
      <c r="A732" s="6"/>
      <c r="B732" s="6"/>
      <c r="C732" s="11"/>
      <c r="D732" s="11"/>
      <c r="E732" s="6"/>
      <c r="F732" s="12"/>
    </row>
    <row r="733" customFormat="false" ht="15" hidden="false" customHeight="true" outlineLevel="0" collapsed="false">
      <c r="A733" s="6"/>
      <c r="B733" s="6"/>
      <c r="C733" s="11"/>
      <c r="D733" s="11"/>
      <c r="E733" s="6"/>
      <c r="F733" s="12"/>
    </row>
    <row r="734" customFormat="false" ht="15" hidden="false" customHeight="true" outlineLevel="0" collapsed="false">
      <c r="A734" s="6"/>
      <c r="B734" s="6"/>
      <c r="C734" s="11"/>
      <c r="D734" s="11"/>
      <c r="E734" s="6"/>
      <c r="F734" s="12"/>
    </row>
    <row r="735" customFormat="false" ht="15" hidden="false" customHeight="true" outlineLevel="0" collapsed="false">
      <c r="A735" s="6"/>
      <c r="B735" s="6"/>
      <c r="C735" s="11"/>
      <c r="D735" s="11"/>
      <c r="E735" s="6"/>
      <c r="F735" s="12"/>
    </row>
    <row r="736" customFormat="false" ht="15" hidden="false" customHeight="true" outlineLevel="0" collapsed="false">
      <c r="A736" s="6"/>
      <c r="B736" s="6"/>
      <c r="C736" s="11"/>
      <c r="D736" s="11"/>
      <c r="E736" s="6"/>
      <c r="F736" s="12"/>
    </row>
    <row r="737" customFormat="false" ht="15" hidden="false" customHeight="true" outlineLevel="0" collapsed="false">
      <c r="A737" s="6"/>
      <c r="B737" s="6"/>
      <c r="C737" s="11"/>
      <c r="D737" s="11"/>
      <c r="E737" s="6"/>
      <c r="F737" s="12"/>
    </row>
    <row r="738" customFormat="false" ht="15" hidden="false" customHeight="true" outlineLevel="0" collapsed="false">
      <c r="A738" s="6"/>
      <c r="B738" s="6"/>
      <c r="C738" s="11"/>
      <c r="D738" s="11"/>
      <c r="E738" s="6"/>
      <c r="F738" s="12"/>
    </row>
    <row r="739" customFormat="false" ht="15" hidden="false" customHeight="true" outlineLevel="0" collapsed="false">
      <c r="A739" s="6"/>
      <c r="B739" s="6"/>
      <c r="C739" s="11"/>
      <c r="D739" s="11"/>
      <c r="E739" s="6"/>
      <c r="F739" s="12"/>
    </row>
    <row r="740" customFormat="false" ht="15" hidden="false" customHeight="true" outlineLevel="0" collapsed="false">
      <c r="A740" s="6"/>
      <c r="B740" s="6"/>
      <c r="C740" s="11"/>
      <c r="D740" s="11"/>
      <c r="E740" s="6"/>
      <c r="F740" s="12"/>
    </row>
    <row r="741" customFormat="false" ht="15" hidden="false" customHeight="true" outlineLevel="0" collapsed="false">
      <c r="A741" s="6"/>
      <c r="B741" s="6"/>
      <c r="C741" s="11"/>
      <c r="D741" s="11"/>
      <c r="E741" s="6"/>
      <c r="F741" s="12"/>
    </row>
    <row r="742" customFormat="false" ht="15" hidden="false" customHeight="true" outlineLevel="0" collapsed="false">
      <c r="A742" s="6"/>
      <c r="B742" s="6"/>
      <c r="C742" s="11"/>
      <c r="D742" s="11"/>
      <c r="E742" s="6"/>
      <c r="F742" s="12"/>
    </row>
    <row r="743" customFormat="false" ht="15" hidden="false" customHeight="true" outlineLevel="0" collapsed="false">
      <c r="A743" s="6"/>
      <c r="B743" s="6"/>
      <c r="C743" s="11"/>
      <c r="D743" s="11"/>
      <c r="E743" s="6"/>
      <c r="F743" s="12"/>
    </row>
    <row r="744" customFormat="false" ht="15" hidden="false" customHeight="true" outlineLevel="0" collapsed="false">
      <c r="A744" s="6"/>
      <c r="B744" s="6"/>
      <c r="C744" s="11"/>
      <c r="D744" s="11"/>
      <c r="E744" s="6"/>
      <c r="F744" s="12"/>
    </row>
    <row r="745" customFormat="false" ht="15" hidden="false" customHeight="true" outlineLevel="0" collapsed="false">
      <c r="A745" s="6"/>
      <c r="B745" s="6"/>
      <c r="C745" s="11"/>
      <c r="D745" s="11"/>
      <c r="E745" s="6"/>
      <c r="F745" s="12"/>
    </row>
    <row r="746" customFormat="false" ht="15" hidden="false" customHeight="true" outlineLevel="0" collapsed="false">
      <c r="A746" s="6"/>
      <c r="B746" s="6"/>
      <c r="C746" s="11"/>
      <c r="D746" s="11"/>
      <c r="E746" s="6"/>
      <c r="F746" s="12"/>
    </row>
    <row r="747" customFormat="false" ht="15" hidden="false" customHeight="true" outlineLevel="0" collapsed="false">
      <c r="A747" s="6"/>
      <c r="B747" s="6"/>
      <c r="C747" s="11"/>
      <c r="D747" s="11"/>
      <c r="E747" s="6"/>
      <c r="F747" s="12"/>
    </row>
    <row r="748" customFormat="false" ht="15" hidden="false" customHeight="true" outlineLevel="0" collapsed="false">
      <c r="A748" s="6"/>
      <c r="B748" s="6"/>
      <c r="C748" s="11"/>
      <c r="D748" s="11"/>
      <c r="E748" s="6"/>
      <c r="F748" s="12"/>
    </row>
    <row r="749" customFormat="false" ht="15" hidden="false" customHeight="true" outlineLevel="0" collapsed="false">
      <c r="A749" s="6"/>
      <c r="B749" s="6"/>
      <c r="C749" s="11"/>
      <c r="D749" s="11"/>
      <c r="E749" s="6"/>
      <c r="F749" s="12"/>
    </row>
    <row r="750" customFormat="false" ht="15" hidden="false" customHeight="true" outlineLevel="0" collapsed="false">
      <c r="A750" s="6"/>
      <c r="B750" s="6"/>
      <c r="C750" s="11"/>
      <c r="D750" s="11"/>
      <c r="E750" s="6"/>
      <c r="F750" s="12"/>
    </row>
    <row r="751" customFormat="false" ht="15" hidden="false" customHeight="true" outlineLevel="0" collapsed="false">
      <c r="A751" s="6"/>
      <c r="B751" s="6"/>
      <c r="C751" s="11"/>
      <c r="D751" s="11"/>
      <c r="E751" s="6"/>
      <c r="F751" s="12"/>
    </row>
    <row r="752" customFormat="false" ht="15" hidden="false" customHeight="true" outlineLevel="0" collapsed="false">
      <c r="A752" s="6"/>
      <c r="B752" s="6"/>
      <c r="C752" s="11"/>
      <c r="D752" s="11"/>
      <c r="E752" s="6"/>
      <c r="F752" s="12"/>
    </row>
    <row r="753" customFormat="false" ht="15" hidden="false" customHeight="true" outlineLevel="0" collapsed="false">
      <c r="A753" s="6"/>
      <c r="B753" s="6"/>
      <c r="C753" s="11"/>
      <c r="D753" s="11"/>
      <c r="E753" s="6"/>
      <c r="F753" s="12"/>
    </row>
    <row r="754" customFormat="false" ht="15" hidden="false" customHeight="true" outlineLevel="0" collapsed="false">
      <c r="A754" s="6"/>
      <c r="B754" s="6"/>
      <c r="C754" s="11"/>
      <c r="D754" s="11"/>
      <c r="E754" s="6"/>
      <c r="F754" s="12"/>
    </row>
    <row r="755" customFormat="false" ht="15" hidden="false" customHeight="true" outlineLevel="0" collapsed="false">
      <c r="A755" s="6"/>
      <c r="B755" s="6"/>
      <c r="C755" s="11"/>
      <c r="D755" s="11"/>
      <c r="E755" s="6"/>
      <c r="F755" s="12"/>
    </row>
    <row r="756" customFormat="false" ht="15" hidden="false" customHeight="true" outlineLevel="0" collapsed="false">
      <c r="A756" s="6"/>
      <c r="B756" s="6"/>
      <c r="C756" s="11"/>
      <c r="D756" s="11"/>
      <c r="E756" s="6"/>
      <c r="F756" s="12"/>
    </row>
    <row r="757" customFormat="false" ht="15" hidden="false" customHeight="true" outlineLevel="0" collapsed="false">
      <c r="A757" s="6"/>
      <c r="B757" s="6"/>
      <c r="C757" s="11"/>
      <c r="D757" s="11"/>
      <c r="E757" s="6"/>
      <c r="F757" s="12"/>
    </row>
    <row r="758" customFormat="false" ht="15" hidden="false" customHeight="true" outlineLevel="0" collapsed="false">
      <c r="A758" s="6"/>
      <c r="B758" s="6"/>
      <c r="C758" s="11"/>
      <c r="D758" s="11"/>
      <c r="E758" s="6"/>
      <c r="F758" s="12"/>
    </row>
    <row r="759" customFormat="false" ht="15" hidden="false" customHeight="true" outlineLevel="0" collapsed="false">
      <c r="A759" s="6"/>
      <c r="B759" s="6"/>
      <c r="C759" s="11"/>
      <c r="D759" s="11"/>
      <c r="E759" s="6"/>
      <c r="F759" s="12"/>
    </row>
    <row r="760" customFormat="false" ht="15" hidden="false" customHeight="true" outlineLevel="0" collapsed="false">
      <c r="A760" s="6"/>
      <c r="B760" s="6"/>
      <c r="C760" s="11"/>
      <c r="D760" s="11"/>
      <c r="E760" s="6"/>
      <c r="F760" s="12"/>
    </row>
    <row r="761" customFormat="false" ht="15" hidden="false" customHeight="true" outlineLevel="0" collapsed="false">
      <c r="A761" s="6"/>
      <c r="B761" s="6"/>
      <c r="C761" s="11"/>
      <c r="D761" s="11"/>
      <c r="E761" s="6"/>
      <c r="F761" s="12"/>
    </row>
    <row r="762" customFormat="false" ht="15" hidden="false" customHeight="true" outlineLevel="0" collapsed="false">
      <c r="A762" s="6"/>
      <c r="B762" s="6"/>
      <c r="C762" s="11"/>
      <c r="D762" s="11"/>
      <c r="E762" s="6"/>
      <c r="F762" s="12"/>
    </row>
    <row r="763" customFormat="false" ht="15" hidden="false" customHeight="true" outlineLevel="0" collapsed="false">
      <c r="A763" s="6"/>
      <c r="B763" s="6"/>
      <c r="C763" s="11"/>
      <c r="D763" s="11"/>
      <c r="E763" s="6"/>
      <c r="F763" s="12"/>
    </row>
    <row r="764" customFormat="false" ht="15" hidden="false" customHeight="true" outlineLevel="0" collapsed="false">
      <c r="A764" s="6"/>
      <c r="B764" s="6"/>
      <c r="C764" s="11"/>
      <c r="D764" s="11"/>
      <c r="E764" s="6"/>
      <c r="F764" s="12"/>
    </row>
    <row r="765" customFormat="false" ht="15" hidden="false" customHeight="true" outlineLevel="0" collapsed="false">
      <c r="A765" s="6"/>
      <c r="B765" s="6"/>
      <c r="C765" s="11"/>
      <c r="D765" s="11"/>
      <c r="E765" s="6"/>
      <c r="F765" s="12"/>
    </row>
    <row r="766" customFormat="false" ht="15" hidden="false" customHeight="true" outlineLevel="0" collapsed="false">
      <c r="A766" s="6"/>
      <c r="B766" s="6"/>
      <c r="C766" s="11"/>
      <c r="D766" s="11"/>
      <c r="E766" s="6"/>
      <c r="F766" s="12"/>
    </row>
    <row r="767" customFormat="false" ht="15" hidden="false" customHeight="true" outlineLevel="0" collapsed="false">
      <c r="A767" s="6"/>
      <c r="B767" s="6"/>
      <c r="C767" s="11"/>
      <c r="D767" s="11"/>
      <c r="E767" s="6"/>
      <c r="F767" s="12"/>
    </row>
    <row r="768" customFormat="false" ht="15" hidden="false" customHeight="true" outlineLevel="0" collapsed="false">
      <c r="A768" s="6"/>
      <c r="B768" s="6"/>
      <c r="C768" s="11"/>
      <c r="D768" s="11"/>
      <c r="E768" s="6"/>
      <c r="F768" s="12"/>
    </row>
    <row r="769" customFormat="false" ht="15" hidden="false" customHeight="true" outlineLevel="0" collapsed="false">
      <c r="A769" s="6"/>
      <c r="B769" s="6"/>
      <c r="C769" s="11"/>
      <c r="D769" s="11"/>
      <c r="E769" s="6"/>
      <c r="F769" s="12"/>
    </row>
    <row r="770" customFormat="false" ht="15" hidden="false" customHeight="true" outlineLevel="0" collapsed="false">
      <c r="A770" s="6"/>
      <c r="B770" s="6"/>
      <c r="C770" s="11"/>
      <c r="D770" s="11"/>
      <c r="E770" s="6"/>
      <c r="F770" s="12"/>
    </row>
    <row r="771" customFormat="false" ht="15" hidden="false" customHeight="true" outlineLevel="0" collapsed="false">
      <c r="A771" s="6"/>
      <c r="B771" s="6"/>
      <c r="C771" s="11"/>
      <c r="D771" s="11"/>
      <c r="E771" s="6"/>
      <c r="F771" s="12"/>
    </row>
    <row r="772" customFormat="false" ht="15" hidden="false" customHeight="true" outlineLevel="0" collapsed="false">
      <c r="A772" s="6"/>
      <c r="B772" s="6"/>
      <c r="C772" s="11"/>
      <c r="D772" s="11"/>
      <c r="E772" s="6"/>
      <c r="F772" s="12"/>
    </row>
    <row r="773" customFormat="false" ht="15" hidden="false" customHeight="true" outlineLevel="0" collapsed="false">
      <c r="A773" s="6"/>
      <c r="B773" s="6"/>
      <c r="C773" s="11"/>
      <c r="D773" s="11"/>
      <c r="E773" s="6"/>
      <c r="F773" s="12"/>
    </row>
    <row r="774" customFormat="false" ht="15" hidden="false" customHeight="true" outlineLevel="0" collapsed="false">
      <c r="A774" s="6"/>
      <c r="B774" s="6"/>
      <c r="C774" s="11"/>
      <c r="D774" s="11"/>
      <c r="E774" s="6"/>
      <c r="F774" s="12"/>
    </row>
    <row r="775" customFormat="false" ht="15" hidden="false" customHeight="true" outlineLevel="0" collapsed="false">
      <c r="A775" s="6"/>
      <c r="B775" s="6"/>
      <c r="C775" s="11"/>
      <c r="D775" s="11"/>
      <c r="E775" s="6"/>
      <c r="F775" s="12"/>
    </row>
    <row r="776" customFormat="false" ht="15" hidden="false" customHeight="true" outlineLevel="0" collapsed="false">
      <c r="A776" s="6"/>
      <c r="B776" s="6"/>
      <c r="C776" s="11"/>
      <c r="D776" s="11"/>
      <c r="E776" s="6"/>
      <c r="F776" s="12"/>
    </row>
    <row r="777" customFormat="false" ht="15" hidden="false" customHeight="true" outlineLevel="0" collapsed="false">
      <c r="A777" s="6"/>
      <c r="B777" s="6"/>
      <c r="C777" s="11"/>
      <c r="D777" s="11"/>
      <c r="E777" s="6"/>
      <c r="F777" s="12"/>
    </row>
    <row r="778" customFormat="false" ht="15" hidden="false" customHeight="true" outlineLevel="0" collapsed="false">
      <c r="A778" s="6"/>
      <c r="B778" s="6"/>
      <c r="C778" s="11"/>
      <c r="D778" s="11"/>
      <c r="E778" s="6"/>
      <c r="F778" s="12"/>
    </row>
    <row r="779" customFormat="false" ht="15" hidden="false" customHeight="true" outlineLevel="0" collapsed="false">
      <c r="A779" s="6"/>
      <c r="B779" s="6"/>
      <c r="C779" s="11"/>
      <c r="D779" s="11"/>
      <c r="E779" s="6"/>
      <c r="F779" s="12"/>
    </row>
    <row r="780" customFormat="false" ht="15" hidden="false" customHeight="true" outlineLevel="0" collapsed="false">
      <c r="A780" s="6"/>
      <c r="B780" s="6"/>
      <c r="C780" s="11"/>
      <c r="D780" s="11"/>
      <c r="E780" s="6"/>
      <c r="F780" s="12"/>
    </row>
    <row r="781" customFormat="false" ht="15" hidden="false" customHeight="true" outlineLevel="0" collapsed="false">
      <c r="A781" s="6"/>
      <c r="B781" s="6"/>
      <c r="C781" s="11"/>
      <c r="D781" s="11"/>
      <c r="E781" s="6"/>
      <c r="F781" s="12"/>
    </row>
    <row r="782" customFormat="false" ht="15" hidden="false" customHeight="true" outlineLevel="0" collapsed="false">
      <c r="A782" s="6"/>
      <c r="B782" s="6"/>
      <c r="C782" s="11"/>
      <c r="D782" s="11"/>
      <c r="E782" s="6"/>
      <c r="F782" s="12"/>
    </row>
    <row r="783" customFormat="false" ht="15" hidden="false" customHeight="true" outlineLevel="0" collapsed="false">
      <c r="A783" s="6"/>
      <c r="B783" s="6"/>
      <c r="C783" s="11"/>
      <c r="D783" s="11"/>
      <c r="E783" s="6"/>
      <c r="F783" s="12"/>
    </row>
    <row r="784" customFormat="false" ht="15" hidden="false" customHeight="true" outlineLevel="0" collapsed="false">
      <c r="A784" s="6"/>
      <c r="B784" s="6"/>
      <c r="C784" s="11"/>
      <c r="D784" s="11"/>
      <c r="E784" s="6"/>
      <c r="F784" s="12"/>
    </row>
    <row r="785" customFormat="false" ht="15" hidden="false" customHeight="true" outlineLevel="0" collapsed="false">
      <c r="A785" s="6"/>
      <c r="B785" s="6"/>
      <c r="C785" s="11"/>
      <c r="D785" s="11"/>
      <c r="E785" s="6"/>
      <c r="F785" s="12"/>
    </row>
    <row r="786" customFormat="false" ht="15" hidden="false" customHeight="true" outlineLevel="0" collapsed="false">
      <c r="A786" s="6"/>
      <c r="B786" s="6"/>
      <c r="C786" s="11"/>
      <c r="D786" s="11"/>
      <c r="E786" s="6"/>
      <c r="F786" s="12"/>
    </row>
    <row r="787" customFormat="false" ht="15" hidden="false" customHeight="true" outlineLevel="0" collapsed="false">
      <c r="A787" s="6"/>
      <c r="B787" s="6"/>
      <c r="C787" s="11"/>
      <c r="D787" s="11"/>
      <c r="E787" s="6"/>
      <c r="F787" s="12"/>
    </row>
    <row r="788" customFormat="false" ht="15" hidden="false" customHeight="true" outlineLevel="0" collapsed="false">
      <c r="A788" s="6"/>
      <c r="B788" s="6"/>
      <c r="C788" s="11"/>
      <c r="D788" s="11"/>
      <c r="E788" s="6"/>
      <c r="F788" s="12"/>
    </row>
    <row r="789" customFormat="false" ht="15" hidden="false" customHeight="true" outlineLevel="0" collapsed="false">
      <c r="A789" s="6"/>
      <c r="B789" s="6"/>
      <c r="C789" s="11"/>
      <c r="D789" s="11"/>
      <c r="E789" s="6"/>
      <c r="F789" s="12"/>
    </row>
    <row r="790" customFormat="false" ht="15" hidden="false" customHeight="true" outlineLevel="0" collapsed="false">
      <c r="A790" s="6"/>
      <c r="B790" s="6"/>
      <c r="C790" s="11"/>
      <c r="D790" s="11"/>
      <c r="E790" s="6"/>
      <c r="F790" s="12"/>
    </row>
    <row r="791" customFormat="false" ht="15" hidden="false" customHeight="true" outlineLevel="0" collapsed="false">
      <c r="A791" s="6"/>
      <c r="B791" s="6"/>
      <c r="C791" s="11"/>
      <c r="D791" s="11"/>
      <c r="E791" s="6"/>
      <c r="F791" s="12"/>
    </row>
    <row r="792" customFormat="false" ht="15" hidden="false" customHeight="true" outlineLevel="0" collapsed="false">
      <c r="A792" s="6"/>
      <c r="B792" s="6"/>
      <c r="C792" s="11"/>
      <c r="D792" s="11"/>
      <c r="E792" s="6"/>
      <c r="F792" s="12"/>
    </row>
    <row r="793" customFormat="false" ht="15" hidden="false" customHeight="true" outlineLevel="0" collapsed="false">
      <c r="A793" s="6"/>
      <c r="B793" s="6"/>
      <c r="C793" s="11"/>
      <c r="D793" s="11"/>
      <c r="E793" s="6"/>
      <c r="F793" s="12"/>
    </row>
    <row r="794" customFormat="false" ht="15" hidden="false" customHeight="true" outlineLevel="0" collapsed="false">
      <c r="A794" s="6"/>
      <c r="B794" s="6"/>
      <c r="C794" s="11"/>
      <c r="D794" s="11"/>
      <c r="E794" s="6"/>
      <c r="F794" s="12"/>
    </row>
    <row r="795" customFormat="false" ht="15" hidden="false" customHeight="true" outlineLevel="0" collapsed="false">
      <c r="A795" s="6"/>
      <c r="B795" s="6"/>
      <c r="C795" s="11"/>
      <c r="D795" s="11"/>
      <c r="E795" s="6"/>
      <c r="F795" s="12"/>
    </row>
    <row r="796" customFormat="false" ht="15" hidden="false" customHeight="true" outlineLevel="0" collapsed="false">
      <c r="A796" s="6"/>
      <c r="B796" s="6"/>
      <c r="C796" s="11"/>
      <c r="D796" s="11"/>
      <c r="E796" s="6"/>
      <c r="F796" s="12"/>
    </row>
    <row r="797" customFormat="false" ht="15" hidden="false" customHeight="true" outlineLevel="0" collapsed="false">
      <c r="A797" s="6"/>
      <c r="B797" s="6"/>
      <c r="C797" s="11"/>
      <c r="D797" s="11"/>
      <c r="E797" s="6"/>
      <c r="F797" s="12"/>
    </row>
    <row r="798" customFormat="false" ht="15" hidden="false" customHeight="true" outlineLevel="0" collapsed="false">
      <c r="A798" s="6"/>
      <c r="B798" s="6"/>
      <c r="C798" s="11"/>
      <c r="D798" s="11"/>
      <c r="E798" s="6"/>
      <c r="F798" s="12"/>
    </row>
    <row r="799" customFormat="false" ht="15" hidden="false" customHeight="true" outlineLevel="0" collapsed="false">
      <c r="A799" s="6"/>
      <c r="B799" s="6"/>
      <c r="C799" s="11"/>
      <c r="D799" s="11"/>
      <c r="E799" s="6"/>
      <c r="F799" s="12"/>
    </row>
    <row r="800" customFormat="false" ht="15" hidden="false" customHeight="true" outlineLevel="0" collapsed="false">
      <c r="A800" s="6"/>
      <c r="B800" s="6"/>
      <c r="C800" s="11"/>
      <c r="D800" s="11"/>
      <c r="E800" s="6"/>
      <c r="F800" s="12"/>
    </row>
    <row r="801" customFormat="false" ht="15" hidden="false" customHeight="true" outlineLevel="0" collapsed="false">
      <c r="A801" s="6"/>
      <c r="B801" s="6"/>
      <c r="C801" s="11"/>
      <c r="D801" s="11"/>
      <c r="E801" s="6"/>
      <c r="F801" s="12"/>
    </row>
    <row r="802" customFormat="false" ht="15" hidden="false" customHeight="true" outlineLevel="0" collapsed="false">
      <c r="A802" s="6"/>
      <c r="B802" s="6"/>
      <c r="C802" s="11"/>
      <c r="D802" s="11"/>
      <c r="E802" s="6"/>
      <c r="F802" s="12"/>
    </row>
    <row r="803" customFormat="false" ht="15" hidden="false" customHeight="true" outlineLevel="0" collapsed="false">
      <c r="A803" s="6"/>
      <c r="B803" s="6"/>
      <c r="C803" s="11"/>
      <c r="D803" s="11"/>
      <c r="E803" s="6"/>
      <c r="F803" s="12"/>
    </row>
    <row r="804" customFormat="false" ht="15" hidden="false" customHeight="true" outlineLevel="0" collapsed="false">
      <c r="A804" s="6"/>
      <c r="B804" s="6"/>
      <c r="C804" s="11"/>
      <c r="D804" s="11"/>
      <c r="E804" s="6"/>
      <c r="F804" s="12"/>
    </row>
    <row r="805" customFormat="false" ht="15" hidden="false" customHeight="true" outlineLevel="0" collapsed="false">
      <c r="A805" s="6"/>
      <c r="B805" s="6"/>
      <c r="C805" s="11"/>
      <c r="D805" s="11"/>
      <c r="E805" s="6"/>
      <c r="F805" s="12"/>
    </row>
    <row r="806" customFormat="false" ht="15" hidden="false" customHeight="true" outlineLevel="0" collapsed="false">
      <c r="A806" s="6"/>
      <c r="B806" s="6"/>
      <c r="C806" s="11"/>
      <c r="D806" s="11"/>
      <c r="E806" s="6"/>
      <c r="F806" s="12"/>
    </row>
    <row r="807" customFormat="false" ht="15" hidden="false" customHeight="true" outlineLevel="0" collapsed="false">
      <c r="A807" s="6"/>
      <c r="B807" s="6"/>
      <c r="C807" s="11"/>
      <c r="D807" s="11"/>
      <c r="E807" s="6"/>
      <c r="F807" s="12"/>
    </row>
    <row r="808" customFormat="false" ht="15" hidden="false" customHeight="true" outlineLevel="0" collapsed="false">
      <c r="A808" s="6"/>
      <c r="B808" s="6"/>
      <c r="C808" s="11"/>
      <c r="D808" s="11"/>
      <c r="E808" s="6"/>
      <c r="F808" s="12"/>
    </row>
    <row r="809" customFormat="false" ht="15" hidden="false" customHeight="true" outlineLevel="0" collapsed="false">
      <c r="A809" s="6"/>
      <c r="B809" s="6"/>
      <c r="C809" s="11"/>
      <c r="D809" s="11"/>
      <c r="E809" s="6"/>
      <c r="F809" s="12"/>
    </row>
    <row r="810" customFormat="false" ht="15" hidden="false" customHeight="true" outlineLevel="0" collapsed="false">
      <c r="A810" s="6"/>
      <c r="B810" s="6"/>
      <c r="C810" s="11"/>
      <c r="D810" s="11"/>
      <c r="E810" s="6"/>
      <c r="F810" s="12"/>
    </row>
    <row r="811" customFormat="false" ht="15" hidden="false" customHeight="true" outlineLevel="0" collapsed="false">
      <c r="A811" s="6"/>
      <c r="B811" s="6"/>
      <c r="C811" s="11"/>
      <c r="D811" s="11"/>
      <c r="E811" s="6"/>
      <c r="F811" s="12"/>
    </row>
    <row r="812" customFormat="false" ht="15" hidden="false" customHeight="true" outlineLevel="0" collapsed="false">
      <c r="A812" s="6"/>
      <c r="B812" s="6"/>
      <c r="C812" s="11"/>
      <c r="D812" s="11"/>
      <c r="E812" s="6"/>
      <c r="F812" s="12"/>
    </row>
    <row r="813" customFormat="false" ht="15" hidden="false" customHeight="true" outlineLevel="0" collapsed="false">
      <c r="A813" s="6"/>
      <c r="B813" s="6"/>
      <c r="C813" s="11"/>
      <c r="D813" s="11"/>
      <c r="E813" s="6"/>
      <c r="F813" s="12"/>
    </row>
    <row r="814" customFormat="false" ht="15" hidden="false" customHeight="true" outlineLevel="0" collapsed="false">
      <c r="A814" s="6"/>
      <c r="B814" s="6"/>
      <c r="C814" s="11"/>
      <c r="D814" s="11"/>
      <c r="E814" s="6"/>
      <c r="F814" s="12"/>
    </row>
    <row r="815" customFormat="false" ht="15" hidden="false" customHeight="true" outlineLevel="0" collapsed="false">
      <c r="A815" s="6"/>
      <c r="B815" s="6"/>
      <c r="C815" s="11"/>
      <c r="D815" s="11"/>
      <c r="E815" s="6"/>
      <c r="F815" s="12"/>
    </row>
    <row r="816" customFormat="false" ht="15" hidden="false" customHeight="true" outlineLevel="0" collapsed="false">
      <c r="A816" s="6"/>
      <c r="B816" s="6"/>
      <c r="C816" s="11"/>
      <c r="D816" s="11"/>
      <c r="E816" s="6"/>
      <c r="F816" s="12"/>
    </row>
    <row r="817" customFormat="false" ht="15" hidden="false" customHeight="true" outlineLevel="0" collapsed="false">
      <c r="A817" s="6"/>
      <c r="B817" s="6"/>
      <c r="C817" s="11"/>
      <c r="D817" s="11"/>
      <c r="E817" s="6"/>
      <c r="F817" s="12"/>
    </row>
    <row r="818" customFormat="false" ht="15" hidden="false" customHeight="true" outlineLevel="0" collapsed="false">
      <c r="A818" s="6"/>
      <c r="B818" s="6"/>
      <c r="C818" s="11"/>
      <c r="D818" s="11"/>
      <c r="E818" s="6"/>
      <c r="F818" s="12"/>
    </row>
    <row r="819" customFormat="false" ht="15" hidden="false" customHeight="true" outlineLevel="0" collapsed="false">
      <c r="A819" s="6"/>
      <c r="B819" s="6"/>
      <c r="C819" s="11"/>
      <c r="D819" s="11"/>
      <c r="E819" s="6"/>
      <c r="F819" s="12"/>
    </row>
    <row r="820" customFormat="false" ht="15" hidden="false" customHeight="true" outlineLevel="0" collapsed="false">
      <c r="A820" s="6"/>
      <c r="B820" s="6"/>
      <c r="C820" s="11"/>
      <c r="D820" s="11"/>
      <c r="E820" s="6"/>
      <c r="F820" s="12"/>
    </row>
    <row r="821" customFormat="false" ht="15" hidden="false" customHeight="true" outlineLevel="0" collapsed="false">
      <c r="A821" s="6"/>
      <c r="B821" s="6"/>
      <c r="C821" s="11"/>
      <c r="D821" s="11"/>
      <c r="E821" s="6"/>
      <c r="F821" s="12"/>
    </row>
    <row r="822" customFormat="false" ht="15" hidden="false" customHeight="true" outlineLevel="0" collapsed="false">
      <c r="A822" s="6"/>
      <c r="B822" s="6"/>
      <c r="C822" s="11"/>
      <c r="D822" s="11"/>
      <c r="E822" s="6"/>
      <c r="F822" s="12"/>
    </row>
    <row r="823" customFormat="false" ht="15" hidden="false" customHeight="true" outlineLevel="0" collapsed="false">
      <c r="A823" s="6"/>
      <c r="B823" s="6"/>
      <c r="C823" s="11"/>
      <c r="D823" s="11"/>
      <c r="E823" s="6"/>
      <c r="F823" s="12"/>
    </row>
    <row r="824" customFormat="false" ht="15" hidden="false" customHeight="true" outlineLevel="0" collapsed="false">
      <c r="A824" s="6"/>
      <c r="B824" s="6"/>
      <c r="C824" s="11"/>
      <c r="D824" s="11"/>
      <c r="E824" s="6"/>
      <c r="F824" s="12"/>
    </row>
    <row r="825" customFormat="false" ht="15" hidden="false" customHeight="true" outlineLevel="0" collapsed="false">
      <c r="A825" s="6"/>
      <c r="B825" s="6"/>
      <c r="C825" s="11"/>
      <c r="D825" s="11"/>
      <c r="E825" s="6"/>
      <c r="F825" s="12"/>
    </row>
    <row r="826" customFormat="false" ht="15" hidden="false" customHeight="true" outlineLevel="0" collapsed="false">
      <c r="A826" s="6"/>
      <c r="B826" s="6"/>
      <c r="C826" s="11"/>
      <c r="D826" s="11"/>
      <c r="E826" s="6"/>
      <c r="F826" s="12"/>
    </row>
    <row r="827" customFormat="false" ht="15" hidden="false" customHeight="true" outlineLevel="0" collapsed="false">
      <c r="A827" s="6"/>
      <c r="B827" s="6"/>
      <c r="C827" s="11"/>
      <c r="D827" s="11"/>
      <c r="E827" s="6"/>
      <c r="F827" s="12"/>
    </row>
    <row r="828" customFormat="false" ht="15" hidden="false" customHeight="true" outlineLevel="0" collapsed="false">
      <c r="A828" s="6"/>
      <c r="B828" s="6"/>
      <c r="C828" s="11"/>
      <c r="D828" s="11"/>
      <c r="E828" s="6"/>
      <c r="F828" s="12"/>
    </row>
    <row r="829" customFormat="false" ht="15" hidden="false" customHeight="true" outlineLevel="0" collapsed="false">
      <c r="A829" s="6"/>
      <c r="B829" s="6"/>
      <c r="C829" s="11"/>
      <c r="D829" s="11"/>
      <c r="E829" s="6"/>
      <c r="F829" s="12"/>
    </row>
    <row r="830" customFormat="false" ht="15" hidden="false" customHeight="true" outlineLevel="0" collapsed="false">
      <c r="A830" s="6"/>
      <c r="B830" s="6"/>
      <c r="C830" s="11"/>
      <c r="D830" s="11"/>
      <c r="E830" s="6"/>
      <c r="F830" s="12"/>
    </row>
    <row r="831" customFormat="false" ht="15" hidden="false" customHeight="true" outlineLevel="0" collapsed="false">
      <c r="A831" s="6"/>
      <c r="B831" s="6"/>
      <c r="C831" s="11"/>
      <c r="D831" s="11"/>
      <c r="E831" s="6"/>
      <c r="F831" s="12"/>
    </row>
    <row r="832" customFormat="false" ht="15" hidden="false" customHeight="true" outlineLevel="0" collapsed="false">
      <c r="A832" s="6"/>
      <c r="B832" s="6"/>
      <c r="C832" s="11"/>
      <c r="D832" s="11"/>
      <c r="E832" s="6"/>
      <c r="F832" s="12"/>
    </row>
    <row r="833" customFormat="false" ht="15" hidden="false" customHeight="true" outlineLevel="0" collapsed="false">
      <c r="A833" s="6"/>
      <c r="B833" s="6"/>
      <c r="C833" s="11"/>
      <c r="D833" s="11"/>
      <c r="E833" s="6"/>
      <c r="F833" s="12"/>
    </row>
    <row r="834" customFormat="false" ht="15" hidden="false" customHeight="true" outlineLevel="0" collapsed="false">
      <c r="A834" s="6"/>
      <c r="B834" s="6"/>
      <c r="C834" s="11"/>
      <c r="D834" s="11"/>
      <c r="E834" s="6"/>
      <c r="F834" s="12"/>
    </row>
    <row r="835" customFormat="false" ht="15" hidden="false" customHeight="true" outlineLevel="0" collapsed="false">
      <c r="A835" s="6"/>
      <c r="B835" s="6"/>
      <c r="C835" s="11"/>
      <c r="D835" s="11"/>
      <c r="E835" s="6"/>
      <c r="F835" s="12"/>
    </row>
    <row r="836" customFormat="false" ht="15" hidden="false" customHeight="true" outlineLevel="0" collapsed="false">
      <c r="A836" s="6"/>
      <c r="B836" s="6"/>
      <c r="C836" s="11"/>
      <c r="D836" s="11"/>
      <c r="E836" s="6"/>
      <c r="F836" s="12"/>
    </row>
    <row r="837" customFormat="false" ht="15" hidden="false" customHeight="true" outlineLevel="0" collapsed="false">
      <c r="A837" s="6"/>
      <c r="B837" s="6"/>
      <c r="C837" s="11"/>
      <c r="D837" s="11"/>
      <c r="E837" s="6"/>
      <c r="F837" s="12"/>
    </row>
    <row r="838" customFormat="false" ht="15" hidden="false" customHeight="true" outlineLevel="0" collapsed="false">
      <c r="A838" s="6"/>
      <c r="B838" s="6"/>
      <c r="C838" s="11"/>
      <c r="D838" s="11"/>
      <c r="E838" s="6"/>
      <c r="F838" s="12"/>
    </row>
    <row r="839" customFormat="false" ht="15" hidden="false" customHeight="true" outlineLevel="0" collapsed="false">
      <c r="A839" s="6"/>
      <c r="B839" s="6"/>
      <c r="C839" s="11"/>
      <c r="D839" s="11"/>
      <c r="E839" s="6"/>
      <c r="F839" s="12"/>
    </row>
    <row r="840" customFormat="false" ht="15" hidden="false" customHeight="true" outlineLevel="0" collapsed="false">
      <c r="A840" s="6"/>
      <c r="B840" s="6"/>
      <c r="C840" s="11"/>
      <c r="D840" s="11"/>
      <c r="E840" s="6"/>
      <c r="F840" s="12"/>
    </row>
    <row r="841" customFormat="false" ht="15" hidden="false" customHeight="true" outlineLevel="0" collapsed="false">
      <c r="A841" s="6"/>
      <c r="B841" s="6"/>
      <c r="C841" s="11"/>
      <c r="D841" s="11"/>
      <c r="E841" s="6"/>
      <c r="F841" s="12"/>
    </row>
    <row r="842" customFormat="false" ht="15" hidden="false" customHeight="true" outlineLevel="0" collapsed="false">
      <c r="A842" s="6"/>
      <c r="B842" s="6"/>
      <c r="C842" s="11"/>
      <c r="D842" s="11"/>
      <c r="E842" s="6"/>
      <c r="F842" s="12"/>
    </row>
    <row r="843" customFormat="false" ht="15" hidden="false" customHeight="true" outlineLevel="0" collapsed="false">
      <c r="A843" s="6"/>
      <c r="B843" s="6"/>
      <c r="C843" s="11"/>
      <c r="D843" s="11"/>
      <c r="E843" s="6"/>
      <c r="F843" s="12"/>
    </row>
    <row r="844" customFormat="false" ht="15" hidden="false" customHeight="true" outlineLevel="0" collapsed="false">
      <c r="A844" s="6"/>
      <c r="B844" s="6"/>
      <c r="C844" s="11"/>
      <c r="D844" s="11"/>
      <c r="E844" s="6"/>
      <c r="F844" s="12"/>
    </row>
    <row r="845" customFormat="false" ht="15" hidden="false" customHeight="true" outlineLevel="0" collapsed="false">
      <c r="A845" s="6"/>
      <c r="B845" s="6"/>
      <c r="C845" s="11"/>
      <c r="D845" s="11"/>
      <c r="E845" s="6"/>
      <c r="F845" s="12"/>
    </row>
    <row r="846" customFormat="false" ht="15" hidden="false" customHeight="true" outlineLevel="0" collapsed="false">
      <c r="A846" s="6"/>
      <c r="B846" s="6"/>
      <c r="C846" s="11"/>
      <c r="D846" s="11"/>
      <c r="E846" s="6"/>
      <c r="F846" s="12"/>
    </row>
    <row r="847" customFormat="false" ht="15" hidden="false" customHeight="true" outlineLevel="0" collapsed="false">
      <c r="A847" s="6"/>
      <c r="B847" s="6"/>
      <c r="C847" s="11"/>
      <c r="D847" s="11"/>
      <c r="E847" s="6"/>
      <c r="F847" s="12"/>
    </row>
    <row r="848" customFormat="false" ht="15" hidden="false" customHeight="true" outlineLevel="0" collapsed="false">
      <c r="A848" s="6"/>
      <c r="B848" s="6"/>
      <c r="C848" s="11"/>
      <c r="D848" s="11"/>
      <c r="E848" s="6"/>
      <c r="F848" s="12"/>
    </row>
    <row r="849" customFormat="false" ht="15" hidden="false" customHeight="true" outlineLevel="0" collapsed="false">
      <c r="A849" s="6"/>
      <c r="B849" s="6"/>
      <c r="C849" s="11"/>
      <c r="D849" s="11"/>
      <c r="E849" s="6"/>
      <c r="F849" s="12"/>
    </row>
    <row r="850" customFormat="false" ht="15" hidden="false" customHeight="true" outlineLevel="0" collapsed="false">
      <c r="A850" s="6"/>
      <c r="B850" s="6"/>
      <c r="C850" s="11"/>
      <c r="D850" s="11"/>
      <c r="E850" s="6"/>
      <c r="F850" s="12"/>
    </row>
    <row r="851" customFormat="false" ht="15" hidden="false" customHeight="true" outlineLevel="0" collapsed="false">
      <c r="A851" s="6"/>
      <c r="B851" s="6"/>
      <c r="C851" s="11"/>
      <c r="D851" s="11"/>
      <c r="E851" s="6"/>
      <c r="F851" s="12"/>
    </row>
    <row r="852" customFormat="false" ht="15" hidden="false" customHeight="true" outlineLevel="0" collapsed="false">
      <c r="A852" s="6"/>
      <c r="B852" s="6"/>
      <c r="C852" s="11"/>
      <c r="D852" s="11"/>
      <c r="E852" s="6"/>
      <c r="F852" s="12"/>
    </row>
    <row r="853" customFormat="false" ht="15" hidden="false" customHeight="true" outlineLevel="0" collapsed="false">
      <c r="A853" s="6"/>
      <c r="B853" s="6"/>
      <c r="C853" s="11"/>
      <c r="D853" s="11"/>
      <c r="E853" s="6"/>
      <c r="F853" s="12"/>
    </row>
    <row r="854" customFormat="false" ht="15" hidden="false" customHeight="true" outlineLevel="0" collapsed="false">
      <c r="A854" s="6"/>
      <c r="B854" s="6"/>
      <c r="C854" s="11"/>
      <c r="D854" s="11"/>
      <c r="E854" s="6"/>
      <c r="F854" s="12"/>
    </row>
    <row r="855" customFormat="false" ht="15" hidden="false" customHeight="true" outlineLevel="0" collapsed="false">
      <c r="A855" s="6"/>
      <c r="B855" s="6"/>
      <c r="C855" s="11"/>
      <c r="D855" s="11"/>
      <c r="E855" s="6"/>
      <c r="F855" s="12"/>
    </row>
    <row r="856" customFormat="false" ht="15" hidden="false" customHeight="true" outlineLevel="0" collapsed="false">
      <c r="A856" s="6"/>
      <c r="B856" s="6"/>
      <c r="C856" s="11"/>
      <c r="D856" s="11"/>
      <c r="E856" s="6"/>
      <c r="F856" s="12"/>
    </row>
    <row r="857" customFormat="false" ht="15" hidden="false" customHeight="true" outlineLevel="0" collapsed="false">
      <c r="A857" s="6"/>
      <c r="B857" s="6"/>
      <c r="C857" s="11"/>
      <c r="D857" s="11"/>
      <c r="E857" s="6"/>
      <c r="F857" s="12"/>
    </row>
    <row r="858" customFormat="false" ht="15" hidden="false" customHeight="true" outlineLevel="0" collapsed="false">
      <c r="A858" s="6"/>
      <c r="B858" s="6"/>
      <c r="C858" s="11"/>
      <c r="D858" s="11"/>
      <c r="E858" s="6"/>
      <c r="F858" s="12"/>
    </row>
    <row r="859" customFormat="false" ht="15" hidden="false" customHeight="true" outlineLevel="0" collapsed="false">
      <c r="A859" s="6"/>
      <c r="B859" s="6"/>
      <c r="C859" s="11"/>
      <c r="D859" s="11"/>
      <c r="E859" s="6"/>
      <c r="F859" s="12"/>
    </row>
    <row r="860" customFormat="false" ht="15" hidden="false" customHeight="true" outlineLevel="0" collapsed="false">
      <c r="A860" s="6"/>
      <c r="B860" s="6"/>
      <c r="C860" s="11"/>
      <c r="D860" s="11"/>
      <c r="E860" s="6"/>
      <c r="F860" s="12"/>
    </row>
    <row r="861" customFormat="false" ht="15" hidden="false" customHeight="true" outlineLevel="0" collapsed="false">
      <c r="A861" s="6"/>
      <c r="B861" s="6"/>
      <c r="C861" s="11"/>
      <c r="D861" s="11"/>
      <c r="E861" s="6"/>
      <c r="F861" s="12"/>
    </row>
    <row r="862" customFormat="false" ht="15" hidden="false" customHeight="true" outlineLevel="0" collapsed="false">
      <c r="A862" s="6"/>
      <c r="B862" s="6"/>
      <c r="C862" s="11"/>
      <c r="D862" s="11"/>
      <c r="E862" s="6"/>
      <c r="F862" s="12"/>
    </row>
    <row r="863" customFormat="false" ht="15" hidden="false" customHeight="true" outlineLevel="0" collapsed="false">
      <c r="A863" s="6"/>
      <c r="B863" s="6"/>
      <c r="C863" s="11"/>
      <c r="D863" s="11"/>
      <c r="E863" s="6"/>
      <c r="F863" s="12"/>
    </row>
    <row r="864" customFormat="false" ht="15" hidden="false" customHeight="true" outlineLevel="0" collapsed="false">
      <c r="A864" s="6"/>
      <c r="B864" s="6"/>
      <c r="C864" s="11"/>
      <c r="D864" s="11"/>
      <c r="E864" s="6"/>
      <c r="F864" s="12"/>
    </row>
    <row r="865" customFormat="false" ht="15" hidden="false" customHeight="true" outlineLevel="0" collapsed="false">
      <c r="A865" s="6"/>
      <c r="B865" s="6"/>
      <c r="C865" s="11"/>
      <c r="D865" s="11"/>
      <c r="E865" s="6"/>
      <c r="F865" s="12"/>
    </row>
    <row r="866" customFormat="false" ht="15" hidden="false" customHeight="true" outlineLevel="0" collapsed="false">
      <c r="A866" s="6"/>
      <c r="B866" s="6"/>
      <c r="C866" s="11"/>
      <c r="D866" s="11"/>
      <c r="E866" s="6"/>
      <c r="F866" s="12"/>
    </row>
    <row r="867" customFormat="false" ht="15" hidden="false" customHeight="true" outlineLevel="0" collapsed="false">
      <c r="A867" s="6"/>
      <c r="B867" s="6"/>
      <c r="C867" s="11"/>
      <c r="D867" s="11"/>
      <c r="E867" s="6"/>
      <c r="F867" s="12"/>
    </row>
    <row r="868" customFormat="false" ht="15" hidden="false" customHeight="true" outlineLevel="0" collapsed="false">
      <c r="A868" s="6"/>
      <c r="B868" s="6"/>
      <c r="C868" s="11"/>
      <c r="D868" s="11"/>
      <c r="E868" s="6"/>
      <c r="F868" s="12"/>
    </row>
    <row r="869" customFormat="false" ht="15" hidden="false" customHeight="true" outlineLevel="0" collapsed="false">
      <c r="A869" s="6"/>
      <c r="B869" s="6"/>
      <c r="C869" s="11"/>
      <c r="D869" s="11"/>
      <c r="E869" s="6"/>
      <c r="F869" s="12"/>
    </row>
    <row r="870" customFormat="false" ht="15" hidden="false" customHeight="true" outlineLevel="0" collapsed="false">
      <c r="A870" s="6"/>
      <c r="B870" s="6"/>
      <c r="C870" s="11"/>
      <c r="D870" s="11"/>
      <c r="E870" s="6"/>
      <c r="F870" s="12"/>
    </row>
    <row r="871" customFormat="false" ht="15" hidden="false" customHeight="true" outlineLevel="0" collapsed="false">
      <c r="A871" s="6"/>
      <c r="B871" s="6"/>
      <c r="C871" s="11"/>
      <c r="D871" s="11"/>
      <c r="E871" s="6"/>
      <c r="F871" s="12"/>
    </row>
    <row r="872" customFormat="false" ht="15" hidden="false" customHeight="true" outlineLevel="0" collapsed="false">
      <c r="A872" s="6"/>
      <c r="B872" s="6"/>
      <c r="C872" s="11"/>
      <c r="D872" s="11"/>
      <c r="E872" s="6"/>
      <c r="F872" s="12"/>
    </row>
    <row r="873" customFormat="false" ht="15" hidden="false" customHeight="true" outlineLevel="0" collapsed="false">
      <c r="A873" s="6"/>
      <c r="B873" s="6"/>
      <c r="C873" s="11"/>
      <c r="D873" s="11"/>
      <c r="E873" s="6"/>
      <c r="F873" s="12"/>
    </row>
    <row r="874" customFormat="false" ht="15" hidden="false" customHeight="true" outlineLevel="0" collapsed="false">
      <c r="A874" s="6"/>
      <c r="B874" s="6"/>
      <c r="C874" s="11"/>
      <c r="D874" s="11"/>
      <c r="E874" s="6"/>
      <c r="F874" s="12"/>
    </row>
    <row r="875" customFormat="false" ht="15" hidden="false" customHeight="true" outlineLevel="0" collapsed="false">
      <c r="A875" s="6"/>
      <c r="B875" s="6"/>
      <c r="C875" s="11"/>
      <c r="D875" s="11"/>
      <c r="E875" s="6"/>
      <c r="F875" s="12"/>
    </row>
    <row r="876" customFormat="false" ht="15" hidden="false" customHeight="true" outlineLevel="0" collapsed="false">
      <c r="A876" s="6"/>
      <c r="B876" s="6"/>
      <c r="C876" s="11"/>
      <c r="D876" s="11"/>
      <c r="E876" s="6"/>
      <c r="F876" s="12"/>
    </row>
    <row r="877" customFormat="false" ht="15" hidden="false" customHeight="true" outlineLevel="0" collapsed="false">
      <c r="A877" s="6"/>
      <c r="B877" s="6"/>
      <c r="C877" s="11"/>
      <c r="D877" s="11"/>
      <c r="E877" s="6"/>
      <c r="F877" s="12"/>
    </row>
    <row r="878" customFormat="false" ht="15" hidden="false" customHeight="true" outlineLevel="0" collapsed="false">
      <c r="A878" s="6"/>
      <c r="B878" s="6"/>
      <c r="C878" s="11"/>
      <c r="D878" s="11"/>
      <c r="E878" s="6"/>
      <c r="F878" s="12"/>
    </row>
    <row r="879" customFormat="false" ht="15" hidden="false" customHeight="true" outlineLevel="0" collapsed="false">
      <c r="A879" s="6"/>
      <c r="B879" s="6"/>
      <c r="C879" s="11"/>
      <c r="D879" s="11"/>
      <c r="E879" s="6"/>
      <c r="F879" s="12"/>
    </row>
    <row r="880" customFormat="false" ht="15" hidden="false" customHeight="true" outlineLevel="0" collapsed="false">
      <c r="A880" s="6"/>
      <c r="B880" s="6"/>
      <c r="C880" s="11"/>
      <c r="D880" s="11"/>
      <c r="E880" s="6"/>
      <c r="F880" s="12"/>
    </row>
    <row r="881" customFormat="false" ht="15" hidden="false" customHeight="true" outlineLevel="0" collapsed="false">
      <c r="A881" s="6"/>
      <c r="B881" s="6"/>
      <c r="C881" s="11"/>
      <c r="D881" s="11"/>
      <c r="E881" s="6"/>
      <c r="F881" s="12"/>
    </row>
    <row r="882" customFormat="false" ht="15" hidden="false" customHeight="true" outlineLevel="0" collapsed="false">
      <c r="A882" s="6"/>
      <c r="B882" s="6"/>
      <c r="C882" s="11"/>
      <c r="D882" s="11"/>
      <c r="E882" s="6"/>
      <c r="F882" s="12"/>
    </row>
    <row r="883" customFormat="false" ht="15" hidden="false" customHeight="true" outlineLevel="0" collapsed="false">
      <c r="A883" s="6"/>
      <c r="B883" s="6"/>
      <c r="C883" s="11"/>
      <c r="D883" s="11"/>
      <c r="E883" s="6"/>
      <c r="F883" s="12"/>
    </row>
    <row r="884" customFormat="false" ht="15" hidden="false" customHeight="true" outlineLevel="0" collapsed="false">
      <c r="A884" s="6"/>
      <c r="B884" s="6"/>
      <c r="C884" s="11"/>
      <c r="D884" s="11"/>
      <c r="E884" s="6"/>
      <c r="F884" s="12"/>
    </row>
    <row r="885" customFormat="false" ht="15" hidden="false" customHeight="true" outlineLevel="0" collapsed="false">
      <c r="A885" s="6"/>
      <c r="B885" s="6"/>
      <c r="C885" s="11"/>
      <c r="D885" s="11"/>
      <c r="E885" s="6"/>
      <c r="F885" s="12"/>
    </row>
    <row r="886" customFormat="false" ht="15" hidden="false" customHeight="true" outlineLevel="0" collapsed="false">
      <c r="A886" s="6"/>
      <c r="B886" s="6"/>
      <c r="C886" s="11"/>
      <c r="D886" s="11"/>
      <c r="E886" s="6"/>
      <c r="F886" s="12"/>
    </row>
    <row r="887" customFormat="false" ht="15" hidden="false" customHeight="true" outlineLevel="0" collapsed="false">
      <c r="A887" s="6"/>
      <c r="B887" s="6"/>
      <c r="C887" s="11"/>
      <c r="D887" s="11"/>
      <c r="E887" s="6"/>
      <c r="F887" s="12"/>
    </row>
    <row r="888" customFormat="false" ht="15" hidden="false" customHeight="true" outlineLevel="0" collapsed="false">
      <c r="A888" s="6"/>
      <c r="B888" s="6"/>
      <c r="C888" s="11"/>
      <c r="D888" s="11"/>
      <c r="E888" s="6"/>
      <c r="F888" s="12"/>
    </row>
    <row r="889" customFormat="false" ht="15" hidden="false" customHeight="true" outlineLevel="0" collapsed="false">
      <c r="A889" s="6"/>
      <c r="B889" s="6"/>
      <c r="C889" s="11"/>
      <c r="D889" s="11"/>
      <c r="E889" s="6"/>
      <c r="F889" s="12"/>
    </row>
    <row r="890" customFormat="false" ht="15" hidden="false" customHeight="true" outlineLevel="0" collapsed="false">
      <c r="A890" s="6"/>
      <c r="B890" s="6"/>
      <c r="C890" s="11"/>
      <c r="D890" s="11"/>
      <c r="E890" s="6"/>
      <c r="F890" s="12"/>
    </row>
    <row r="891" customFormat="false" ht="15" hidden="false" customHeight="true" outlineLevel="0" collapsed="false">
      <c r="A891" s="6"/>
      <c r="B891" s="6"/>
      <c r="C891" s="11"/>
      <c r="D891" s="11"/>
      <c r="E891" s="6"/>
      <c r="F891" s="12"/>
    </row>
    <row r="892" customFormat="false" ht="15" hidden="false" customHeight="true" outlineLevel="0" collapsed="false">
      <c r="A892" s="6"/>
      <c r="B892" s="6"/>
      <c r="C892" s="11"/>
      <c r="D892" s="11"/>
      <c r="E892" s="6"/>
      <c r="F892" s="12"/>
    </row>
    <row r="893" customFormat="false" ht="15" hidden="false" customHeight="true" outlineLevel="0" collapsed="false">
      <c r="A893" s="6"/>
      <c r="B893" s="6"/>
      <c r="C893" s="11"/>
      <c r="D893" s="11"/>
      <c r="E893" s="6"/>
      <c r="F893" s="12"/>
    </row>
    <row r="894" customFormat="false" ht="15" hidden="false" customHeight="true" outlineLevel="0" collapsed="false">
      <c r="A894" s="6"/>
      <c r="B894" s="6"/>
      <c r="C894" s="11"/>
      <c r="D894" s="11"/>
      <c r="E894" s="6"/>
      <c r="F894" s="12"/>
    </row>
    <row r="895" customFormat="false" ht="15" hidden="false" customHeight="true" outlineLevel="0" collapsed="false">
      <c r="A895" s="6"/>
      <c r="B895" s="6"/>
      <c r="C895" s="11"/>
      <c r="D895" s="11"/>
      <c r="E895" s="6"/>
      <c r="F895" s="12"/>
    </row>
    <row r="896" customFormat="false" ht="15" hidden="false" customHeight="true" outlineLevel="0" collapsed="false">
      <c r="A896" s="6"/>
      <c r="B896" s="6"/>
      <c r="C896" s="11"/>
      <c r="D896" s="11"/>
      <c r="E896" s="6"/>
      <c r="F896" s="12"/>
    </row>
    <row r="897" customFormat="false" ht="15" hidden="false" customHeight="true" outlineLevel="0" collapsed="false">
      <c r="A897" s="6"/>
      <c r="B897" s="6"/>
      <c r="C897" s="11"/>
      <c r="D897" s="11"/>
      <c r="E897" s="6"/>
      <c r="F897" s="12"/>
    </row>
    <row r="898" customFormat="false" ht="15" hidden="false" customHeight="true" outlineLevel="0" collapsed="false">
      <c r="A898" s="6"/>
      <c r="B898" s="6"/>
      <c r="C898" s="11"/>
      <c r="D898" s="11"/>
      <c r="E898" s="6"/>
      <c r="F898" s="12"/>
    </row>
    <row r="899" customFormat="false" ht="15" hidden="false" customHeight="true" outlineLevel="0" collapsed="false">
      <c r="A899" s="6"/>
      <c r="B899" s="6"/>
      <c r="C899" s="11"/>
      <c r="D899" s="11"/>
      <c r="E899" s="6"/>
      <c r="F899" s="12"/>
    </row>
    <row r="900" customFormat="false" ht="15" hidden="false" customHeight="true" outlineLevel="0" collapsed="false">
      <c r="A900" s="6"/>
      <c r="B900" s="6"/>
      <c r="C900" s="11"/>
      <c r="D900" s="11"/>
      <c r="E900" s="6"/>
      <c r="F900" s="12"/>
    </row>
    <row r="901" customFormat="false" ht="15" hidden="false" customHeight="true" outlineLevel="0" collapsed="false">
      <c r="A901" s="6"/>
      <c r="B901" s="6"/>
      <c r="C901" s="11"/>
      <c r="D901" s="11"/>
      <c r="E901" s="6"/>
      <c r="F901" s="12"/>
    </row>
    <row r="902" customFormat="false" ht="15" hidden="false" customHeight="true" outlineLevel="0" collapsed="false">
      <c r="A902" s="6"/>
      <c r="B902" s="6"/>
      <c r="C902" s="11"/>
      <c r="D902" s="11"/>
      <c r="E902" s="6"/>
      <c r="F902" s="12"/>
    </row>
    <row r="903" customFormat="false" ht="15" hidden="false" customHeight="true" outlineLevel="0" collapsed="false">
      <c r="A903" s="6"/>
      <c r="B903" s="6"/>
      <c r="C903" s="11"/>
      <c r="D903" s="11"/>
      <c r="E903" s="6"/>
      <c r="F903" s="12"/>
    </row>
    <row r="904" customFormat="false" ht="15" hidden="false" customHeight="true" outlineLevel="0" collapsed="false">
      <c r="A904" s="6"/>
      <c r="B904" s="6"/>
      <c r="C904" s="11"/>
      <c r="D904" s="11"/>
      <c r="E904" s="6"/>
      <c r="F904" s="12"/>
    </row>
    <row r="905" customFormat="false" ht="15" hidden="false" customHeight="true" outlineLevel="0" collapsed="false">
      <c r="A905" s="6"/>
      <c r="B905" s="6"/>
      <c r="C905" s="11"/>
      <c r="D905" s="11"/>
      <c r="E905" s="6"/>
      <c r="F905" s="12"/>
    </row>
    <row r="906" customFormat="false" ht="15" hidden="false" customHeight="true" outlineLevel="0" collapsed="false">
      <c r="A906" s="6"/>
      <c r="B906" s="6"/>
      <c r="C906" s="11"/>
      <c r="D906" s="11"/>
      <c r="E906" s="6"/>
      <c r="F906" s="12"/>
    </row>
    <row r="907" customFormat="false" ht="15" hidden="false" customHeight="true" outlineLevel="0" collapsed="false">
      <c r="A907" s="6"/>
      <c r="B907" s="6"/>
      <c r="C907" s="11"/>
      <c r="D907" s="11"/>
      <c r="E907" s="6"/>
      <c r="F907" s="12"/>
    </row>
    <row r="908" customFormat="false" ht="15" hidden="false" customHeight="true" outlineLevel="0" collapsed="false">
      <c r="A908" s="6"/>
      <c r="B908" s="6"/>
      <c r="C908" s="11"/>
      <c r="D908" s="11"/>
      <c r="E908" s="6"/>
      <c r="F908" s="12"/>
    </row>
    <row r="909" customFormat="false" ht="15" hidden="false" customHeight="true" outlineLevel="0" collapsed="false">
      <c r="A909" s="6"/>
      <c r="B909" s="6"/>
      <c r="C909" s="11"/>
      <c r="D909" s="11"/>
      <c r="E909" s="6"/>
      <c r="F909" s="12"/>
    </row>
    <row r="910" customFormat="false" ht="15" hidden="false" customHeight="true" outlineLevel="0" collapsed="false">
      <c r="A910" s="6"/>
      <c r="B910" s="6"/>
      <c r="C910" s="11"/>
      <c r="D910" s="11"/>
      <c r="E910" s="6"/>
      <c r="F910" s="12"/>
    </row>
    <row r="911" customFormat="false" ht="15" hidden="false" customHeight="true" outlineLevel="0" collapsed="false">
      <c r="A911" s="6"/>
      <c r="B911" s="6"/>
      <c r="C911" s="11"/>
      <c r="D911" s="11"/>
      <c r="E911" s="6"/>
      <c r="F911" s="12"/>
    </row>
    <row r="912" customFormat="false" ht="15" hidden="false" customHeight="true" outlineLevel="0" collapsed="false">
      <c r="A912" s="6"/>
      <c r="B912" s="6"/>
      <c r="C912" s="11"/>
      <c r="D912" s="11"/>
      <c r="E912" s="6"/>
      <c r="F912" s="12"/>
    </row>
    <row r="913" customFormat="false" ht="15" hidden="false" customHeight="true" outlineLevel="0" collapsed="false">
      <c r="A913" s="6"/>
      <c r="B913" s="6"/>
      <c r="C913" s="11"/>
      <c r="D913" s="11"/>
      <c r="E913" s="6"/>
      <c r="F913" s="12"/>
    </row>
    <row r="914" customFormat="false" ht="15" hidden="false" customHeight="true" outlineLevel="0" collapsed="false">
      <c r="A914" s="6"/>
      <c r="B914" s="6"/>
      <c r="C914" s="11"/>
      <c r="D914" s="11"/>
      <c r="E914" s="6"/>
      <c r="F914" s="12"/>
    </row>
    <row r="915" customFormat="false" ht="15" hidden="false" customHeight="true" outlineLevel="0" collapsed="false">
      <c r="A915" s="6"/>
      <c r="B915" s="6"/>
      <c r="C915" s="11"/>
      <c r="D915" s="11"/>
      <c r="E915" s="6"/>
      <c r="F915" s="12"/>
    </row>
    <row r="916" customFormat="false" ht="15" hidden="false" customHeight="true" outlineLevel="0" collapsed="false">
      <c r="A916" s="6"/>
      <c r="B916" s="6"/>
      <c r="C916" s="11"/>
      <c r="D916" s="11"/>
      <c r="E916" s="6"/>
      <c r="F916" s="12"/>
    </row>
    <row r="917" customFormat="false" ht="15" hidden="false" customHeight="true" outlineLevel="0" collapsed="false">
      <c r="A917" s="6"/>
      <c r="B917" s="6"/>
      <c r="C917" s="11"/>
      <c r="D917" s="11"/>
      <c r="E917" s="6"/>
      <c r="F917" s="12"/>
    </row>
    <row r="918" customFormat="false" ht="15" hidden="false" customHeight="true" outlineLevel="0" collapsed="false">
      <c r="A918" s="6"/>
      <c r="B918" s="6"/>
      <c r="C918" s="11"/>
      <c r="D918" s="11"/>
      <c r="E918" s="6"/>
      <c r="F918" s="12"/>
    </row>
    <row r="919" customFormat="false" ht="15" hidden="false" customHeight="true" outlineLevel="0" collapsed="false">
      <c r="A919" s="6"/>
      <c r="B919" s="6"/>
      <c r="C919" s="11"/>
      <c r="D919" s="11"/>
      <c r="E919" s="6"/>
      <c r="F919" s="12"/>
    </row>
    <row r="920" customFormat="false" ht="15" hidden="false" customHeight="true" outlineLevel="0" collapsed="false">
      <c r="A920" s="6"/>
      <c r="B920" s="6"/>
      <c r="C920" s="11"/>
      <c r="D920" s="11"/>
      <c r="E920" s="6"/>
      <c r="F920" s="12"/>
    </row>
    <row r="921" customFormat="false" ht="15" hidden="false" customHeight="true" outlineLevel="0" collapsed="false">
      <c r="A921" s="6"/>
      <c r="B921" s="6"/>
      <c r="C921" s="11"/>
      <c r="D921" s="11"/>
      <c r="E921" s="6"/>
      <c r="F921" s="12"/>
    </row>
    <row r="922" customFormat="false" ht="15" hidden="false" customHeight="true" outlineLevel="0" collapsed="false">
      <c r="A922" s="6"/>
      <c r="B922" s="6"/>
      <c r="C922" s="11"/>
      <c r="D922" s="11"/>
      <c r="E922" s="6"/>
      <c r="F922" s="12"/>
    </row>
    <row r="923" customFormat="false" ht="15" hidden="false" customHeight="true" outlineLevel="0" collapsed="false">
      <c r="A923" s="6"/>
      <c r="B923" s="6"/>
      <c r="C923" s="11"/>
      <c r="D923" s="11"/>
      <c r="E923" s="6"/>
      <c r="F923" s="12"/>
    </row>
    <row r="924" customFormat="false" ht="15" hidden="false" customHeight="true" outlineLevel="0" collapsed="false">
      <c r="A924" s="6"/>
      <c r="B924" s="6"/>
      <c r="C924" s="11"/>
      <c r="D924" s="11"/>
      <c r="E924" s="6"/>
      <c r="F924" s="12"/>
    </row>
    <row r="925" customFormat="false" ht="15" hidden="false" customHeight="true" outlineLevel="0" collapsed="false">
      <c r="A925" s="6"/>
      <c r="B925" s="6"/>
      <c r="C925" s="11"/>
      <c r="D925" s="11"/>
      <c r="E925" s="6"/>
      <c r="F925" s="12"/>
    </row>
    <row r="926" customFormat="false" ht="15" hidden="false" customHeight="true" outlineLevel="0" collapsed="false">
      <c r="A926" s="6"/>
      <c r="B926" s="6"/>
      <c r="C926" s="11"/>
      <c r="D926" s="11"/>
      <c r="E926" s="6"/>
      <c r="F926" s="12"/>
    </row>
    <row r="927" customFormat="false" ht="15" hidden="false" customHeight="true" outlineLevel="0" collapsed="false">
      <c r="A927" s="6"/>
      <c r="B927" s="6"/>
      <c r="C927" s="11"/>
      <c r="D927" s="11"/>
      <c r="E927" s="6"/>
      <c r="F927" s="12"/>
    </row>
    <row r="928" customFormat="false" ht="15" hidden="false" customHeight="true" outlineLevel="0" collapsed="false">
      <c r="A928" s="6"/>
      <c r="B928" s="6"/>
      <c r="C928" s="11"/>
      <c r="D928" s="11"/>
      <c r="E928" s="6"/>
      <c r="F928" s="12"/>
    </row>
    <row r="929" customFormat="false" ht="15" hidden="false" customHeight="true" outlineLevel="0" collapsed="false">
      <c r="A929" s="6"/>
      <c r="B929" s="6"/>
      <c r="C929" s="11"/>
      <c r="D929" s="11"/>
      <c r="E929" s="6"/>
      <c r="F929" s="12"/>
    </row>
    <row r="930" customFormat="false" ht="15" hidden="false" customHeight="true" outlineLevel="0" collapsed="false">
      <c r="A930" s="6"/>
      <c r="B930" s="6"/>
      <c r="C930" s="11"/>
      <c r="D930" s="11"/>
      <c r="E930" s="6"/>
      <c r="F930" s="12"/>
    </row>
    <row r="931" customFormat="false" ht="15" hidden="false" customHeight="true" outlineLevel="0" collapsed="false">
      <c r="A931" s="6"/>
      <c r="B931" s="6"/>
      <c r="C931" s="11"/>
      <c r="D931" s="11"/>
      <c r="E931" s="6"/>
      <c r="F931" s="12"/>
    </row>
    <row r="932" customFormat="false" ht="15" hidden="false" customHeight="true" outlineLevel="0" collapsed="false">
      <c r="A932" s="6"/>
      <c r="B932" s="6"/>
      <c r="C932" s="11"/>
      <c r="D932" s="11"/>
      <c r="E932" s="6"/>
      <c r="F932" s="12"/>
    </row>
    <row r="933" customFormat="false" ht="15" hidden="false" customHeight="true" outlineLevel="0" collapsed="false">
      <c r="A933" s="6"/>
      <c r="B933" s="6"/>
      <c r="C933" s="11"/>
      <c r="D933" s="11"/>
      <c r="E933" s="6"/>
      <c r="F933" s="12"/>
    </row>
    <row r="934" customFormat="false" ht="15" hidden="false" customHeight="true" outlineLevel="0" collapsed="false">
      <c r="A934" s="6"/>
      <c r="B934" s="6"/>
      <c r="C934" s="11"/>
      <c r="D934" s="11"/>
      <c r="E934" s="6"/>
      <c r="F934" s="12"/>
    </row>
    <row r="935" customFormat="false" ht="15" hidden="false" customHeight="true" outlineLevel="0" collapsed="false">
      <c r="A935" s="6"/>
      <c r="B935" s="6"/>
      <c r="C935" s="11"/>
      <c r="D935" s="11"/>
      <c r="E935" s="6"/>
      <c r="F935" s="12"/>
    </row>
    <row r="936" customFormat="false" ht="15" hidden="false" customHeight="true" outlineLevel="0" collapsed="false">
      <c r="A936" s="6"/>
      <c r="B936" s="6"/>
      <c r="C936" s="11"/>
      <c r="D936" s="11"/>
      <c r="E936" s="6"/>
      <c r="F936" s="12"/>
    </row>
    <row r="937" customFormat="false" ht="15" hidden="false" customHeight="true" outlineLevel="0" collapsed="false">
      <c r="A937" s="6"/>
      <c r="B937" s="6"/>
      <c r="C937" s="11"/>
      <c r="D937" s="11"/>
      <c r="E937" s="6"/>
      <c r="F937" s="12"/>
    </row>
    <row r="938" customFormat="false" ht="15" hidden="false" customHeight="true" outlineLevel="0" collapsed="false">
      <c r="A938" s="6"/>
      <c r="B938" s="6"/>
      <c r="C938" s="11"/>
      <c r="D938" s="11"/>
      <c r="E938" s="6"/>
      <c r="F938" s="12"/>
    </row>
    <row r="939" customFormat="false" ht="15" hidden="false" customHeight="true" outlineLevel="0" collapsed="false">
      <c r="A939" s="6"/>
      <c r="B939" s="6"/>
      <c r="C939" s="11"/>
      <c r="D939" s="11"/>
      <c r="E939" s="6"/>
      <c r="F939" s="12"/>
    </row>
    <row r="940" customFormat="false" ht="15" hidden="false" customHeight="true" outlineLevel="0" collapsed="false">
      <c r="A940" s="6"/>
      <c r="B940" s="6"/>
      <c r="C940" s="11"/>
      <c r="D940" s="11"/>
      <c r="E940" s="6"/>
      <c r="F940" s="12"/>
    </row>
    <row r="941" customFormat="false" ht="15" hidden="false" customHeight="true" outlineLevel="0" collapsed="false">
      <c r="A941" s="6"/>
      <c r="B941" s="6"/>
      <c r="C941" s="11"/>
      <c r="D941" s="11"/>
      <c r="E941" s="6"/>
      <c r="F941" s="12"/>
    </row>
    <row r="942" customFormat="false" ht="15" hidden="false" customHeight="true" outlineLevel="0" collapsed="false">
      <c r="A942" s="6"/>
      <c r="B942" s="6"/>
      <c r="C942" s="11"/>
      <c r="D942" s="11"/>
      <c r="E942" s="6"/>
      <c r="F942" s="12"/>
    </row>
    <row r="943" customFormat="false" ht="15" hidden="false" customHeight="true" outlineLevel="0" collapsed="false">
      <c r="A943" s="6"/>
      <c r="B943" s="6"/>
      <c r="C943" s="11"/>
      <c r="D943" s="11"/>
      <c r="E943" s="6"/>
      <c r="F943" s="12"/>
    </row>
    <row r="944" customFormat="false" ht="15" hidden="false" customHeight="true" outlineLevel="0" collapsed="false">
      <c r="A944" s="6"/>
      <c r="B944" s="6"/>
      <c r="C944" s="11"/>
      <c r="D944" s="11"/>
      <c r="E944" s="6"/>
      <c r="F944" s="12"/>
    </row>
    <row r="945" customFormat="false" ht="15" hidden="false" customHeight="true" outlineLevel="0" collapsed="false">
      <c r="A945" s="6"/>
      <c r="B945" s="6"/>
      <c r="C945" s="11"/>
      <c r="D945" s="11"/>
      <c r="E945" s="6"/>
      <c r="F945" s="12"/>
    </row>
    <row r="946" customFormat="false" ht="15" hidden="false" customHeight="true" outlineLevel="0" collapsed="false">
      <c r="A946" s="6"/>
      <c r="B946" s="6"/>
      <c r="C946" s="11"/>
      <c r="D946" s="11"/>
      <c r="E946" s="6"/>
      <c r="F946" s="12"/>
    </row>
    <row r="947" customFormat="false" ht="15" hidden="false" customHeight="true" outlineLevel="0" collapsed="false">
      <c r="A947" s="6"/>
      <c r="B947" s="6"/>
      <c r="C947" s="11"/>
      <c r="D947" s="11"/>
      <c r="E947" s="6"/>
      <c r="F947" s="12"/>
    </row>
    <row r="948" customFormat="false" ht="15" hidden="false" customHeight="true" outlineLevel="0" collapsed="false">
      <c r="A948" s="6"/>
      <c r="B948" s="6"/>
      <c r="C948" s="11"/>
      <c r="D948" s="11"/>
      <c r="E948" s="6"/>
      <c r="F948" s="12"/>
    </row>
    <row r="949" customFormat="false" ht="15" hidden="false" customHeight="true" outlineLevel="0" collapsed="false">
      <c r="A949" s="6"/>
      <c r="B949" s="6"/>
      <c r="C949" s="11"/>
      <c r="D949" s="11"/>
      <c r="E949" s="6"/>
      <c r="F949" s="12"/>
    </row>
    <row r="950" customFormat="false" ht="15" hidden="false" customHeight="true" outlineLevel="0" collapsed="false">
      <c r="A950" s="6"/>
      <c r="B950" s="6"/>
      <c r="C950" s="11"/>
      <c r="D950" s="11"/>
      <c r="E950" s="6"/>
      <c r="F950" s="12"/>
    </row>
    <row r="951" customFormat="false" ht="15" hidden="false" customHeight="true" outlineLevel="0" collapsed="false">
      <c r="A951" s="6"/>
      <c r="B951" s="6"/>
      <c r="C951" s="11"/>
      <c r="D951" s="11"/>
      <c r="E951" s="6"/>
      <c r="F951" s="12"/>
    </row>
    <row r="952" customFormat="false" ht="15" hidden="false" customHeight="true" outlineLevel="0" collapsed="false">
      <c r="A952" s="6"/>
      <c r="B952" s="6"/>
      <c r="C952" s="11"/>
      <c r="D952" s="11"/>
      <c r="E952" s="6"/>
      <c r="F952" s="12"/>
    </row>
    <row r="953" customFormat="false" ht="15" hidden="false" customHeight="true" outlineLevel="0" collapsed="false">
      <c r="A953" s="6"/>
      <c r="B953" s="6"/>
      <c r="C953" s="11"/>
      <c r="D953" s="11"/>
      <c r="E953" s="6"/>
      <c r="F953" s="12"/>
    </row>
    <row r="954" customFormat="false" ht="15" hidden="false" customHeight="true" outlineLevel="0" collapsed="false">
      <c r="A954" s="6"/>
      <c r="B954" s="6"/>
      <c r="C954" s="11"/>
      <c r="D954" s="11"/>
      <c r="E954" s="6"/>
      <c r="F954" s="12"/>
    </row>
    <row r="955" customFormat="false" ht="15" hidden="false" customHeight="true" outlineLevel="0" collapsed="false">
      <c r="A955" s="6"/>
      <c r="B955" s="6"/>
      <c r="C955" s="11"/>
      <c r="D955" s="11"/>
      <c r="E955" s="6"/>
      <c r="F955" s="12"/>
    </row>
    <row r="956" customFormat="false" ht="15" hidden="false" customHeight="true" outlineLevel="0" collapsed="false">
      <c r="A956" s="6"/>
      <c r="B956" s="6"/>
      <c r="C956" s="11"/>
      <c r="D956" s="11"/>
      <c r="E956" s="6"/>
      <c r="F956" s="12"/>
    </row>
    <row r="957" customFormat="false" ht="15" hidden="false" customHeight="true" outlineLevel="0" collapsed="false">
      <c r="A957" s="6"/>
      <c r="B957" s="6"/>
      <c r="C957" s="11"/>
      <c r="D957" s="11"/>
      <c r="E957" s="6"/>
      <c r="F957" s="12"/>
    </row>
    <row r="958" customFormat="false" ht="15" hidden="false" customHeight="true" outlineLevel="0" collapsed="false">
      <c r="A958" s="6"/>
      <c r="B958" s="6"/>
      <c r="C958" s="11"/>
      <c r="D958" s="11"/>
      <c r="E958" s="6"/>
      <c r="F958" s="12"/>
    </row>
    <row r="959" customFormat="false" ht="15" hidden="false" customHeight="true" outlineLevel="0" collapsed="false">
      <c r="A959" s="6"/>
      <c r="B959" s="6"/>
      <c r="C959" s="11"/>
      <c r="D959" s="11"/>
      <c r="E959" s="6"/>
      <c r="F959" s="12"/>
    </row>
    <row r="960" customFormat="false" ht="15" hidden="false" customHeight="true" outlineLevel="0" collapsed="false">
      <c r="A960" s="6"/>
      <c r="B960" s="6"/>
      <c r="C960" s="11"/>
      <c r="D960" s="11"/>
      <c r="E960" s="6"/>
      <c r="F960" s="12"/>
    </row>
    <row r="961" customFormat="false" ht="15" hidden="false" customHeight="true" outlineLevel="0" collapsed="false">
      <c r="A961" s="6"/>
      <c r="B961" s="6"/>
      <c r="C961" s="11"/>
      <c r="D961" s="11"/>
      <c r="E961" s="6"/>
      <c r="F961" s="12"/>
    </row>
    <row r="962" customFormat="false" ht="15" hidden="false" customHeight="true" outlineLevel="0" collapsed="false">
      <c r="A962" s="6"/>
      <c r="B962" s="6"/>
      <c r="C962" s="11"/>
      <c r="D962" s="11"/>
      <c r="E962" s="6"/>
      <c r="F962" s="12"/>
    </row>
    <row r="963" customFormat="false" ht="15" hidden="false" customHeight="true" outlineLevel="0" collapsed="false">
      <c r="A963" s="6"/>
      <c r="B963" s="6"/>
      <c r="C963" s="11"/>
      <c r="D963" s="11"/>
      <c r="E963" s="6"/>
      <c r="F963" s="12"/>
    </row>
    <row r="964" customFormat="false" ht="15" hidden="false" customHeight="true" outlineLevel="0" collapsed="false">
      <c r="A964" s="6"/>
      <c r="B964" s="6"/>
      <c r="C964" s="11"/>
      <c r="D964" s="11"/>
      <c r="E964" s="6"/>
      <c r="F964" s="12"/>
    </row>
    <row r="965" customFormat="false" ht="15" hidden="false" customHeight="true" outlineLevel="0" collapsed="false">
      <c r="A965" s="6"/>
      <c r="B965" s="6"/>
      <c r="C965" s="11"/>
      <c r="D965" s="11"/>
      <c r="E965" s="6"/>
      <c r="F965" s="12"/>
    </row>
    <row r="966" customFormat="false" ht="15" hidden="false" customHeight="true" outlineLevel="0" collapsed="false">
      <c r="A966" s="6"/>
      <c r="B966" s="6"/>
      <c r="C966" s="11"/>
      <c r="D966" s="11"/>
      <c r="E966" s="6"/>
      <c r="F966" s="12"/>
    </row>
    <row r="967" customFormat="false" ht="15" hidden="false" customHeight="true" outlineLevel="0" collapsed="false">
      <c r="A967" s="6"/>
      <c r="B967" s="6"/>
      <c r="C967" s="11"/>
      <c r="D967" s="11"/>
      <c r="E967" s="6"/>
      <c r="F967" s="12"/>
    </row>
    <row r="968" customFormat="false" ht="15" hidden="false" customHeight="true" outlineLevel="0" collapsed="false">
      <c r="A968" s="6"/>
      <c r="B968" s="6"/>
      <c r="C968" s="11"/>
      <c r="D968" s="11"/>
      <c r="E968" s="6"/>
      <c r="F968" s="12"/>
    </row>
    <row r="969" customFormat="false" ht="15" hidden="false" customHeight="true" outlineLevel="0" collapsed="false">
      <c r="A969" s="6"/>
      <c r="B969" s="6"/>
      <c r="C969" s="11"/>
      <c r="D969" s="11"/>
      <c r="E969" s="6"/>
      <c r="F969" s="12"/>
    </row>
    <row r="970" customFormat="false" ht="15" hidden="false" customHeight="true" outlineLevel="0" collapsed="false">
      <c r="A970" s="6"/>
      <c r="B970" s="6"/>
      <c r="C970" s="11"/>
      <c r="D970" s="11"/>
      <c r="E970" s="6"/>
      <c r="F970" s="12"/>
    </row>
    <row r="971" customFormat="false" ht="15" hidden="false" customHeight="true" outlineLevel="0" collapsed="false">
      <c r="A971" s="6"/>
      <c r="B971" s="6"/>
      <c r="C971" s="11"/>
      <c r="D971" s="11"/>
      <c r="E971" s="6"/>
      <c r="F971" s="12"/>
    </row>
    <row r="972" customFormat="false" ht="15" hidden="false" customHeight="true" outlineLevel="0" collapsed="false">
      <c r="A972" s="6"/>
      <c r="B972" s="6"/>
      <c r="C972" s="11"/>
      <c r="D972" s="11"/>
      <c r="E972" s="6"/>
      <c r="F972" s="12"/>
    </row>
    <row r="973" customFormat="false" ht="15" hidden="false" customHeight="true" outlineLevel="0" collapsed="false">
      <c r="A973" s="6"/>
      <c r="B973" s="6"/>
      <c r="C973" s="11"/>
      <c r="D973" s="11"/>
      <c r="E973" s="6"/>
      <c r="F973" s="12"/>
    </row>
    <row r="974" customFormat="false" ht="15" hidden="false" customHeight="true" outlineLevel="0" collapsed="false">
      <c r="A974" s="6"/>
      <c r="B974" s="6"/>
      <c r="C974" s="11"/>
      <c r="D974" s="11"/>
      <c r="E974" s="6"/>
      <c r="F974" s="12"/>
    </row>
    <row r="975" customFormat="false" ht="15" hidden="false" customHeight="true" outlineLevel="0" collapsed="false">
      <c r="A975" s="6"/>
      <c r="B975" s="6"/>
      <c r="C975" s="11"/>
      <c r="D975" s="11"/>
      <c r="E975" s="6"/>
      <c r="F975" s="12"/>
    </row>
    <row r="976" customFormat="false" ht="15" hidden="false" customHeight="true" outlineLevel="0" collapsed="false">
      <c r="A976" s="6"/>
      <c r="B976" s="6"/>
      <c r="C976" s="11"/>
      <c r="D976" s="11"/>
      <c r="E976" s="6"/>
      <c r="F976" s="12"/>
    </row>
    <row r="977" customFormat="false" ht="15" hidden="false" customHeight="true" outlineLevel="0" collapsed="false">
      <c r="A977" s="6"/>
      <c r="B977" s="6"/>
      <c r="C977" s="11"/>
      <c r="D977" s="11"/>
      <c r="E977" s="6"/>
      <c r="F977" s="12"/>
    </row>
    <row r="978" customFormat="false" ht="15" hidden="false" customHeight="true" outlineLevel="0" collapsed="false">
      <c r="A978" s="6"/>
      <c r="B978" s="6"/>
      <c r="C978" s="11"/>
      <c r="D978" s="11"/>
      <c r="E978" s="6"/>
      <c r="F978" s="12"/>
    </row>
    <row r="979" customFormat="false" ht="15" hidden="false" customHeight="true" outlineLevel="0" collapsed="false">
      <c r="A979" s="6"/>
      <c r="B979" s="6"/>
      <c r="C979" s="11"/>
      <c r="D979" s="11"/>
      <c r="E979" s="6"/>
      <c r="F979" s="12"/>
    </row>
    <row r="980" customFormat="false" ht="15" hidden="false" customHeight="true" outlineLevel="0" collapsed="false">
      <c r="A980" s="6"/>
      <c r="B980" s="6"/>
      <c r="C980" s="11"/>
      <c r="D980" s="11"/>
      <c r="E980" s="6"/>
      <c r="F980" s="12"/>
    </row>
    <row r="981" customFormat="false" ht="15" hidden="false" customHeight="true" outlineLevel="0" collapsed="false">
      <c r="A981" s="6"/>
      <c r="B981" s="6"/>
      <c r="C981" s="11"/>
      <c r="D981" s="11"/>
      <c r="E981" s="6"/>
      <c r="F981" s="12"/>
    </row>
    <row r="982" customFormat="false" ht="15" hidden="false" customHeight="true" outlineLevel="0" collapsed="false">
      <c r="A982" s="6"/>
      <c r="B982" s="6"/>
      <c r="C982" s="11"/>
      <c r="D982" s="11"/>
      <c r="E982" s="6"/>
      <c r="F982" s="12"/>
    </row>
    <row r="983" customFormat="false" ht="15" hidden="false" customHeight="true" outlineLevel="0" collapsed="false">
      <c r="A983" s="6"/>
      <c r="B983" s="6"/>
      <c r="C983" s="11"/>
      <c r="D983" s="11"/>
      <c r="E983" s="6"/>
      <c r="F983" s="12"/>
    </row>
    <row r="984" customFormat="false" ht="15" hidden="false" customHeight="true" outlineLevel="0" collapsed="false">
      <c r="A984" s="6"/>
      <c r="B984" s="6"/>
      <c r="C984" s="11"/>
      <c r="D984" s="11"/>
      <c r="E984" s="6"/>
      <c r="F984" s="12"/>
    </row>
    <row r="985" customFormat="false" ht="15" hidden="false" customHeight="true" outlineLevel="0" collapsed="false">
      <c r="A985" s="6"/>
      <c r="B985" s="6"/>
      <c r="C985" s="11"/>
      <c r="D985" s="11"/>
      <c r="E985" s="6"/>
      <c r="F985" s="12"/>
    </row>
    <row r="986" customFormat="false" ht="15" hidden="false" customHeight="true" outlineLevel="0" collapsed="false">
      <c r="A986" s="6"/>
      <c r="B986" s="6"/>
      <c r="C986" s="11"/>
      <c r="D986" s="11"/>
      <c r="E986" s="6"/>
      <c r="F986" s="12"/>
    </row>
    <row r="987" customFormat="false" ht="15" hidden="false" customHeight="true" outlineLevel="0" collapsed="false">
      <c r="A987" s="6"/>
      <c r="B987" s="6"/>
      <c r="C987" s="11"/>
      <c r="D987" s="11"/>
      <c r="E987" s="6"/>
      <c r="F987" s="12"/>
    </row>
    <row r="988" customFormat="false" ht="15" hidden="false" customHeight="true" outlineLevel="0" collapsed="false">
      <c r="A988" s="6"/>
      <c r="B988" s="6"/>
      <c r="C988" s="11"/>
      <c r="D988" s="11"/>
      <c r="E988" s="6"/>
      <c r="F988" s="12"/>
    </row>
    <row r="989" customFormat="false" ht="15" hidden="false" customHeight="true" outlineLevel="0" collapsed="false">
      <c r="A989" s="6"/>
      <c r="B989" s="6"/>
      <c r="C989" s="11"/>
      <c r="D989" s="11"/>
      <c r="E989" s="6"/>
      <c r="F989" s="12"/>
    </row>
    <row r="990" customFormat="false" ht="15" hidden="false" customHeight="true" outlineLevel="0" collapsed="false">
      <c r="A990" s="6"/>
      <c r="B990" s="6"/>
      <c r="C990" s="11"/>
      <c r="D990" s="11"/>
      <c r="E990" s="6"/>
      <c r="F990" s="12"/>
    </row>
    <row r="991" customFormat="false" ht="15" hidden="false" customHeight="true" outlineLevel="0" collapsed="false">
      <c r="A991" s="6"/>
      <c r="B991" s="6"/>
      <c r="C991" s="11"/>
      <c r="D991" s="11"/>
      <c r="E991" s="6"/>
      <c r="F991" s="12"/>
    </row>
    <row r="992" customFormat="false" ht="15" hidden="false" customHeight="true" outlineLevel="0" collapsed="false">
      <c r="A992" s="6"/>
      <c r="B992" s="6"/>
      <c r="C992" s="11"/>
      <c r="D992" s="11"/>
      <c r="E992" s="6"/>
      <c r="F992" s="12"/>
    </row>
    <row r="993" customFormat="false" ht="15" hidden="false" customHeight="true" outlineLevel="0" collapsed="false">
      <c r="A993" s="6"/>
      <c r="B993" s="6"/>
      <c r="C993" s="11"/>
      <c r="D993" s="11"/>
      <c r="E993" s="6"/>
      <c r="F993" s="12"/>
    </row>
    <row r="994" customFormat="false" ht="15" hidden="false" customHeight="true" outlineLevel="0" collapsed="false">
      <c r="A994" s="6"/>
      <c r="B994" s="6"/>
      <c r="C994" s="11"/>
      <c r="D994" s="11"/>
      <c r="E994" s="6"/>
      <c r="F994" s="12"/>
    </row>
    <row r="995" customFormat="false" ht="15" hidden="false" customHeight="true" outlineLevel="0" collapsed="false">
      <c r="A995" s="6"/>
      <c r="B995" s="6"/>
      <c r="C995" s="11"/>
      <c r="D995" s="11"/>
      <c r="E995" s="6"/>
      <c r="F995" s="12"/>
    </row>
    <row r="996" customFormat="false" ht="15" hidden="false" customHeight="true" outlineLevel="0" collapsed="false">
      <c r="A996" s="6"/>
      <c r="B996" s="6"/>
      <c r="C996" s="11"/>
      <c r="D996" s="11"/>
      <c r="E996" s="6"/>
      <c r="F996" s="12"/>
    </row>
    <row r="997" customFormat="false" ht="15" hidden="false" customHeight="true" outlineLevel="0" collapsed="false">
      <c r="A997" s="6"/>
      <c r="B997" s="6"/>
      <c r="C997" s="11"/>
      <c r="D997" s="11"/>
      <c r="E997" s="6"/>
      <c r="F997" s="12"/>
    </row>
    <row r="998" customFormat="false" ht="15" hidden="false" customHeight="true" outlineLevel="0" collapsed="false">
      <c r="A998" s="6"/>
      <c r="B998" s="6"/>
      <c r="C998" s="11"/>
      <c r="D998" s="11"/>
      <c r="E998" s="6"/>
      <c r="F998" s="12"/>
    </row>
    <row r="999" customFormat="false" ht="15" hidden="false" customHeight="true" outlineLevel="0" collapsed="false">
      <c r="A999" s="6"/>
      <c r="B999" s="6"/>
      <c r="C999" s="11"/>
      <c r="D999" s="11"/>
      <c r="E999" s="6"/>
      <c r="F999" s="12"/>
    </row>
    <row r="1000" customFormat="false" ht="15" hidden="false" customHeight="true" outlineLevel="0" collapsed="false">
      <c r="A1000" s="6"/>
      <c r="B1000" s="6"/>
      <c r="C1000" s="11"/>
      <c r="D1000" s="11"/>
      <c r="E1000" s="6"/>
      <c r="F1000" s="12"/>
    </row>
    <row r="1001" customFormat="false" ht="15" hidden="false" customHeight="true" outlineLevel="0" collapsed="false">
      <c r="A1001" s="6"/>
      <c r="B1001" s="6"/>
      <c r="C1001" s="11"/>
      <c r="D1001" s="11"/>
      <c r="E1001" s="6"/>
      <c r="F1001" s="12"/>
    </row>
    <row r="1002" customFormat="false" ht="15" hidden="false" customHeight="true" outlineLevel="0" collapsed="false">
      <c r="A1002" s="6"/>
      <c r="B1002" s="6"/>
      <c r="C1002" s="11"/>
      <c r="D1002" s="11"/>
      <c r="E1002" s="6"/>
      <c r="F1002" s="12"/>
    </row>
    <row r="1003" customFormat="false" ht="15" hidden="false" customHeight="true" outlineLevel="0" collapsed="false">
      <c r="A1003" s="6"/>
      <c r="B1003" s="6"/>
      <c r="C1003" s="11"/>
      <c r="D1003" s="11"/>
      <c r="E1003" s="6"/>
      <c r="F1003" s="12"/>
    </row>
    <row r="1004" customFormat="false" ht="15" hidden="false" customHeight="true" outlineLevel="0" collapsed="false">
      <c r="A1004" s="6"/>
      <c r="B1004" s="6"/>
      <c r="C1004" s="11"/>
      <c r="D1004" s="11"/>
      <c r="E1004" s="6"/>
      <c r="F1004" s="12"/>
    </row>
    <row r="1005" customFormat="false" ht="15" hidden="false" customHeight="true" outlineLevel="0" collapsed="false">
      <c r="A1005" s="6"/>
      <c r="B1005" s="6"/>
      <c r="C1005" s="11"/>
      <c r="D1005" s="11"/>
      <c r="E1005" s="6"/>
      <c r="F1005" s="12"/>
    </row>
    <row r="1006" customFormat="false" ht="15" hidden="false" customHeight="true" outlineLevel="0" collapsed="false">
      <c r="A1006" s="6"/>
      <c r="B1006" s="6"/>
      <c r="C1006" s="11"/>
      <c r="D1006" s="11"/>
      <c r="E1006" s="6"/>
      <c r="F1006" s="12"/>
    </row>
    <row r="1007" customFormat="false" ht="15" hidden="false" customHeight="true" outlineLevel="0" collapsed="false">
      <c r="A1007" s="6"/>
      <c r="B1007" s="6"/>
      <c r="C1007" s="11"/>
      <c r="D1007" s="11"/>
      <c r="E1007" s="6"/>
      <c r="F1007" s="12"/>
    </row>
    <row r="1008" customFormat="false" ht="15" hidden="false" customHeight="true" outlineLevel="0" collapsed="false">
      <c r="A1008" s="6"/>
      <c r="B1008" s="6"/>
      <c r="C1008" s="11"/>
      <c r="D1008" s="11"/>
      <c r="E1008" s="6"/>
      <c r="F1008" s="12"/>
    </row>
    <row r="1009" customFormat="false" ht="15" hidden="false" customHeight="true" outlineLevel="0" collapsed="false">
      <c r="A1009" s="6"/>
      <c r="B1009" s="6"/>
      <c r="C1009" s="11"/>
      <c r="D1009" s="11"/>
      <c r="E1009" s="6"/>
      <c r="F1009" s="12"/>
    </row>
    <row r="1010" customFormat="false" ht="15" hidden="false" customHeight="true" outlineLevel="0" collapsed="false">
      <c r="A1010" s="6"/>
      <c r="B1010" s="6"/>
      <c r="C1010" s="11"/>
      <c r="D1010" s="11"/>
      <c r="E1010" s="6"/>
      <c r="F1010" s="12"/>
    </row>
    <row r="1011" customFormat="false" ht="15" hidden="false" customHeight="true" outlineLevel="0" collapsed="false">
      <c r="A1011" s="6"/>
      <c r="B1011" s="6"/>
      <c r="C1011" s="11"/>
      <c r="D1011" s="11"/>
      <c r="E1011" s="6"/>
      <c r="F1011" s="12"/>
    </row>
    <row r="1012" customFormat="false" ht="15" hidden="false" customHeight="true" outlineLevel="0" collapsed="false">
      <c r="A1012" s="6"/>
      <c r="B1012" s="6"/>
      <c r="C1012" s="11"/>
      <c r="D1012" s="11"/>
      <c r="E1012" s="6"/>
      <c r="F1012" s="12"/>
    </row>
    <row r="1013" customFormat="false" ht="15" hidden="false" customHeight="true" outlineLevel="0" collapsed="false">
      <c r="A1013" s="6"/>
      <c r="B1013" s="6"/>
      <c r="C1013" s="11"/>
      <c r="D1013" s="11"/>
      <c r="E1013" s="6"/>
      <c r="F1013" s="12"/>
    </row>
    <row r="1014" customFormat="false" ht="15" hidden="false" customHeight="true" outlineLevel="0" collapsed="false">
      <c r="A1014" s="6"/>
      <c r="B1014" s="6"/>
      <c r="C1014" s="11"/>
      <c r="D1014" s="11"/>
      <c r="E1014" s="6"/>
      <c r="F1014" s="12"/>
    </row>
    <row r="1015" customFormat="false" ht="15" hidden="false" customHeight="true" outlineLevel="0" collapsed="false">
      <c r="A1015" s="6"/>
      <c r="B1015" s="6"/>
      <c r="C1015" s="11"/>
      <c r="D1015" s="11"/>
      <c r="E1015" s="6"/>
      <c r="F1015" s="12"/>
    </row>
    <row r="1016" customFormat="false" ht="15" hidden="false" customHeight="true" outlineLevel="0" collapsed="false">
      <c r="A1016" s="6"/>
      <c r="B1016" s="6"/>
      <c r="C1016" s="11"/>
      <c r="D1016" s="11"/>
      <c r="E1016" s="6"/>
      <c r="F1016" s="12"/>
    </row>
    <row r="1017" customFormat="false" ht="15" hidden="false" customHeight="true" outlineLevel="0" collapsed="false">
      <c r="A1017" s="6"/>
      <c r="B1017" s="6"/>
      <c r="C1017" s="11"/>
      <c r="D1017" s="11"/>
      <c r="E1017" s="6"/>
      <c r="F1017" s="12"/>
    </row>
    <row r="1018" customFormat="false" ht="15" hidden="false" customHeight="true" outlineLevel="0" collapsed="false">
      <c r="A1018" s="6"/>
      <c r="B1018" s="6"/>
      <c r="C1018" s="11"/>
      <c r="D1018" s="11"/>
      <c r="E1018" s="6"/>
      <c r="F1018" s="12"/>
    </row>
    <row r="1019" customFormat="false" ht="15" hidden="false" customHeight="true" outlineLevel="0" collapsed="false">
      <c r="A1019" s="6"/>
      <c r="B1019" s="6"/>
      <c r="C1019" s="11"/>
      <c r="D1019" s="11"/>
      <c r="E1019" s="6"/>
      <c r="F1019" s="12"/>
    </row>
    <row r="1020" customFormat="false" ht="15" hidden="false" customHeight="true" outlineLevel="0" collapsed="false">
      <c r="A1020" s="6"/>
      <c r="B1020" s="6"/>
      <c r="C1020" s="11"/>
      <c r="D1020" s="11"/>
      <c r="E1020" s="6"/>
      <c r="F1020" s="12"/>
    </row>
    <row r="1021" customFormat="false" ht="15" hidden="false" customHeight="true" outlineLevel="0" collapsed="false">
      <c r="A1021" s="6"/>
      <c r="B1021" s="6"/>
      <c r="C1021" s="11"/>
      <c r="D1021" s="11"/>
      <c r="E1021" s="6"/>
      <c r="F1021" s="12"/>
    </row>
    <row r="1022" customFormat="false" ht="15" hidden="false" customHeight="true" outlineLevel="0" collapsed="false">
      <c r="A1022" s="6"/>
      <c r="B1022" s="6"/>
      <c r="C1022" s="11"/>
      <c r="D1022" s="11"/>
      <c r="E1022" s="6"/>
      <c r="F1022" s="12"/>
    </row>
    <row r="1023" customFormat="false" ht="15" hidden="false" customHeight="true" outlineLevel="0" collapsed="false">
      <c r="A1023" s="6"/>
      <c r="B1023" s="6"/>
      <c r="C1023" s="11"/>
      <c r="D1023" s="11"/>
      <c r="E1023" s="6"/>
      <c r="F1023" s="12"/>
    </row>
    <row r="1024" customFormat="false" ht="15" hidden="false" customHeight="true" outlineLevel="0" collapsed="false">
      <c r="A1024" s="6"/>
      <c r="B1024" s="6"/>
      <c r="C1024" s="11"/>
      <c r="D1024" s="11"/>
      <c r="E1024" s="6"/>
      <c r="F1024" s="12"/>
    </row>
    <row r="1025" customFormat="false" ht="15" hidden="false" customHeight="true" outlineLevel="0" collapsed="false">
      <c r="A1025" s="6"/>
      <c r="B1025" s="6"/>
      <c r="C1025" s="11"/>
      <c r="D1025" s="11"/>
      <c r="E1025" s="6"/>
      <c r="F1025" s="12"/>
    </row>
    <row r="1026" customFormat="false" ht="15" hidden="false" customHeight="true" outlineLevel="0" collapsed="false">
      <c r="A1026" s="6"/>
      <c r="B1026" s="6"/>
      <c r="C1026" s="11"/>
      <c r="D1026" s="11"/>
      <c r="E1026" s="6"/>
      <c r="F1026" s="12"/>
    </row>
    <row r="1027" customFormat="false" ht="15" hidden="false" customHeight="true" outlineLevel="0" collapsed="false">
      <c r="A1027" s="6"/>
      <c r="B1027" s="6"/>
      <c r="C1027" s="11"/>
      <c r="D1027" s="11"/>
      <c r="E1027" s="6"/>
      <c r="F1027" s="12"/>
    </row>
    <row r="1028" customFormat="false" ht="15" hidden="false" customHeight="true" outlineLevel="0" collapsed="false">
      <c r="A1028" s="6"/>
      <c r="B1028" s="6"/>
      <c r="C1028" s="11"/>
      <c r="D1028" s="11"/>
      <c r="E1028" s="6"/>
      <c r="F1028" s="12"/>
    </row>
    <row r="1029" customFormat="false" ht="15" hidden="false" customHeight="true" outlineLevel="0" collapsed="false">
      <c r="A1029" s="6"/>
      <c r="B1029" s="6"/>
      <c r="C1029" s="11"/>
      <c r="D1029" s="11"/>
      <c r="E1029" s="6"/>
      <c r="F1029" s="12"/>
    </row>
    <row r="1030" customFormat="false" ht="15" hidden="false" customHeight="true" outlineLevel="0" collapsed="false">
      <c r="A1030" s="6"/>
      <c r="B1030" s="6"/>
      <c r="C1030" s="11"/>
      <c r="D1030" s="11"/>
      <c r="E1030" s="6"/>
      <c r="F1030" s="12"/>
    </row>
    <row r="1031" customFormat="false" ht="15" hidden="false" customHeight="true" outlineLevel="0" collapsed="false">
      <c r="A1031" s="6"/>
      <c r="B1031" s="6"/>
      <c r="C1031" s="11"/>
      <c r="D1031" s="11"/>
      <c r="E1031" s="6"/>
      <c r="F1031" s="12"/>
    </row>
    <row r="1032" customFormat="false" ht="15" hidden="false" customHeight="true" outlineLevel="0" collapsed="false">
      <c r="A1032" s="6"/>
      <c r="B1032" s="6"/>
      <c r="C1032" s="11"/>
      <c r="D1032" s="11"/>
      <c r="E1032" s="6"/>
      <c r="F1032" s="12"/>
    </row>
    <row r="1033" customFormat="false" ht="15" hidden="false" customHeight="true" outlineLevel="0" collapsed="false">
      <c r="A1033" s="6"/>
      <c r="B1033" s="6"/>
      <c r="C1033" s="11"/>
      <c r="D1033" s="11"/>
      <c r="E1033" s="6"/>
      <c r="F1033" s="12"/>
    </row>
    <row r="1034" customFormat="false" ht="15" hidden="false" customHeight="true" outlineLevel="0" collapsed="false">
      <c r="A1034" s="6"/>
      <c r="B1034" s="6"/>
      <c r="C1034" s="11"/>
      <c r="D1034" s="11"/>
      <c r="E1034" s="6"/>
      <c r="F1034" s="12"/>
    </row>
    <row r="1035" customFormat="false" ht="15" hidden="false" customHeight="true" outlineLevel="0" collapsed="false">
      <c r="A1035" s="6"/>
      <c r="B1035" s="6"/>
      <c r="C1035" s="11"/>
      <c r="D1035" s="11"/>
      <c r="E1035" s="6"/>
      <c r="F1035" s="12"/>
    </row>
    <row r="1036" customFormat="false" ht="15" hidden="false" customHeight="true" outlineLevel="0" collapsed="false">
      <c r="A1036" s="6"/>
      <c r="B1036" s="6"/>
      <c r="C1036" s="11"/>
      <c r="D1036" s="11"/>
      <c r="E1036" s="6"/>
      <c r="F1036" s="12"/>
    </row>
    <row r="1037" customFormat="false" ht="15" hidden="false" customHeight="true" outlineLevel="0" collapsed="false">
      <c r="A1037" s="6"/>
      <c r="B1037" s="6"/>
      <c r="C1037" s="11"/>
      <c r="D1037" s="11"/>
      <c r="E1037" s="6"/>
      <c r="F1037" s="12"/>
    </row>
    <row r="1038" customFormat="false" ht="15" hidden="false" customHeight="true" outlineLevel="0" collapsed="false">
      <c r="A1038" s="6"/>
      <c r="B1038" s="6"/>
      <c r="C1038" s="11"/>
      <c r="D1038" s="11"/>
      <c r="E1038" s="6"/>
      <c r="F1038" s="12"/>
    </row>
    <row r="1039" customFormat="false" ht="15" hidden="false" customHeight="true" outlineLevel="0" collapsed="false">
      <c r="A1039" s="6"/>
      <c r="B1039" s="6"/>
      <c r="C1039" s="11"/>
      <c r="D1039" s="11"/>
      <c r="E1039" s="6"/>
      <c r="F1039" s="12"/>
    </row>
    <row r="1040" customFormat="false" ht="15" hidden="false" customHeight="true" outlineLevel="0" collapsed="false">
      <c r="A1040" s="6"/>
      <c r="B1040" s="6"/>
      <c r="C1040" s="11"/>
      <c r="D1040" s="11"/>
      <c r="E1040" s="6"/>
      <c r="F1040" s="12"/>
    </row>
    <row r="1041" customFormat="false" ht="15" hidden="false" customHeight="true" outlineLevel="0" collapsed="false">
      <c r="A1041" s="6"/>
      <c r="B1041" s="6"/>
      <c r="C1041" s="11"/>
      <c r="D1041" s="11"/>
      <c r="E1041" s="6"/>
      <c r="F1041" s="12"/>
    </row>
    <row r="1042" customFormat="false" ht="15" hidden="false" customHeight="true" outlineLevel="0" collapsed="false">
      <c r="A1042" s="6"/>
      <c r="B1042" s="6"/>
      <c r="C1042" s="11"/>
      <c r="D1042" s="11"/>
      <c r="E1042" s="6"/>
      <c r="F1042" s="12"/>
    </row>
    <row r="1043" customFormat="false" ht="15" hidden="false" customHeight="true" outlineLevel="0" collapsed="false">
      <c r="A1043" s="6"/>
      <c r="B1043" s="6"/>
      <c r="C1043" s="11"/>
      <c r="D1043" s="11"/>
      <c r="E1043" s="6"/>
      <c r="F1043" s="12"/>
    </row>
    <row r="1044" customFormat="false" ht="15" hidden="false" customHeight="true" outlineLevel="0" collapsed="false">
      <c r="A1044" s="6"/>
      <c r="B1044" s="6"/>
      <c r="C1044" s="11"/>
      <c r="D1044" s="11"/>
      <c r="E1044" s="6"/>
      <c r="F1044" s="12"/>
    </row>
    <row r="1045" customFormat="false" ht="15" hidden="false" customHeight="true" outlineLevel="0" collapsed="false">
      <c r="A1045" s="6"/>
      <c r="B1045" s="6"/>
      <c r="C1045" s="11"/>
      <c r="D1045" s="11"/>
      <c r="E1045" s="6"/>
      <c r="F1045" s="12"/>
    </row>
    <row r="1046" customFormat="false" ht="15" hidden="false" customHeight="true" outlineLevel="0" collapsed="false">
      <c r="A1046" s="6"/>
      <c r="B1046" s="6"/>
      <c r="C1046" s="11"/>
      <c r="D1046" s="11"/>
      <c r="E1046" s="6"/>
      <c r="F1046" s="12"/>
    </row>
    <row r="1047" customFormat="false" ht="15" hidden="false" customHeight="true" outlineLevel="0" collapsed="false">
      <c r="A1047" s="6"/>
      <c r="B1047" s="6"/>
      <c r="C1047" s="11"/>
      <c r="D1047" s="11"/>
      <c r="E1047" s="6"/>
      <c r="F1047" s="12"/>
    </row>
    <row r="1048" customFormat="false" ht="15" hidden="false" customHeight="true" outlineLevel="0" collapsed="false">
      <c r="A1048" s="6"/>
      <c r="B1048" s="6"/>
      <c r="C1048" s="11"/>
      <c r="D1048" s="11"/>
      <c r="E1048" s="6"/>
      <c r="F1048" s="12"/>
    </row>
    <row r="1049" customFormat="false" ht="15" hidden="false" customHeight="true" outlineLevel="0" collapsed="false">
      <c r="A1049" s="6"/>
      <c r="B1049" s="6"/>
      <c r="C1049" s="11"/>
      <c r="D1049" s="11"/>
      <c r="E1049" s="6"/>
      <c r="F1049" s="12"/>
    </row>
    <row r="1050" customFormat="false" ht="15" hidden="false" customHeight="true" outlineLevel="0" collapsed="false">
      <c r="A1050" s="6"/>
      <c r="B1050" s="6"/>
      <c r="C1050" s="11"/>
      <c r="D1050" s="11"/>
      <c r="E1050" s="6"/>
      <c r="F1050" s="12"/>
    </row>
    <row r="1051" customFormat="false" ht="15" hidden="false" customHeight="true" outlineLevel="0" collapsed="false">
      <c r="A1051" s="6"/>
      <c r="B1051" s="6"/>
      <c r="C1051" s="11"/>
      <c r="D1051" s="11"/>
      <c r="E1051" s="6"/>
      <c r="F1051" s="12"/>
    </row>
    <row r="1052" customFormat="false" ht="15" hidden="false" customHeight="true" outlineLevel="0" collapsed="false">
      <c r="A1052" s="6"/>
      <c r="B1052" s="6"/>
      <c r="C1052" s="11"/>
      <c r="D1052" s="11"/>
      <c r="E1052" s="6"/>
      <c r="F1052" s="12"/>
    </row>
    <row r="1053" customFormat="false" ht="15" hidden="false" customHeight="true" outlineLevel="0" collapsed="false">
      <c r="A1053" s="6"/>
      <c r="B1053" s="6"/>
      <c r="C1053" s="11"/>
      <c r="D1053" s="11"/>
      <c r="E1053" s="6"/>
      <c r="F1053" s="12"/>
    </row>
    <row r="1054" customFormat="false" ht="15" hidden="false" customHeight="true" outlineLevel="0" collapsed="false">
      <c r="A1054" s="6"/>
      <c r="B1054" s="6"/>
      <c r="C1054" s="11"/>
      <c r="D1054" s="11"/>
      <c r="E1054" s="6"/>
      <c r="F1054" s="12"/>
    </row>
    <row r="1055" customFormat="false" ht="15" hidden="false" customHeight="true" outlineLevel="0" collapsed="false">
      <c r="A1055" s="6"/>
      <c r="B1055" s="6"/>
      <c r="C1055" s="11"/>
      <c r="D1055" s="11"/>
      <c r="E1055" s="6"/>
      <c r="F1055" s="12"/>
    </row>
    <row r="1056" customFormat="false" ht="15" hidden="false" customHeight="true" outlineLevel="0" collapsed="false">
      <c r="A1056" s="6"/>
      <c r="B1056" s="6"/>
      <c r="C1056" s="11"/>
      <c r="D1056" s="11"/>
      <c r="E1056" s="6"/>
      <c r="F1056" s="12"/>
    </row>
    <row r="1057" customFormat="false" ht="15" hidden="false" customHeight="true" outlineLevel="0" collapsed="false">
      <c r="A1057" s="6"/>
      <c r="B1057" s="6"/>
      <c r="C1057" s="11"/>
      <c r="D1057" s="11"/>
      <c r="E1057" s="6"/>
      <c r="F1057" s="12"/>
    </row>
    <row r="1058" customFormat="false" ht="15" hidden="false" customHeight="true" outlineLevel="0" collapsed="false">
      <c r="A1058" s="6"/>
      <c r="B1058" s="6"/>
      <c r="C1058" s="11"/>
      <c r="D1058" s="11"/>
      <c r="E1058" s="6"/>
      <c r="F1058" s="12"/>
    </row>
    <row r="1059" customFormat="false" ht="15" hidden="false" customHeight="true" outlineLevel="0" collapsed="false">
      <c r="A1059" s="6"/>
      <c r="B1059" s="6"/>
      <c r="C1059" s="11"/>
      <c r="D1059" s="11"/>
      <c r="E1059" s="6"/>
      <c r="F1059" s="12"/>
    </row>
    <row r="1060" customFormat="false" ht="15" hidden="false" customHeight="true" outlineLevel="0" collapsed="false">
      <c r="A1060" s="6"/>
      <c r="B1060" s="6"/>
      <c r="C1060" s="11"/>
      <c r="D1060" s="11"/>
      <c r="E1060" s="6"/>
      <c r="F1060" s="12"/>
    </row>
    <row r="1061" customFormat="false" ht="15" hidden="false" customHeight="true" outlineLevel="0" collapsed="false">
      <c r="A1061" s="6"/>
      <c r="B1061" s="6"/>
      <c r="C1061" s="11"/>
      <c r="D1061" s="11"/>
      <c r="E1061" s="6"/>
      <c r="F1061" s="12"/>
    </row>
    <row r="1062" customFormat="false" ht="15" hidden="false" customHeight="true" outlineLevel="0" collapsed="false">
      <c r="A1062" s="6"/>
      <c r="B1062" s="6"/>
      <c r="C1062" s="11"/>
      <c r="D1062" s="11"/>
      <c r="E1062" s="6"/>
      <c r="F1062" s="12"/>
    </row>
    <row r="1063" customFormat="false" ht="15" hidden="false" customHeight="true" outlineLevel="0" collapsed="false">
      <c r="A1063" s="6"/>
      <c r="B1063" s="6"/>
      <c r="C1063" s="11"/>
      <c r="D1063" s="11"/>
      <c r="E1063" s="6"/>
      <c r="F1063" s="12"/>
    </row>
    <row r="1064" customFormat="false" ht="15" hidden="false" customHeight="true" outlineLevel="0" collapsed="false">
      <c r="A1064" s="6"/>
      <c r="B1064" s="6"/>
      <c r="C1064" s="11"/>
      <c r="D1064" s="11"/>
      <c r="E1064" s="6"/>
      <c r="F1064" s="12"/>
    </row>
    <row r="1065" customFormat="false" ht="15" hidden="false" customHeight="true" outlineLevel="0" collapsed="false">
      <c r="A1065" s="6"/>
      <c r="B1065" s="6"/>
      <c r="C1065" s="11"/>
      <c r="D1065" s="11"/>
      <c r="E1065" s="6"/>
      <c r="F1065" s="12"/>
    </row>
    <row r="1066" customFormat="false" ht="15" hidden="false" customHeight="true" outlineLevel="0" collapsed="false">
      <c r="A1066" s="6"/>
      <c r="B1066" s="6"/>
      <c r="C1066" s="11"/>
      <c r="D1066" s="11"/>
      <c r="E1066" s="6"/>
      <c r="F1066" s="12"/>
    </row>
    <row r="1067" customFormat="false" ht="15" hidden="false" customHeight="true" outlineLevel="0" collapsed="false">
      <c r="A1067" s="6"/>
      <c r="B1067" s="6"/>
      <c r="C1067" s="11"/>
      <c r="D1067" s="11"/>
      <c r="E1067" s="6"/>
      <c r="F1067" s="12"/>
    </row>
    <row r="1068" customFormat="false" ht="15" hidden="false" customHeight="true" outlineLevel="0" collapsed="false">
      <c r="A1068" s="6"/>
      <c r="B1068" s="6"/>
      <c r="C1068" s="11"/>
      <c r="D1068" s="11"/>
      <c r="E1068" s="6"/>
      <c r="F1068" s="12"/>
    </row>
    <row r="1069" customFormat="false" ht="15" hidden="false" customHeight="true" outlineLevel="0" collapsed="false">
      <c r="A1069" s="6"/>
      <c r="B1069" s="6"/>
      <c r="C1069" s="11"/>
      <c r="D1069" s="11"/>
      <c r="E1069" s="6"/>
      <c r="F1069" s="12"/>
    </row>
    <row r="1070" customFormat="false" ht="15" hidden="false" customHeight="true" outlineLevel="0" collapsed="false">
      <c r="A1070" s="6"/>
      <c r="B1070" s="6"/>
      <c r="C1070" s="11"/>
      <c r="D1070" s="11"/>
      <c r="E1070" s="6"/>
      <c r="F1070" s="12"/>
    </row>
    <row r="1071" customFormat="false" ht="15" hidden="false" customHeight="true" outlineLevel="0" collapsed="false">
      <c r="A1071" s="6"/>
      <c r="B1071" s="6"/>
      <c r="C1071" s="11"/>
      <c r="D1071" s="11"/>
      <c r="E1071" s="6"/>
      <c r="F1071" s="12"/>
    </row>
    <row r="1072" customFormat="false" ht="15" hidden="false" customHeight="true" outlineLevel="0" collapsed="false">
      <c r="A1072" s="6"/>
      <c r="B1072" s="6"/>
      <c r="C1072" s="11"/>
      <c r="D1072" s="11"/>
      <c r="E1072" s="6"/>
      <c r="F1072" s="12"/>
    </row>
    <row r="1073" customFormat="false" ht="15" hidden="false" customHeight="true" outlineLevel="0" collapsed="false">
      <c r="A1073" s="6"/>
      <c r="B1073" s="6"/>
      <c r="C1073" s="11"/>
      <c r="D1073" s="11"/>
      <c r="E1073" s="6"/>
      <c r="F1073" s="12"/>
    </row>
    <row r="1074" customFormat="false" ht="15" hidden="false" customHeight="true" outlineLevel="0" collapsed="false">
      <c r="A1074" s="6"/>
      <c r="B1074" s="6"/>
      <c r="C1074" s="11"/>
      <c r="D1074" s="11"/>
      <c r="E1074" s="6"/>
      <c r="F1074" s="12"/>
    </row>
    <row r="1075" customFormat="false" ht="15" hidden="false" customHeight="true" outlineLevel="0" collapsed="false">
      <c r="A1075" s="6"/>
      <c r="B1075" s="6"/>
      <c r="C1075" s="11"/>
      <c r="D1075" s="11"/>
      <c r="E1075" s="6"/>
      <c r="F1075" s="12"/>
    </row>
    <row r="1076" customFormat="false" ht="15" hidden="false" customHeight="true" outlineLevel="0" collapsed="false">
      <c r="A1076" s="6"/>
      <c r="B1076" s="6"/>
      <c r="C1076" s="11"/>
      <c r="D1076" s="11"/>
      <c r="E1076" s="6"/>
      <c r="F1076" s="12"/>
    </row>
    <row r="1077" customFormat="false" ht="15" hidden="false" customHeight="true" outlineLevel="0" collapsed="false">
      <c r="A1077" s="6"/>
      <c r="B1077" s="6"/>
      <c r="C1077" s="11"/>
      <c r="D1077" s="11"/>
      <c r="E1077" s="6"/>
      <c r="F1077" s="12"/>
    </row>
    <row r="1078" customFormat="false" ht="15" hidden="false" customHeight="true" outlineLevel="0" collapsed="false">
      <c r="A1078" s="6"/>
      <c r="B1078" s="6"/>
      <c r="C1078" s="11"/>
      <c r="D1078" s="11"/>
      <c r="E1078" s="6"/>
      <c r="F1078" s="12"/>
    </row>
    <row r="1079" customFormat="false" ht="15" hidden="false" customHeight="true" outlineLevel="0" collapsed="false">
      <c r="A1079" s="6"/>
      <c r="B1079" s="6"/>
      <c r="C1079" s="11"/>
      <c r="D1079" s="11"/>
      <c r="E1079" s="6"/>
      <c r="F1079" s="12"/>
    </row>
    <row r="1080" customFormat="false" ht="15" hidden="false" customHeight="true" outlineLevel="0" collapsed="false">
      <c r="A1080" s="6"/>
      <c r="B1080" s="6"/>
      <c r="C1080" s="11"/>
      <c r="D1080" s="11"/>
      <c r="E1080" s="6"/>
      <c r="F1080" s="12"/>
    </row>
    <row r="1081" customFormat="false" ht="15" hidden="false" customHeight="true" outlineLevel="0" collapsed="false">
      <c r="A1081" s="6"/>
      <c r="B1081" s="6"/>
      <c r="C1081" s="11"/>
      <c r="D1081" s="11"/>
      <c r="E1081" s="6"/>
      <c r="F1081" s="12"/>
    </row>
    <row r="1082" customFormat="false" ht="15" hidden="false" customHeight="true" outlineLevel="0" collapsed="false">
      <c r="A1082" s="6"/>
      <c r="B1082" s="6"/>
      <c r="C1082" s="11"/>
      <c r="D1082" s="11"/>
      <c r="E1082" s="6"/>
      <c r="F1082" s="12"/>
    </row>
    <row r="1083" customFormat="false" ht="15" hidden="false" customHeight="true" outlineLevel="0" collapsed="false">
      <c r="A1083" s="6"/>
      <c r="B1083" s="6"/>
      <c r="C1083" s="11"/>
      <c r="D1083" s="11"/>
      <c r="E1083" s="6"/>
      <c r="F1083" s="12"/>
    </row>
    <row r="1084" customFormat="false" ht="15" hidden="false" customHeight="true" outlineLevel="0" collapsed="false">
      <c r="A1084" s="6"/>
      <c r="B1084" s="6"/>
      <c r="C1084" s="11"/>
      <c r="D1084" s="11"/>
      <c r="E1084" s="6"/>
      <c r="F1084" s="12"/>
    </row>
    <row r="1085" customFormat="false" ht="15" hidden="false" customHeight="true" outlineLevel="0" collapsed="false">
      <c r="A1085" s="6"/>
      <c r="B1085" s="6"/>
      <c r="C1085" s="11"/>
      <c r="D1085" s="11"/>
      <c r="E1085" s="6"/>
      <c r="F1085" s="12"/>
    </row>
    <row r="1086" customFormat="false" ht="15" hidden="false" customHeight="true" outlineLevel="0" collapsed="false">
      <c r="A1086" s="6"/>
      <c r="B1086" s="6"/>
      <c r="C1086" s="11"/>
      <c r="D1086" s="11"/>
      <c r="E1086" s="6"/>
      <c r="F1086" s="12"/>
    </row>
    <row r="1087" customFormat="false" ht="15" hidden="false" customHeight="true" outlineLevel="0" collapsed="false">
      <c r="A1087" s="6"/>
      <c r="B1087" s="6"/>
      <c r="C1087" s="11"/>
      <c r="D1087" s="11"/>
      <c r="E1087" s="6"/>
      <c r="F1087" s="12"/>
    </row>
    <row r="1088" customFormat="false" ht="15" hidden="false" customHeight="true" outlineLevel="0" collapsed="false">
      <c r="A1088" s="6"/>
      <c r="B1088" s="6"/>
      <c r="C1088" s="11"/>
      <c r="D1088" s="11"/>
      <c r="E1088" s="6"/>
      <c r="F1088" s="12"/>
    </row>
    <row r="1089" customFormat="false" ht="15" hidden="false" customHeight="true" outlineLevel="0" collapsed="false">
      <c r="A1089" s="6"/>
      <c r="B1089" s="6"/>
      <c r="C1089" s="11"/>
      <c r="D1089" s="11"/>
      <c r="E1089" s="6"/>
      <c r="F1089" s="12"/>
    </row>
    <row r="1090" customFormat="false" ht="15" hidden="false" customHeight="true" outlineLevel="0" collapsed="false">
      <c r="A1090" s="6"/>
      <c r="B1090" s="6"/>
      <c r="C1090" s="11"/>
      <c r="D1090" s="11"/>
      <c r="E1090" s="6"/>
      <c r="F1090" s="12"/>
    </row>
    <row r="1091" customFormat="false" ht="15" hidden="false" customHeight="true" outlineLevel="0" collapsed="false">
      <c r="A1091" s="6"/>
      <c r="B1091" s="6"/>
      <c r="C1091" s="11"/>
      <c r="D1091" s="11"/>
      <c r="E1091" s="6"/>
      <c r="F1091" s="12"/>
    </row>
    <row r="1092" customFormat="false" ht="15" hidden="false" customHeight="true" outlineLevel="0" collapsed="false">
      <c r="A1092" s="6"/>
      <c r="B1092" s="6"/>
      <c r="C1092" s="11"/>
      <c r="D1092" s="11"/>
      <c r="E1092" s="6"/>
      <c r="F1092" s="12"/>
    </row>
    <row r="1093" customFormat="false" ht="15" hidden="false" customHeight="true" outlineLevel="0" collapsed="false">
      <c r="A1093" s="6"/>
      <c r="B1093" s="6"/>
      <c r="C1093" s="11"/>
      <c r="D1093" s="11"/>
      <c r="E1093" s="6"/>
      <c r="F1093" s="12"/>
    </row>
    <row r="1094" customFormat="false" ht="15" hidden="false" customHeight="true" outlineLevel="0" collapsed="false">
      <c r="A1094" s="6"/>
      <c r="B1094" s="6"/>
      <c r="C1094" s="11"/>
      <c r="D1094" s="11"/>
      <c r="E1094" s="6"/>
      <c r="F1094" s="12"/>
    </row>
    <row r="1095" customFormat="false" ht="15" hidden="false" customHeight="true" outlineLevel="0" collapsed="false">
      <c r="A1095" s="6"/>
      <c r="B1095" s="6"/>
      <c r="C1095" s="11"/>
      <c r="D1095" s="11"/>
      <c r="E1095" s="6"/>
      <c r="F1095" s="12"/>
    </row>
    <row r="1096" customFormat="false" ht="15" hidden="false" customHeight="true" outlineLevel="0" collapsed="false">
      <c r="A1096" s="6"/>
      <c r="B1096" s="6"/>
      <c r="C1096" s="11"/>
      <c r="D1096" s="11"/>
      <c r="E1096" s="6"/>
      <c r="F1096" s="12"/>
    </row>
    <row r="1097" customFormat="false" ht="15" hidden="false" customHeight="true" outlineLevel="0" collapsed="false">
      <c r="A1097" s="6"/>
      <c r="B1097" s="6"/>
      <c r="C1097" s="11"/>
      <c r="D1097" s="11"/>
      <c r="E1097" s="6"/>
      <c r="F1097" s="12"/>
    </row>
    <row r="1098" customFormat="false" ht="15" hidden="false" customHeight="true" outlineLevel="0" collapsed="false">
      <c r="A1098" s="6"/>
      <c r="B1098" s="6"/>
      <c r="C1098" s="11"/>
      <c r="D1098" s="11"/>
      <c r="E1098" s="6"/>
      <c r="F1098" s="12"/>
    </row>
    <row r="1099" customFormat="false" ht="15" hidden="false" customHeight="true" outlineLevel="0" collapsed="false">
      <c r="A1099" s="6"/>
      <c r="B1099" s="6"/>
      <c r="C1099" s="11"/>
      <c r="D1099" s="11"/>
      <c r="E1099" s="6"/>
      <c r="F1099" s="12"/>
    </row>
    <row r="1100" customFormat="false" ht="15" hidden="false" customHeight="true" outlineLevel="0" collapsed="false">
      <c r="A1100" s="6"/>
      <c r="B1100" s="6"/>
      <c r="C1100" s="11"/>
      <c r="D1100" s="11"/>
      <c r="E1100" s="6"/>
      <c r="F1100" s="12"/>
    </row>
    <row r="1101" customFormat="false" ht="15" hidden="false" customHeight="true" outlineLevel="0" collapsed="false">
      <c r="A1101" s="6"/>
      <c r="B1101" s="6"/>
      <c r="C1101" s="11"/>
      <c r="D1101" s="11"/>
      <c r="E1101" s="6"/>
      <c r="F1101" s="12"/>
    </row>
    <row r="1102" customFormat="false" ht="15" hidden="false" customHeight="true" outlineLevel="0" collapsed="false">
      <c r="A1102" s="6"/>
      <c r="B1102" s="6"/>
      <c r="C1102" s="11"/>
      <c r="D1102" s="11"/>
      <c r="E1102" s="6"/>
      <c r="F1102" s="12"/>
    </row>
    <row r="1103" customFormat="false" ht="15" hidden="false" customHeight="true" outlineLevel="0" collapsed="false">
      <c r="A1103" s="6"/>
      <c r="B1103" s="6"/>
      <c r="C1103" s="11"/>
      <c r="D1103" s="11"/>
      <c r="E1103" s="6"/>
      <c r="F1103" s="12"/>
    </row>
    <row r="1104" customFormat="false" ht="15" hidden="false" customHeight="true" outlineLevel="0" collapsed="false">
      <c r="A1104" s="6"/>
      <c r="B1104" s="6"/>
      <c r="C1104" s="11"/>
      <c r="D1104" s="11"/>
      <c r="E1104" s="6"/>
      <c r="F1104" s="12"/>
    </row>
    <row r="1105" customFormat="false" ht="15" hidden="false" customHeight="true" outlineLevel="0" collapsed="false">
      <c r="A1105" s="6"/>
      <c r="B1105" s="6"/>
      <c r="C1105" s="11"/>
      <c r="D1105" s="11"/>
      <c r="E1105" s="6"/>
      <c r="F1105" s="12"/>
    </row>
    <row r="1106" customFormat="false" ht="15" hidden="false" customHeight="true" outlineLevel="0" collapsed="false">
      <c r="A1106" s="6"/>
      <c r="B1106" s="6"/>
      <c r="C1106" s="11"/>
      <c r="D1106" s="11"/>
      <c r="E1106" s="6"/>
      <c r="F1106" s="12"/>
    </row>
    <row r="1107" customFormat="false" ht="15" hidden="false" customHeight="true" outlineLevel="0" collapsed="false">
      <c r="A1107" s="6"/>
      <c r="B1107" s="6"/>
      <c r="C1107" s="11"/>
      <c r="D1107" s="11"/>
      <c r="E1107" s="6"/>
      <c r="F1107" s="12"/>
    </row>
    <row r="1108" customFormat="false" ht="15" hidden="false" customHeight="true" outlineLevel="0" collapsed="false">
      <c r="A1108" s="6"/>
      <c r="B1108" s="6"/>
      <c r="C1108" s="11"/>
      <c r="D1108" s="11"/>
      <c r="E1108" s="6"/>
      <c r="F1108" s="12"/>
    </row>
    <row r="1109" customFormat="false" ht="15" hidden="false" customHeight="true" outlineLevel="0" collapsed="false">
      <c r="A1109" s="6"/>
      <c r="B1109" s="6"/>
      <c r="C1109" s="11"/>
      <c r="D1109" s="11"/>
      <c r="E1109" s="6"/>
      <c r="F1109" s="12"/>
    </row>
    <row r="1110" customFormat="false" ht="15" hidden="false" customHeight="true" outlineLevel="0" collapsed="false">
      <c r="A1110" s="6"/>
      <c r="B1110" s="6"/>
      <c r="C1110" s="11"/>
      <c r="D1110" s="11"/>
      <c r="E1110" s="6"/>
      <c r="F1110" s="12"/>
    </row>
    <row r="1111" customFormat="false" ht="15" hidden="false" customHeight="true" outlineLevel="0" collapsed="false">
      <c r="A1111" s="6"/>
      <c r="B1111" s="6"/>
      <c r="C1111" s="11"/>
      <c r="D1111" s="11"/>
      <c r="E1111" s="6"/>
      <c r="F1111" s="12"/>
    </row>
    <row r="1112" customFormat="false" ht="15" hidden="false" customHeight="true" outlineLevel="0" collapsed="false">
      <c r="A1112" s="6"/>
      <c r="B1112" s="6"/>
      <c r="C1112" s="11"/>
      <c r="D1112" s="11"/>
      <c r="E1112" s="6"/>
      <c r="F1112" s="12"/>
    </row>
    <row r="1113" customFormat="false" ht="15" hidden="false" customHeight="true" outlineLevel="0" collapsed="false">
      <c r="A1113" s="6"/>
      <c r="B1113" s="6"/>
      <c r="C1113" s="11"/>
      <c r="D1113" s="11"/>
      <c r="E1113" s="6"/>
      <c r="F1113" s="12"/>
    </row>
    <row r="1114" customFormat="false" ht="15" hidden="false" customHeight="true" outlineLevel="0" collapsed="false">
      <c r="A1114" s="6"/>
      <c r="B1114" s="6"/>
      <c r="C1114" s="11"/>
      <c r="D1114" s="11"/>
      <c r="E1114" s="6"/>
      <c r="F1114" s="12"/>
    </row>
    <row r="1115" customFormat="false" ht="15" hidden="false" customHeight="true" outlineLevel="0" collapsed="false">
      <c r="A1115" s="6"/>
      <c r="B1115" s="6"/>
      <c r="C1115" s="11"/>
      <c r="D1115" s="11"/>
      <c r="E1115" s="6"/>
      <c r="F1115" s="12"/>
    </row>
    <row r="1116" customFormat="false" ht="15" hidden="false" customHeight="true" outlineLevel="0" collapsed="false">
      <c r="A1116" s="6"/>
      <c r="B1116" s="6"/>
      <c r="C1116" s="11"/>
      <c r="D1116" s="11"/>
      <c r="E1116" s="6"/>
      <c r="F1116" s="12"/>
    </row>
    <row r="1117" customFormat="false" ht="15" hidden="false" customHeight="true" outlineLevel="0" collapsed="false">
      <c r="A1117" s="6"/>
      <c r="B1117" s="6"/>
      <c r="C1117" s="11"/>
      <c r="D1117" s="11"/>
      <c r="E1117" s="6"/>
      <c r="F1117" s="12"/>
    </row>
    <row r="1118" customFormat="false" ht="15" hidden="false" customHeight="true" outlineLevel="0" collapsed="false">
      <c r="A1118" s="6"/>
      <c r="B1118" s="6"/>
      <c r="C1118" s="11"/>
      <c r="D1118" s="11"/>
      <c r="E1118" s="6"/>
      <c r="F1118" s="12"/>
    </row>
    <row r="1119" customFormat="false" ht="15" hidden="false" customHeight="true" outlineLevel="0" collapsed="false">
      <c r="A1119" s="6"/>
      <c r="B1119" s="6"/>
      <c r="C1119" s="11"/>
      <c r="D1119" s="11"/>
      <c r="E1119" s="6"/>
      <c r="F1119" s="12"/>
    </row>
    <row r="1120" customFormat="false" ht="15" hidden="false" customHeight="true" outlineLevel="0" collapsed="false">
      <c r="A1120" s="6"/>
      <c r="B1120" s="6"/>
      <c r="C1120" s="11"/>
      <c r="D1120" s="11"/>
      <c r="E1120" s="6"/>
      <c r="F1120" s="12"/>
    </row>
    <row r="1121" customFormat="false" ht="15" hidden="false" customHeight="true" outlineLevel="0" collapsed="false">
      <c r="A1121" s="6"/>
      <c r="B1121" s="6"/>
      <c r="C1121" s="11"/>
      <c r="D1121" s="11"/>
      <c r="E1121" s="6"/>
      <c r="F1121" s="12"/>
    </row>
    <row r="1122" customFormat="false" ht="15" hidden="false" customHeight="true" outlineLevel="0" collapsed="false">
      <c r="A1122" s="6"/>
      <c r="B1122" s="6"/>
      <c r="C1122" s="11"/>
      <c r="D1122" s="11"/>
      <c r="E1122" s="6"/>
      <c r="F1122" s="12"/>
    </row>
    <row r="1123" customFormat="false" ht="15" hidden="false" customHeight="true" outlineLevel="0" collapsed="false">
      <c r="A1123" s="6"/>
      <c r="B1123" s="6"/>
      <c r="C1123" s="11"/>
      <c r="D1123" s="11"/>
      <c r="E1123" s="6"/>
      <c r="F1123" s="12"/>
    </row>
    <row r="1124" customFormat="false" ht="15" hidden="false" customHeight="true" outlineLevel="0" collapsed="false">
      <c r="A1124" s="6"/>
      <c r="B1124" s="6"/>
      <c r="C1124" s="11"/>
      <c r="D1124" s="11"/>
      <c r="E1124" s="6"/>
      <c r="F1124" s="12"/>
    </row>
    <row r="1125" customFormat="false" ht="15" hidden="false" customHeight="true" outlineLevel="0" collapsed="false">
      <c r="A1125" s="6"/>
      <c r="B1125" s="6"/>
      <c r="C1125" s="11"/>
      <c r="D1125" s="11"/>
      <c r="E1125" s="6"/>
      <c r="F1125" s="12"/>
    </row>
    <row r="1126" customFormat="false" ht="15" hidden="false" customHeight="true" outlineLevel="0" collapsed="false">
      <c r="A1126" s="6"/>
      <c r="B1126" s="6"/>
      <c r="C1126" s="11"/>
      <c r="D1126" s="11"/>
      <c r="E1126" s="6"/>
      <c r="F1126" s="12"/>
    </row>
    <row r="1127" customFormat="false" ht="15" hidden="false" customHeight="true" outlineLevel="0" collapsed="false">
      <c r="A1127" s="6"/>
      <c r="B1127" s="6"/>
      <c r="C1127" s="11"/>
      <c r="D1127" s="11"/>
      <c r="E1127" s="6"/>
      <c r="F1127" s="12"/>
    </row>
    <row r="1128" customFormat="false" ht="15" hidden="false" customHeight="true" outlineLevel="0" collapsed="false">
      <c r="A1128" s="6"/>
      <c r="B1128" s="6"/>
      <c r="C1128" s="11"/>
      <c r="D1128" s="11"/>
      <c r="E1128" s="6"/>
      <c r="F1128" s="12"/>
    </row>
    <row r="1129" customFormat="false" ht="15" hidden="false" customHeight="true" outlineLevel="0" collapsed="false">
      <c r="A1129" s="6"/>
      <c r="B1129" s="6"/>
      <c r="C1129" s="11"/>
      <c r="D1129" s="11"/>
      <c r="E1129" s="6"/>
      <c r="F1129" s="12"/>
    </row>
    <row r="1130" customFormat="false" ht="15" hidden="false" customHeight="true" outlineLevel="0" collapsed="false">
      <c r="A1130" s="6"/>
      <c r="B1130" s="6"/>
      <c r="C1130" s="11"/>
      <c r="D1130" s="11"/>
      <c r="E1130" s="6"/>
      <c r="F1130" s="12"/>
    </row>
    <row r="1131" customFormat="false" ht="15" hidden="false" customHeight="true" outlineLevel="0" collapsed="false">
      <c r="A1131" s="6"/>
      <c r="B1131" s="6"/>
      <c r="C1131" s="11"/>
      <c r="D1131" s="11"/>
      <c r="E1131" s="6"/>
      <c r="F1131" s="12"/>
    </row>
    <row r="1132" customFormat="false" ht="15" hidden="false" customHeight="true" outlineLevel="0" collapsed="false">
      <c r="A1132" s="6"/>
      <c r="B1132" s="6"/>
      <c r="C1132" s="11"/>
      <c r="D1132" s="11"/>
      <c r="E1132" s="6"/>
      <c r="F1132" s="12"/>
    </row>
    <row r="1133" customFormat="false" ht="15" hidden="false" customHeight="true" outlineLevel="0" collapsed="false">
      <c r="A1133" s="6"/>
      <c r="B1133" s="6"/>
      <c r="C1133" s="11"/>
      <c r="D1133" s="11"/>
      <c r="E1133" s="6"/>
      <c r="F1133" s="12"/>
    </row>
    <row r="1134" customFormat="false" ht="15" hidden="false" customHeight="true" outlineLevel="0" collapsed="false">
      <c r="A1134" s="6"/>
      <c r="B1134" s="6"/>
      <c r="C1134" s="11"/>
      <c r="D1134" s="11"/>
      <c r="E1134" s="6"/>
      <c r="F1134" s="12"/>
    </row>
    <row r="1135" customFormat="false" ht="15" hidden="false" customHeight="true" outlineLevel="0" collapsed="false">
      <c r="A1135" s="6"/>
      <c r="B1135" s="6"/>
      <c r="C1135" s="11"/>
      <c r="D1135" s="11"/>
      <c r="E1135" s="6"/>
      <c r="F1135" s="12"/>
    </row>
    <row r="1136" customFormat="false" ht="15" hidden="false" customHeight="true" outlineLevel="0" collapsed="false">
      <c r="A1136" s="6"/>
      <c r="B1136" s="6"/>
      <c r="C1136" s="11"/>
      <c r="D1136" s="11"/>
      <c r="E1136" s="6"/>
      <c r="F1136" s="12"/>
    </row>
    <row r="1137" customFormat="false" ht="15" hidden="false" customHeight="true" outlineLevel="0" collapsed="false">
      <c r="A1137" s="6"/>
      <c r="B1137" s="6"/>
      <c r="C1137" s="11"/>
      <c r="D1137" s="11"/>
      <c r="E1137" s="6"/>
      <c r="F1137" s="12"/>
    </row>
    <row r="1138" customFormat="false" ht="15" hidden="false" customHeight="true" outlineLevel="0" collapsed="false">
      <c r="A1138" s="6"/>
      <c r="B1138" s="6"/>
      <c r="C1138" s="11"/>
      <c r="D1138" s="11"/>
      <c r="E1138" s="6"/>
      <c r="F1138" s="12"/>
    </row>
    <row r="1139" customFormat="false" ht="15" hidden="false" customHeight="true" outlineLevel="0" collapsed="false">
      <c r="A1139" s="6"/>
      <c r="B1139" s="6"/>
      <c r="C1139" s="11"/>
      <c r="D1139" s="11"/>
      <c r="E1139" s="6"/>
      <c r="F1139" s="12"/>
    </row>
    <row r="1140" customFormat="false" ht="15" hidden="false" customHeight="true" outlineLevel="0" collapsed="false">
      <c r="A1140" s="6"/>
      <c r="B1140" s="6"/>
      <c r="C1140" s="11"/>
      <c r="D1140" s="11"/>
      <c r="E1140" s="6"/>
      <c r="F1140" s="12"/>
    </row>
    <row r="1141" customFormat="false" ht="15" hidden="false" customHeight="true" outlineLevel="0" collapsed="false">
      <c r="A1141" s="6"/>
      <c r="B1141" s="6"/>
      <c r="C1141" s="11"/>
      <c r="D1141" s="11"/>
      <c r="E1141" s="6"/>
      <c r="F1141" s="12"/>
    </row>
    <row r="1142" customFormat="false" ht="15" hidden="false" customHeight="true" outlineLevel="0" collapsed="false">
      <c r="A1142" s="6"/>
      <c r="B1142" s="6"/>
      <c r="C1142" s="11"/>
      <c r="D1142" s="11"/>
      <c r="E1142" s="6"/>
      <c r="F1142" s="12"/>
    </row>
    <row r="1143" customFormat="false" ht="15" hidden="false" customHeight="true" outlineLevel="0" collapsed="false">
      <c r="A1143" s="6"/>
      <c r="B1143" s="6"/>
      <c r="C1143" s="11"/>
      <c r="D1143" s="11"/>
      <c r="E1143" s="6"/>
      <c r="F1143" s="12"/>
    </row>
    <row r="1144" customFormat="false" ht="15" hidden="false" customHeight="true" outlineLevel="0" collapsed="false">
      <c r="A1144" s="6"/>
      <c r="B1144" s="6"/>
      <c r="C1144" s="11"/>
      <c r="D1144" s="11"/>
      <c r="E1144" s="6"/>
      <c r="F1144" s="12"/>
    </row>
    <row r="1145" customFormat="false" ht="15" hidden="false" customHeight="true" outlineLevel="0" collapsed="false">
      <c r="A1145" s="6"/>
      <c r="B1145" s="6"/>
      <c r="C1145" s="11"/>
      <c r="D1145" s="11"/>
      <c r="E1145" s="6"/>
      <c r="F1145" s="12"/>
    </row>
    <row r="1146" customFormat="false" ht="15" hidden="false" customHeight="true" outlineLevel="0" collapsed="false">
      <c r="A1146" s="6"/>
      <c r="B1146" s="6"/>
      <c r="C1146" s="11"/>
      <c r="D1146" s="11"/>
      <c r="E1146" s="6"/>
      <c r="F1146" s="12"/>
    </row>
    <row r="1147" customFormat="false" ht="15" hidden="false" customHeight="true" outlineLevel="0" collapsed="false">
      <c r="A1147" s="6"/>
      <c r="B1147" s="6"/>
      <c r="C1147" s="11"/>
      <c r="D1147" s="11"/>
      <c r="E1147" s="6"/>
      <c r="F1147" s="12"/>
    </row>
    <row r="1148" customFormat="false" ht="15" hidden="false" customHeight="true" outlineLevel="0" collapsed="false">
      <c r="A1148" s="6"/>
      <c r="B1148" s="6"/>
      <c r="C1148" s="11"/>
      <c r="D1148" s="11"/>
      <c r="E1148" s="6"/>
      <c r="F1148" s="12"/>
    </row>
    <row r="1149" customFormat="false" ht="15" hidden="false" customHeight="true" outlineLevel="0" collapsed="false">
      <c r="A1149" s="6"/>
      <c r="B1149" s="6"/>
      <c r="C1149" s="11"/>
      <c r="D1149" s="11"/>
      <c r="E1149" s="6"/>
      <c r="F1149" s="12"/>
    </row>
    <row r="1150" customFormat="false" ht="15" hidden="false" customHeight="true" outlineLevel="0" collapsed="false">
      <c r="A1150" s="6"/>
      <c r="B1150" s="6"/>
      <c r="C1150" s="11"/>
      <c r="D1150" s="11"/>
      <c r="E1150" s="6"/>
      <c r="F1150" s="12"/>
    </row>
    <row r="1151" customFormat="false" ht="15" hidden="false" customHeight="true" outlineLevel="0" collapsed="false">
      <c r="A1151" s="6"/>
      <c r="B1151" s="6"/>
      <c r="C1151" s="11"/>
      <c r="D1151" s="11"/>
      <c r="E1151" s="6"/>
      <c r="F1151" s="12"/>
    </row>
    <row r="1152" customFormat="false" ht="15" hidden="false" customHeight="true" outlineLevel="0" collapsed="false">
      <c r="A1152" s="6"/>
      <c r="B1152" s="6"/>
      <c r="C1152" s="11"/>
      <c r="D1152" s="11"/>
      <c r="E1152" s="6"/>
      <c r="F1152" s="12"/>
    </row>
    <row r="1153" customFormat="false" ht="15" hidden="false" customHeight="true" outlineLevel="0" collapsed="false">
      <c r="A1153" s="6"/>
      <c r="B1153" s="6"/>
      <c r="C1153" s="11"/>
      <c r="D1153" s="11"/>
      <c r="E1153" s="6"/>
      <c r="F1153" s="12"/>
    </row>
    <row r="1154" customFormat="false" ht="15" hidden="false" customHeight="true" outlineLevel="0" collapsed="false">
      <c r="A1154" s="6"/>
      <c r="B1154" s="6"/>
      <c r="C1154" s="11"/>
      <c r="D1154" s="11"/>
      <c r="E1154" s="6"/>
      <c r="F1154" s="12"/>
    </row>
    <row r="1155" customFormat="false" ht="15" hidden="false" customHeight="true" outlineLevel="0" collapsed="false">
      <c r="A1155" s="6"/>
      <c r="B1155" s="6"/>
      <c r="C1155" s="11"/>
      <c r="D1155" s="11"/>
      <c r="E1155" s="6"/>
      <c r="F1155" s="12"/>
    </row>
    <row r="1156" customFormat="false" ht="15" hidden="false" customHeight="true" outlineLevel="0" collapsed="false">
      <c r="A1156" s="6"/>
      <c r="B1156" s="6"/>
      <c r="C1156" s="11"/>
      <c r="D1156" s="11"/>
      <c r="E1156" s="6"/>
      <c r="F1156" s="12"/>
    </row>
    <row r="1157" customFormat="false" ht="15" hidden="false" customHeight="true" outlineLevel="0" collapsed="false">
      <c r="A1157" s="6"/>
      <c r="B1157" s="6"/>
      <c r="C1157" s="11"/>
      <c r="D1157" s="11"/>
      <c r="E1157" s="6"/>
      <c r="F1157" s="12"/>
    </row>
    <row r="1158" customFormat="false" ht="15" hidden="false" customHeight="true" outlineLevel="0" collapsed="false">
      <c r="A1158" s="6"/>
      <c r="B1158" s="6"/>
      <c r="C1158" s="11"/>
      <c r="D1158" s="11"/>
      <c r="E1158" s="6"/>
      <c r="F1158" s="12"/>
    </row>
    <row r="1159" customFormat="false" ht="15" hidden="false" customHeight="true" outlineLevel="0" collapsed="false">
      <c r="A1159" s="6"/>
      <c r="B1159" s="6"/>
      <c r="C1159" s="11"/>
      <c r="D1159" s="11"/>
      <c r="E1159" s="6"/>
      <c r="F1159" s="12"/>
    </row>
    <row r="1160" customFormat="false" ht="15" hidden="false" customHeight="true" outlineLevel="0" collapsed="false">
      <c r="A1160" s="6"/>
      <c r="B1160" s="6"/>
      <c r="C1160" s="11"/>
      <c r="D1160" s="11"/>
      <c r="E1160" s="6"/>
      <c r="F1160" s="12"/>
    </row>
    <row r="1161" customFormat="false" ht="15" hidden="false" customHeight="true" outlineLevel="0" collapsed="false">
      <c r="A1161" s="6"/>
      <c r="B1161" s="6"/>
      <c r="C1161" s="11"/>
      <c r="D1161" s="11"/>
      <c r="E1161" s="6"/>
      <c r="F1161" s="12"/>
    </row>
  </sheetData>
  <autoFilter ref="A1:F16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8"/>
    <col collapsed="false" customWidth="true" hidden="false" outlineLevel="0" max="3" min="3" style="1" width="26"/>
    <col collapsed="false" customWidth="true" hidden="false" outlineLevel="0" max="4" min="4" style="1" width="9"/>
    <col collapsed="false" customWidth="true" hidden="false" outlineLevel="0" max="5" min="5" style="1" width="12"/>
    <col collapsed="false" customWidth="true" hidden="false" outlineLevel="0" max="6" min="6" style="1" width="9"/>
    <col collapsed="false" customWidth="true" hidden="false" outlineLevel="0" max="7" min="7" style="1" width="7"/>
    <col collapsed="false" customWidth="true" hidden="false" outlineLevel="0" max="8" min="8" style="1" width="19"/>
    <col collapsed="false" customWidth="true" hidden="false" outlineLevel="0" max="9" min="9" style="1" width="14"/>
    <col collapsed="false" customWidth="true" hidden="false" outlineLevel="0" max="10" min="10" style="1" width="30"/>
    <col collapsed="false" customWidth="true" hidden="false" outlineLevel="0" max="11" min="11" style="1" width="15"/>
    <col collapsed="false" customWidth="true" hidden="false" outlineLevel="0" max="12" min="12" style="1" width="13"/>
    <col collapsed="false" customWidth="true" hidden="false" outlineLevel="0" max="13" min="13" style="1" width="16"/>
    <col collapsed="false" customWidth="true" hidden="false" outlineLevel="0" max="14" min="14" style="1" width="8"/>
    <col collapsed="false" customWidth="true" hidden="false" outlineLevel="0" max="15" min="15" style="1" width="13"/>
    <col collapsed="false" customWidth="true" hidden="false" outlineLevel="0" max="16" min="16" style="1" width="26"/>
    <col collapsed="false" customWidth="true" hidden="false" outlineLevel="0" max="17" min="17" style="1" width="30"/>
    <col collapsed="false" customWidth="true" hidden="false" outlineLevel="0" max="18" min="18" style="1" width="60"/>
  </cols>
  <sheetData>
    <row r="1" customFormat="false" ht="31.5" hidden="false" customHeight="true" outlineLevel="0" collapsed="false">
      <c r="A1" s="10" t="s">
        <v>370</v>
      </c>
      <c r="B1" s="10" t="s">
        <v>50</v>
      </c>
      <c r="C1" s="10" t="s">
        <v>371</v>
      </c>
      <c r="D1" s="10" t="s">
        <v>372</v>
      </c>
      <c r="E1" s="10" t="s">
        <v>373</v>
      </c>
      <c r="F1" s="10" t="s">
        <v>374</v>
      </c>
      <c r="G1" s="10" t="s">
        <v>375</v>
      </c>
      <c r="H1" s="10" t="s">
        <v>376</v>
      </c>
      <c r="I1" s="10" t="s">
        <v>377</v>
      </c>
      <c r="J1" s="10" t="s">
        <v>51</v>
      </c>
      <c r="K1" s="10" t="s">
        <v>378</v>
      </c>
      <c r="L1" s="10" t="s">
        <v>379</v>
      </c>
      <c r="M1" s="10" t="s">
        <v>380</v>
      </c>
      <c r="N1" s="10" t="s">
        <v>28</v>
      </c>
      <c r="O1" s="10" t="s">
        <v>381</v>
      </c>
      <c r="P1" s="10" t="s">
        <v>54</v>
      </c>
      <c r="Q1" s="10" t="s">
        <v>382</v>
      </c>
      <c r="R1" s="10" t="s">
        <v>55</v>
      </c>
    </row>
    <row r="2" customFormat="false" ht="15" hidden="false" customHeight="true" outlineLevel="0" collapsed="false">
      <c r="A2" s="6" t="s">
        <v>383</v>
      </c>
      <c r="B2" s="6" t="s">
        <v>56</v>
      </c>
      <c r="C2" s="6" t="s">
        <v>384</v>
      </c>
      <c r="D2" s="6" t="s">
        <v>385</v>
      </c>
      <c r="E2" s="13" t="n">
        <v>13150</v>
      </c>
      <c r="F2" s="6" t="n">
        <v>1936</v>
      </c>
      <c r="G2" s="11" t="n">
        <f aca="true">IF(F2="","",YEAR(TODAY())-F2)</f>
        <v>90</v>
      </c>
      <c r="H2" s="11" t="str">
        <f aca="false">IF(C2="","",IF(G2="","Thiếu thông tin",IF(G2&lt;6,"Trẻ em",IF(G2&lt;23,"Học sinh / Sinh viên",IF(G2&lt;60,"Đang đi làm","Nghỉ hưu")))))</f>
        <v>Nghỉ hưu</v>
      </c>
      <c r="I2" s="6" t="s">
        <v>52</v>
      </c>
      <c r="J2" s="11" t="str">
        <f aca="false">IF(B2="","",IFERROR(INDEX('Hộ gia đình'!$B$2:$B$2000,MATCH(B2,'Hộ gia đình'!$A$2:$A$2000,0)),"Mã hộ không tồn tại"))</f>
        <v>40 Lê Thanh Nghị</v>
      </c>
      <c r="K2" s="14" t="s">
        <v>386</v>
      </c>
      <c r="L2" s="14"/>
      <c r="M2" s="6" t="s">
        <v>387</v>
      </c>
      <c r="N2" s="6" t="s">
        <v>388</v>
      </c>
      <c r="O2" s="6" t="s">
        <v>389</v>
      </c>
      <c r="P2" s="6" t="s">
        <v>390</v>
      </c>
      <c r="Q2" s="6" t="s">
        <v>391</v>
      </c>
      <c r="R2" s="12" t="s">
        <v>392</v>
      </c>
    </row>
    <row r="3" customFormat="false" ht="15" hidden="false" customHeight="true" outlineLevel="0" collapsed="false">
      <c r="A3" s="6" t="s">
        <v>393</v>
      </c>
      <c r="B3" s="6" t="s">
        <v>56</v>
      </c>
      <c r="C3" s="6" t="s">
        <v>394</v>
      </c>
      <c r="D3" s="6"/>
      <c r="E3" s="13"/>
      <c r="F3" s="6" t="n">
        <v>1961</v>
      </c>
      <c r="G3" s="11" t="n">
        <f aca="true">IF(F3="","",YEAR(TODAY())-F3)</f>
        <v>65</v>
      </c>
      <c r="H3" s="11" t="str">
        <f aca="false">IF(C3="","",IF(G3="","Thiếu thông tin",IF(G3&lt;6,"Trẻ em",IF(G3&lt;23,"Học sinh / Sinh viên",IF(G3&lt;60,"Đang đi làm","Nghỉ hưu")))))</f>
        <v>Nghỉ hưu</v>
      </c>
      <c r="I3" s="6"/>
      <c r="J3" s="11" t="str">
        <f aca="false">IF(B3="","",IFERROR(INDEX('Hộ gia đình'!$B$2:$B$2000,MATCH(B3,'Hộ gia đình'!$A$2:$A$2000,0)),"Mã hộ không tồn tại"))</f>
        <v>40 Lê Thanh Nghị</v>
      </c>
      <c r="K3" s="14"/>
      <c r="L3" s="14"/>
      <c r="M3" s="6"/>
      <c r="N3" s="6" t="s">
        <v>395</v>
      </c>
      <c r="O3" s="6" t="s">
        <v>389</v>
      </c>
      <c r="P3" s="6"/>
      <c r="Q3" s="6" t="s">
        <v>396</v>
      </c>
      <c r="R3" s="12"/>
    </row>
    <row r="4" customFormat="false" ht="15" hidden="false" customHeight="true" outlineLevel="0" collapsed="false">
      <c r="A4" s="6" t="s">
        <v>397</v>
      </c>
      <c r="B4" s="6" t="s">
        <v>56</v>
      </c>
      <c r="C4" s="6" t="s">
        <v>398</v>
      </c>
      <c r="D4" s="6"/>
      <c r="E4" s="13"/>
      <c r="F4" s="6" t="n">
        <v>1966</v>
      </c>
      <c r="G4" s="11" t="n">
        <f aca="true">IF(F4="","",YEAR(TODAY())-F4)</f>
        <v>60</v>
      </c>
      <c r="H4" s="11" t="str">
        <f aca="false">IF(C4="","",IF(G4="","Thiếu thông tin",IF(G4&lt;6,"Trẻ em",IF(G4&lt;23,"Học sinh / Sinh viên",IF(G4&lt;60,"Đang đi làm","Nghỉ hưu")))))</f>
        <v>Nghỉ hưu</v>
      </c>
      <c r="I4" s="6"/>
      <c r="J4" s="11" t="str">
        <f aca="false">IF(B4="","",IFERROR(INDEX('Hộ gia đình'!$B$2:$B$2000,MATCH(B4,'Hộ gia đình'!$A$2:$A$2000,0)),"Mã hộ không tồn tại"))</f>
        <v>40 Lê Thanh Nghị</v>
      </c>
      <c r="K4" s="14"/>
      <c r="L4" s="14"/>
      <c r="M4" s="6"/>
      <c r="N4" s="6" t="s">
        <v>395</v>
      </c>
      <c r="O4" s="6" t="s">
        <v>389</v>
      </c>
      <c r="P4" s="6"/>
      <c r="Q4" s="6" t="s">
        <v>396</v>
      </c>
      <c r="R4" s="12"/>
    </row>
    <row r="5" customFormat="false" ht="15" hidden="false" customHeight="true" outlineLevel="0" collapsed="false">
      <c r="A5" s="6" t="s">
        <v>399</v>
      </c>
      <c r="B5" s="6" t="s">
        <v>56</v>
      </c>
      <c r="C5" s="6" t="s">
        <v>400</v>
      </c>
      <c r="D5" s="6"/>
      <c r="E5" s="13" t="n">
        <v>33828</v>
      </c>
      <c r="F5" s="6" t="n">
        <v>1992</v>
      </c>
      <c r="G5" s="11" t="n">
        <f aca="true">IF(F5="","",YEAR(TODAY())-F5)</f>
        <v>34</v>
      </c>
      <c r="H5" s="11" t="str">
        <f aca="false">IF(C5="","",IF(G5="","Thiếu thông tin",IF(G5&lt;6,"Trẻ em",IF(G5&lt;23,"Học sinh / Sinh viên",IF(G5&lt;60,"Đang đi làm","Nghỉ hưu")))))</f>
        <v>Đang đi làm</v>
      </c>
      <c r="I5" s="6"/>
      <c r="J5" s="11" t="str">
        <f aca="false">IF(B5="","",IFERROR(INDEX('Hộ gia đình'!$B$2:$B$2000,MATCH(B5,'Hộ gia đình'!$A$2:$A$2000,0)),"Mã hộ không tồn tại"))</f>
        <v>40 Lê Thanh Nghị</v>
      </c>
      <c r="K5" s="14"/>
      <c r="L5" s="14"/>
      <c r="M5" s="6"/>
      <c r="N5" s="6" t="s">
        <v>395</v>
      </c>
      <c r="O5" s="6" t="s">
        <v>389</v>
      </c>
      <c r="P5" s="6"/>
      <c r="Q5" s="6" t="s">
        <v>396</v>
      </c>
      <c r="R5" s="12"/>
    </row>
    <row r="6" customFormat="false" ht="15" hidden="false" customHeight="true" outlineLevel="0" collapsed="false">
      <c r="A6" s="6" t="s">
        <v>401</v>
      </c>
      <c r="B6" s="6" t="s">
        <v>56</v>
      </c>
      <c r="C6" s="6" t="s">
        <v>402</v>
      </c>
      <c r="D6" s="6"/>
      <c r="E6" s="13" t="n">
        <v>36746</v>
      </c>
      <c r="F6" s="6" t="n">
        <v>2000</v>
      </c>
      <c r="G6" s="11" t="n">
        <f aca="true">IF(F6="","",YEAR(TODAY())-F6)</f>
        <v>26</v>
      </c>
      <c r="H6" s="11" t="str">
        <f aca="false">IF(C6="","",IF(G6="","Thiếu thông tin",IF(G6&lt;6,"Trẻ em",IF(G6&lt;23,"Học sinh / Sinh viên",IF(G6&lt;60,"Đang đi làm","Nghỉ hưu")))))</f>
        <v>Đang đi làm</v>
      </c>
      <c r="I6" s="6"/>
      <c r="J6" s="11" t="str">
        <f aca="false">IF(B6="","",IFERROR(INDEX('Hộ gia đình'!$B$2:$B$2000,MATCH(B6,'Hộ gia đình'!$A$2:$A$2000,0)),"Mã hộ không tồn tại"))</f>
        <v>40 Lê Thanh Nghị</v>
      </c>
      <c r="K6" s="14"/>
      <c r="L6" s="14"/>
      <c r="M6" s="6"/>
      <c r="N6" s="6" t="s">
        <v>395</v>
      </c>
      <c r="O6" s="6" t="s">
        <v>389</v>
      </c>
      <c r="P6" s="6"/>
      <c r="Q6" s="6" t="s">
        <v>403</v>
      </c>
      <c r="R6" s="12"/>
    </row>
    <row r="7" customFormat="false" ht="15" hidden="false" customHeight="true" outlineLevel="0" collapsed="false">
      <c r="A7" s="6" t="s">
        <v>404</v>
      </c>
      <c r="B7" s="6" t="s">
        <v>56</v>
      </c>
      <c r="C7" s="6" t="s">
        <v>405</v>
      </c>
      <c r="D7" s="6"/>
      <c r="E7" s="13"/>
      <c r="F7" s="6" t="n">
        <v>2020</v>
      </c>
      <c r="G7" s="11" t="n">
        <f aca="true">IF(F7="","",YEAR(TODAY())-F7)</f>
        <v>6</v>
      </c>
      <c r="H7" s="11" t="str">
        <f aca="false">IF(C7="","",IF(G7="","Thiếu thông tin",IF(G7&lt;6,"Trẻ em",IF(G7&lt;23,"Học sinh / Sinh viên",IF(G7&lt;60,"Đang đi làm","Nghỉ hưu")))))</f>
        <v>Học sinh / Sinh viên</v>
      </c>
      <c r="I7" s="6"/>
      <c r="J7" s="11" t="str">
        <f aca="false">IF(B7="","",IFERROR(INDEX('Hộ gia đình'!$B$2:$B$2000,MATCH(B7,'Hộ gia đình'!$A$2:$A$2000,0)),"Mã hộ không tồn tại"))</f>
        <v>40 Lê Thanh Nghị</v>
      </c>
      <c r="K7" s="14"/>
      <c r="L7" s="14"/>
      <c r="M7" s="6"/>
      <c r="N7" s="6" t="s">
        <v>395</v>
      </c>
      <c r="O7" s="6" t="s">
        <v>389</v>
      </c>
      <c r="P7" s="6"/>
      <c r="Q7" s="6" t="s">
        <v>403</v>
      </c>
      <c r="R7" s="12"/>
    </row>
    <row r="8" customFormat="false" ht="15" hidden="false" customHeight="true" outlineLevel="0" collapsed="false">
      <c r="A8" s="6" t="s">
        <v>406</v>
      </c>
      <c r="B8" s="6" t="s">
        <v>56</v>
      </c>
      <c r="C8" s="6" t="s">
        <v>407</v>
      </c>
      <c r="D8" s="6" t="s">
        <v>408</v>
      </c>
      <c r="E8" s="13" t="n">
        <v>22088</v>
      </c>
      <c r="F8" s="6" t="n">
        <v>1960</v>
      </c>
      <c r="G8" s="11" t="n">
        <f aca="true">IF(F8="","",YEAR(TODAY())-F8)</f>
        <v>66</v>
      </c>
      <c r="H8" s="11" t="str">
        <f aca="false">IF(C8="","",IF(G8="","Thiếu thông tin",IF(G8&lt;6,"Trẻ em",IF(G8&lt;23,"Học sinh / Sinh viên",IF(G8&lt;60,"Đang đi làm","Nghỉ hưu")))))</f>
        <v>Nghỉ hưu</v>
      </c>
      <c r="I8" s="6"/>
      <c r="J8" s="11" t="str">
        <f aca="false">IF(B8="","",IFERROR(INDEX('Hộ gia đình'!$B$2:$B$2000,MATCH(B8,'Hộ gia đình'!$A$2:$A$2000,0)),"Mã hộ không tồn tại"))</f>
        <v>40 Lê Thanh Nghị</v>
      </c>
      <c r="K8" s="14" t="s">
        <v>409</v>
      </c>
      <c r="L8" s="14"/>
      <c r="M8" s="6" t="s">
        <v>387</v>
      </c>
      <c r="N8" s="6" t="s">
        <v>388</v>
      </c>
      <c r="O8" s="6" t="s">
        <v>389</v>
      </c>
      <c r="P8" s="6"/>
      <c r="Q8" s="6" t="s">
        <v>410</v>
      </c>
      <c r="R8" s="12"/>
    </row>
    <row r="9" customFormat="false" ht="15" hidden="false" customHeight="true" outlineLevel="0" collapsed="false">
      <c r="A9" s="6" t="s">
        <v>411</v>
      </c>
      <c r="B9" s="6" t="s">
        <v>56</v>
      </c>
      <c r="C9" s="6" t="s">
        <v>412</v>
      </c>
      <c r="D9" s="6" t="s">
        <v>385</v>
      </c>
      <c r="E9" s="13" t="n">
        <v>24666</v>
      </c>
      <c r="F9" s="6" t="n">
        <v>1967</v>
      </c>
      <c r="G9" s="11" t="n">
        <f aca="true">IF(F9="","",YEAR(TODAY())-F9)</f>
        <v>59</v>
      </c>
      <c r="H9" s="11" t="str">
        <f aca="false">IF(C9="","",IF(G9="","Thiếu thông tin",IF(G9&lt;6,"Trẻ em",IF(G9&lt;23,"Học sinh / Sinh viên",IF(G9&lt;60,"Đang đi làm","Nghỉ hưu")))))</f>
        <v>Đang đi làm</v>
      </c>
      <c r="I9" s="6"/>
      <c r="J9" s="11" t="str">
        <f aca="false">IF(B9="","",IFERROR(INDEX('Hộ gia đình'!$B$2:$B$2000,MATCH(B9,'Hộ gia đình'!$A$2:$A$2000,0)),"Mã hộ không tồn tại"))</f>
        <v>40 Lê Thanh Nghị</v>
      </c>
      <c r="K9" s="14" t="s">
        <v>413</v>
      </c>
      <c r="L9" s="14"/>
      <c r="M9" s="6" t="s">
        <v>414</v>
      </c>
      <c r="N9" s="6" t="s">
        <v>388</v>
      </c>
      <c r="O9" s="6" t="s">
        <v>389</v>
      </c>
      <c r="P9" s="6"/>
      <c r="Q9" s="6" t="s">
        <v>410</v>
      </c>
      <c r="R9" s="12"/>
    </row>
    <row r="10" customFormat="false" ht="15" hidden="false" customHeight="true" outlineLevel="0" collapsed="false">
      <c r="A10" s="6" t="s">
        <v>415</v>
      </c>
      <c r="B10" s="6" t="s">
        <v>56</v>
      </c>
      <c r="C10" s="6" t="s">
        <v>416</v>
      </c>
      <c r="D10" s="6" t="s">
        <v>385</v>
      </c>
      <c r="E10" s="13" t="n">
        <v>35397</v>
      </c>
      <c r="F10" s="6" t="n">
        <v>1996</v>
      </c>
      <c r="G10" s="11" t="n">
        <f aca="true">IF(F10="","",YEAR(TODAY())-F10)</f>
        <v>30</v>
      </c>
      <c r="H10" s="11" t="str">
        <f aca="false">IF(C10="","",IF(G10="","Thiếu thông tin",IF(G10&lt;6,"Trẻ em",IF(G10&lt;23,"Học sinh / Sinh viên",IF(G10&lt;60,"Đang đi làm","Nghỉ hưu")))))</f>
        <v>Đang đi làm</v>
      </c>
      <c r="I10" s="6"/>
      <c r="J10" s="11" t="str">
        <f aca="false">IF(B10="","",IFERROR(INDEX('Hộ gia đình'!$B$2:$B$2000,MATCH(B10,'Hộ gia đình'!$A$2:$A$2000,0)),"Mã hộ không tồn tại"))</f>
        <v>40 Lê Thanh Nghị</v>
      </c>
      <c r="K10" s="14" t="s">
        <v>417</v>
      </c>
      <c r="L10" s="14"/>
      <c r="M10" s="6" t="s">
        <v>418</v>
      </c>
      <c r="N10" s="6" t="s">
        <v>388</v>
      </c>
      <c r="O10" s="6" t="s">
        <v>389</v>
      </c>
      <c r="P10" s="6"/>
      <c r="Q10" s="6" t="s">
        <v>410</v>
      </c>
      <c r="R10" s="12"/>
    </row>
    <row r="11" customFormat="false" ht="15" hidden="false" customHeight="true" outlineLevel="0" collapsed="false">
      <c r="A11" s="6" t="s">
        <v>419</v>
      </c>
      <c r="B11" s="6" t="s">
        <v>56</v>
      </c>
      <c r="C11" s="6" t="s">
        <v>420</v>
      </c>
      <c r="D11" s="6" t="s">
        <v>408</v>
      </c>
      <c r="E11" s="13" t="n">
        <v>38111</v>
      </c>
      <c r="F11" s="6" t="n">
        <v>2004</v>
      </c>
      <c r="G11" s="11" t="n">
        <f aca="true">IF(F11="","",YEAR(TODAY())-F11)</f>
        <v>22</v>
      </c>
      <c r="H11" s="11" t="str">
        <f aca="false">IF(C11="","",IF(G11="","Thiếu thông tin",IF(G11&lt;6,"Trẻ em",IF(G11&lt;23,"Học sinh / Sinh viên",IF(G11&lt;60,"Đang đi làm","Nghỉ hưu")))))</f>
        <v>Học sinh / Sinh viên</v>
      </c>
      <c r="I11" s="6"/>
      <c r="J11" s="11" t="str">
        <f aca="false">IF(B11="","",IFERROR(INDEX('Hộ gia đình'!$B$2:$B$2000,MATCH(B11,'Hộ gia đình'!$A$2:$A$2000,0)),"Mã hộ không tồn tại"))</f>
        <v>40 Lê Thanh Nghị</v>
      </c>
      <c r="K11" s="14" t="s">
        <v>421</v>
      </c>
      <c r="L11" s="14"/>
      <c r="M11" s="6" t="s">
        <v>422</v>
      </c>
      <c r="N11" s="6" t="s">
        <v>388</v>
      </c>
      <c r="O11" s="6" t="s">
        <v>389</v>
      </c>
      <c r="P11" s="6"/>
      <c r="Q11" s="6" t="s">
        <v>410</v>
      </c>
      <c r="R11" s="12"/>
    </row>
    <row r="12" customFormat="false" ht="15" hidden="false" customHeight="true" outlineLevel="0" collapsed="false">
      <c r="A12" s="6" t="s">
        <v>423</v>
      </c>
      <c r="B12" s="6" t="s">
        <v>58</v>
      </c>
      <c r="C12" s="6" t="s">
        <v>424</v>
      </c>
      <c r="D12" s="6"/>
      <c r="E12" s="13"/>
      <c r="F12" s="6" t="n">
        <v>1972</v>
      </c>
      <c r="G12" s="11" t="n">
        <f aca="true">IF(F12="","",YEAR(TODAY())-F12)</f>
        <v>54</v>
      </c>
      <c r="H12" s="11" t="str">
        <f aca="false">IF(C12="","",IF(G12="","Thiếu thông tin",IF(G12&lt;6,"Trẻ em",IF(G12&lt;23,"Học sinh / Sinh viên",IF(G12&lt;60,"Đang đi làm","Nghỉ hưu")))))</f>
        <v>Đang đi làm</v>
      </c>
      <c r="I12" s="6" t="s">
        <v>52</v>
      </c>
      <c r="J12" s="11" t="str">
        <f aca="false">IF(B12="","",IFERROR(INDEX('Hộ gia đình'!$B$2:$B$2000,MATCH(B12,'Hộ gia đình'!$A$2:$A$2000,0)),"Mã hộ không tồn tại"))</f>
        <v>42 Lê Thanh Nghị</v>
      </c>
      <c r="K12" s="14"/>
      <c r="L12" s="14"/>
      <c r="M12" s="6"/>
      <c r="N12" s="6" t="s">
        <v>395</v>
      </c>
      <c r="O12" s="6" t="s">
        <v>389</v>
      </c>
      <c r="P12" s="6"/>
      <c r="Q12" s="6" t="s">
        <v>396</v>
      </c>
      <c r="R12" s="12"/>
    </row>
    <row r="13" customFormat="false" ht="15" hidden="false" customHeight="true" outlineLevel="0" collapsed="false">
      <c r="A13" s="6" t="s">
        <v>425</v>
      </c>
      <c r="B13" s="6" t="s">
        <v>58</v>
      </c>
      <c r="C13" s="6" t="s">
        <v>426</v>
      </c>
      <c r="D13" s="6"/>
      <c r="E13" s="13"/>
      <c r="F13" s="6" t="n">
        <v>1973</v>
      </c>
      <c r="G13" s="11" t="n">
        <f aca="true">IF(F13="","",YEAR(TODAY())-F13)</f>
        <v>53</v>
      </c>
      <c r="H13" s="11" t="str">
        <f aca="false">IF(C13="","",IF(G13="","Thiếu thông tin",IF(G13&lt;6,"Trẻ em",IF(G13&lt;23,"Học sinh / Sinh viên",IF(G13&lt;60,"Đang đi làm","Nghỉ hưu")))))</f>
        <v>Đang đi làm</v>
      </c>
      <c r="I13" s="6"/>
      <c r="J13" s="11" t="str">
        <f aca="false">IF(B13="","",IFERROR(INDEX('Hộ gia đình'!$B$2:$B$2000,MATCH(B13,'Hộ gia đình'!$A$2:$A$2000,0)),"Mã hộ không tồn tại"))</f>
        <v>42 Lê Thanh Nghị</v>
      </c>
      <c r="K13" s="14"/>
      <c r="L13" s="14"/>
      <c r="M13" s="6"/>
      <c r="N13" s="6" t="s">
        <v>395</v>
      </c>
      <c r="O13" s="6" t="s">
        <v>389</v>
      </c>
      <c r="P13" s="6"/>
      <c r="Q13" s="6" t="s">
        <v>396</v>
      </c>
      <c r="R13" s="12"/>
    </row>
    <row r="14" customFormat="false" ht="15" hidden="false" customHeight="true" outlineLevel="0" collapsed="false">
      <c r="A14" s="6" t="s">
        <v>427</v>
      </c>
      <c r="B14" s="6" t="s">
        <v>58</v>
      </c>
      <c r="C14" s="6" t="s">
        <v>428</v>
      </c>
      <c r="D14" s="6"/>
      <c r="E14" s="13"/>
      <c r="F14" s="6" t="n">
        <v>1998</v>
      </c>
      <c r="G14" s="11" t="n">
        <f aca="true">IF(F14="","",YEAR(TODAY())-F14)</f>
        <v>28</v>
      </c>
      <c r="H14" s="11" t="str">
        <f aca="false">IF(C14="","",IF(G14="","Thiếu thông tin",IF(G14&lt;6,"Trẻ em",IF(G14&lt;23,"Học sinh / Sinh viên",IF(G14&lt;60,"Đang đi làm","Nghỉ hưu")))))</f>
        <v>Đang đi làm</v>
      </c>
      <c r="I14" s="6"/>
      <c r="J14" s="11" t="str">
        <f aca="false">IF(B14="","",IFERROR(INDEX('Hộ gia đình'!$B$2:$B$2000,MATCH(B14,'Hộ gia đình'!$A$2:$A$2000,0)),"Mã hộ không tồn tại"))</f>
        <v>42 Lê Thanh Nghị</v>
      </c>
      <c r="K14" s="14"/>
      <c r="L14" s="14"/>
      <c r="M14" s="6"/>
      <c r="N14" s="6" t="s">
        <v>395</v>
      </c>
      <c r="O14" s="6" t="s">
        <v>389</v>
      </c>
      <c r="P14" s="6"/>
      <c r="Q14" s="6" t="s">
        <v>403</v>
      </c>
      <c r="R14" s="12"/>
    </row>
    <row r="15" customFormat="false" ht="15" hidden="false" customHeight="true" outlineLevel="0" collapsed="false">
      <c r="A15" s="6" t="s">
        <v>429</v>
      </c>
      <c r="B15" s="6" t="s">
        <v>58</v>
      </c>
      <c r="C15" s="6" t="s">
        <v>430</v>
      </c>
      <c r="D15" s="6"/>
      <c r="E15" s="13" t="n">
        <v>36690</v>
      </c>
      <c r="F15" s="6" t="n">
        <v>2000</v>
      </c>
      <c r="G15" s="11" t="n">
        <f aca="true">IF(F15="","",YEAR(TODAY())-F15)</f>
        <v>26</v>
      </c>
      <c r="H15" s="11" t="str">
        <f aca="false">IF(C15="","",IF(G15="","Thiếu thông tin",IF(G15&lt;6,"Trẻ em",IF(G15&lt;23,"Học sinh / Sinh viên",IF(G15&lt;60,"Đang đi làm","Nghỉ hưu")))))</f>
        <v>Đang đi làm</v>
      </c>
      <c r="I15" s="6"/>
      <c r="J15" s="11" t="str">
        <f aca="false">IF(B15="","",IFERROR(INDEX('Hộ gia đình'!$B$2:$B$2000,MATCH(B15,'Hộ gia đình'!$A$2:$A$2000,0)),"Mã hộ không tồn tại"))</f>
        <v>42 Lê Thanh Nghị</v>
      </c>
      <c r="K15" s="14"/>
      <c r="L15" s="14"/>
      <c r="M15" s="6"/>
      <c r="N15" s="6" t="s">
        <v>395</v>
      </c>
      <c r="O15" s="6" t="s">
        <v>389</v>
      </c>
      <c r="P15" s="6"/>
      <c r="Q15" s="6" t="s">
        <v>403</v>
      </c>
      <c r="R15" s="12"/>
    </row>
    <row r="16" customFormat="false" ht="15" hidden="false" customHeight="true" outlineLevel="0" collapsed="false">
      <c r="A16" s="6" t="s">
        <v>431</v>
      </c>
      <c r="B16" s="6" t="s">
        <v>58</v>
      </c>
      <c r="C16" s="6" t="s">
        <v>432</v>
      </c>
      <c r="D16" s="6"/>
      <c r="E16" s="13" t="n">
        <v>39912</v>
      </c>
      <c r="F16" s="6" t="n">
        <v>2009</v>
      </c>
      <c r="G16" s="11" t="n">
        <f aca="true">IF(F16="","",YEAR(TODAY())-F16)</f>
        <v>17</v>
      </c>
      <c r="H16" s="11" t="str">
        <f aca="false">IF(C16="","",IF(G16="","Thiếu thông tin",IF(G16&lt;6,"Trẻ em",IF(G16&lt;23,"Học sinh / Sinh viên",IF(G16&lt;60,"Đang đi làm","Nghỉ hưu")))))</f>
        <v>Học sinh / Sinh viên</v>
      </c>
      <c r="I16" s="6"/>
      <c r="J16" s="11" t="str">
        <f aca="false">IF(B16="","",IFERROR(INDEX('Hộ gia đình'!$B$2:$B$2000,MATCH(B16,'Hộ gia đình'!$A$2:$A$2000,0)),"Mã hộ không tồn tại"))</f>
        <v>42 Lê Thanh Nghị</v>
      </c>
      <c r="K16" s="14"/>
      <c r="L16" s="14"/>
      <c r="M16" s="6"/>
      <c r="N16" s="6" t="s">
        <v>395</v>
      </c>
      <c r="O16" s="6" t="s">
        <v>389</v>
      </c>
      <c r="P16" s="6"/>
      <c r="Q16" s="6" t="s">
        <v>403</v>
      </c>
      <c r="R16" s="12"/>
    </row>
    <row r="17" customFormat="false" ht="15" hidden="false" customHeight="true" outlineLevel="0" collapsed="false">
      <c r="A17" s="6" t="s">
        <v>433</v>
      </c>
      <c r="B17" s="6" t="s">
        <v>60</v>
      </c>
      <c r="C17" s="6" t="s">
        <v>434</v>
      </c>
      <c r="D17" s="6" t="s">
        <v>385</v>
      </c>
      <c r="E17" s="13" t="n">
        <v>16682</v>
      </c>
      <c r="F17" s="6" t="n">
        <v>1945</v>
      </c>
      <c r="G17" s="11" t="n">
        <f aca="true">IF(F17="","",YEAR(TODAY())-F17)</f>
        <v>81</v>
      </c>
      <c r="H17" s="11" t="str">
        <f aca="false">IF(C17="","",IF(G17="","Thiếu thông tin",IF(G17&lt;6,"Trẻ em",IF(G17&lt;23,"Học sinh / Sinh viên",IF(G17&lt;60,"Đang đi làm","Nghỉ hưu")))))</f>
        <v>Nghỉ hưu</v>
      </c>
      <c r="I17" s="6" t="s">
        <v>52</v>
      </c>
      <c r="J17" s="11" t="str">
        <f aca="false">IF(B17="","",IFERROR(INDEX('Hộ gia đình'!$B$2:$B$2000,MATCH(B17,'Hộ gia đình'!$A$2:$A$2000,0)),"Mã hộ không tồn tại"))</f>
        <v>44 Lê Thanh Nghị</v>
      </c>
      <c r="K17" s="14" t="s">
        <v>435</v>
      </c>
      <c r="L17" s="14"/>
      <c r="M17" s="6" t="s">
        <v>387</v>
      </c>
      <c r="N17" s="6" t="s">
        <v>388</v>
      </c>
      <c r="O17" s="6" t="s">
        <v>389</v>
      </c>
      <c r="P17" s="6"/>
      <c r="Q17" s="6" t="s">
        <v>391</v>
      </c>
      <c r="R17" s="12"/>
    </row>
    <row r="18" customFormat="false" ht="15" hidden="false" customHeight="true" outlineLevel="0" collapsed="false">
      <c r="A18" s="6" t="s">
        <v>436</v>
      </c>
      <c r="B18" s="6" t="s">
        <v>62</v>
      </c>
      <c r="C18" s="6" t="s">
        <v>437</v>
      </c>
      <c r="D18" s="6"/>
      <c r="E18" s="13"/>
      <c r="F18" s="6" t="n">
        <v>1975</v>
      </c>
      <c r="G18" s="11" t="n">
        <f aca="true">IF(F18="","",YEAR(TODAY())-F18)</f>
        <v>51</v>
      </c>
      <c r="H18" s="11" t="str">
        <f aca="false">IF(C18="","",IF(G18="","Thiếu thông tin",IF(G18&lt;6,"Trẻ em",IF(G18&lt;23,"Học sinh / Sinh viên",IF(G18&lt;60,"Đang đi làm","Nghỉ hưu")))))</f>
        <v>Đang đi làm</v>
      </c>
      <c r="I18" s="6" t="s">
        <v>52</v>
      </c>
      <c r="J18" s="11" t="str">
        <f aca="false">IF(B18="","",IFERROR(INDEX('Hộ gia đình'!$B$2:$B$2000,MATCH(B18,'Hộ gia đình'!$A$2:$A$2000,0)),"Mã hộ không tồn tại"))</f>
        <v>44 Lê Thanh Nghị</v>
      </c>
      <c r="K18" s="14"/>
      <c r="L18" s="14"/>
      <c r="M18" s="6"/>
      <c r="N18" s="6" t="s">
        <v>395</v>
      </c>
      <c r="O18" s="6" t="s">
        <v>389</v>
      </c>
      <c r="P18" s="6"/>
      <c r="Q18" s="6" t="s">
        <v>396</v>
      </c>
      <c r="R18" s="12"/>
    </row>
    <row r="19" customFormat="false" ht="15" hidden="false" customHeight="true" outlineLevel="0" collapsed="false">
      <c r="A19" s="6" t="s">
        <v>438</v>
      </c>
      <c r="B19" s="6" t="s">
        <v>63</v>
      </c>
      <c r="C19" s="6" t="s">
        <v>439</v>
      </c>
      <c r="D19" s="6" t="s">
        <v>385</v>
      </c>
      <c r="E19" s="13" t="n">
        <v>28299</v>
      </c>
      <c r="F19" s="6" t="n">
        <v>1977</v>
      </c>
      <c r="G19" s="11" t="n">
        <f aca="true">IF(F19="","",YEAR(TODAY())-F19)</f>
        <v>49</v>
      </c>
      <c r="H19" s="11" t="str">
        <f aca="false">IF(C19="","",IF(G19="","Thiếu thông tin",IF(G19&lt;6,"Trẻ em",IF(G19&lt;23,"Học sinh / Sinh viên",IF(G19&lt;60,"Đang đi làm","Nghỉ hưu")))))</f>
        <v>Đang đi làm</v>
      </c>
      <c r="I19" s="6" t="s">
        <v>52</v>
      </c>
      <c r="J19" s="11" t="str">
        <f aca="false">IF(B19="","",IFERROR(INDEX('Hộ gia đình'!$B$2:$B$2000,MATCH(B19,'Hộ gia đình'!$A$2:$A$2000,0)),"Mã hộ không tồn tại"))</f>
        <v>44 Lê Thanh Nghị</v>
      </c>
      <c r="K19" s="14" t="s">
        <v>440</v>
      </c>
      <c r="L19" s="14"/>
      <c r="M19" s="6" t="s">
        <v>441</v>
      </c>
      <c r="N19" s="6" t="s">
        <v>388</v>
      </c>
      <c r="O19" s="6" t="s">
        <v>389</v>
      </c>
      <c r="P19" s="6"/>
      <c r="Q19" s="6" t="s">
        <v>391</v>
      </c>
      <c r="R19" s="12"/>
    </row>
    <row r="20" customFormat="false" ht="15" hidden="false" customHeight="true" outlineLevel="0" collapsed="false">
      <c r="A20" s="6" t="s">
        <v>442</v>
      </c>
      <c r="B20" s="6" t="s">
        <v>63</v>
      </c>
      <c r="C20" s="6" t="s">
        <v>443</v>
      </c>
      <c r="D20" s="6"/>
      <c r="E20" s="13"/>
      <c r="F20" s="6" t="n">
        <v>1973</v>
      </c>
      <c r="G20" s="11" t="n">
        <f aca="true">IF(F20="","",YEAR(TODAY())-F20)</f>
        <v>53</v>
      </c>
      <c r="H20" s="11" t="str">
        <f aca="false">IF(C20="","",IF(G20="","Thiếu thông tin",IF(G20&lt;6,"Trẻ em",IF(G20&lt;23,"Học sinh / Sinh viên",IF(G20&lt;60,"Đang đi làm","Nghỉ hưu")))))</f>
        <v>Đang đi làm</v>
      </c>
      <c r="I20" s="6"/>
      <c r="J20" s="11" t="str">
        <f aca="false">IF(B20="","",IFERROR(INDEX('Hộ gia đình'!$B$2:$B$2000,MATCH(B20,'Hộ gia đình'!$A$2:$A$2000,0)),"Mã hộ không tồn tại"))</f>
        <v>44 Lê Thanh Nghị</v>
      </c>
      <c r="K20" s="14"/>
      <c r="L20" s="14"/>
      <c r="M20" s="6"/>
      <c r="N20" s="6" t="s">
        <v>395</v>
      </c>
      <c r="O20" s="6" t="s">
        <v>389</v>
      </c>
      <c r="P20" s="6"/>
      <c r="Q20" s="6" t="s">
        <v>396</v>
      </c>
      <c r="R20" s="12"/>
    </row>
    <row r="21" customFormat="false" ht="15" hidden="false" customHeight="true" outlineLevel="0" collapsed="false">
      <c r="A21" s="6" t="s">
        <v>444</v>
      </c>
      <c r="B21" s="6" t="s">
        <v>63</v>
      </c>
      <c r="C21" s="6" t="s">
        <v>445</v>
      </c>
      <c r="D21" s="6"/>
      <c r="E21" s="13" t="n">
        <v>41419</v>
      </c>
      <c r="F21" s="6" t="n">
        <v>2013</v>
      </c>
      <c r="G21" s="11" t="n">
        <f aca="true">IF(F21="","",YEAR(TODAY())-F21)</f>
        <v>13</v>
      </c>
      <c r="H21" s="11" t="str">
        <f aca="false">IF(C21="","",IF(G21="","Thiếu thông tin",IF(G21&lt;6,"Trẻ em",IF(G21&lt;23,"Học sinh / Sinh viên",IF(G21&lt;60,"Đang đi làm","Nghỉ hưu")))))</f>
        <v>Học sinh / Sinh viên</v>
      </c>
      <c r="I21" s="6"/>
      <c r="J21" s="11" t="str">
        <f aca="false">IF(B21="","",IFERROR(INDEX('Hộ gia đình'!$B$2:$B$2000,MATCH(B21,'Hộ gia đình'!$A$2:$A$2000,0)),"Mã hộ không tồn tại"))</f>
        <v>44 Lê Thanh Nghị</v>
      </c>
      <c r="K21" s="14"/>
      <c r="L21" s="14"/>
      <c r="M21" s="6"/>
      <c r="N21" s="6" t="s">
        <v>395</v>
      </c>
      <c r="O21" s="6" t="s">
        <v>389</v>
      </c>
      <c r="P21" s="6"/>
      <c r="Q21" s="6" t="s">
        <v>403</v>
      </c>
      <c r="R21" s="12"/>
    </row>
    <row r="22" customFormat="false" ht="15" hidden="false" customHeight="true" outlineLevel="0" collapsed="false">
      <c r="A22" s="6" t="s">
        <v>446</v>
      </c>
      <c r="B22" s="6" t="s">
        <v>63</v>
      </c>
      <c r="C22" s="6" t="s">
        <v>447</v>
      </c>
      <c r="D22" s="6"/>
      <c r="E22" s="13" t="n">
        <v>40738</v>
      </c>
      <c r="F22" s="6" t="n">
        <v>2011</v>
      </c>
      <c r="G22" s="11" t="n">
        <f aca="true">IF(F22="","",YEAR(TODAY())-F22)</f>
        <v>15</v>
      </c>
      <c r="H22" s="11" t="str">
        <f aca="false">IF(C22="","",IF(G22="","Thiếu thông tin",IF(G22&lt;6,"Trẻ em",IF(G22&lt;23,"Học sinh / Sinh viên",IF(G22&lt;60,"Đang đi làm","Nghỉ hưu")))))</f>
        <v>Học sinh / Sinh viên</v>
      </c>
      <c r="I22" s="6"/>
      <c r="J22" s="11" t="str">
        <f aca="false">IF(B22="","",IFERROR(INDEX('Hộ gia đình'!$B$2:$B$2000,MATCH(B22,'Hộ gia đình'!$A$2:$A$2000,0)),"Mã hộ không tồn tại"))</f>
        <v>44 Lê Thanh Nghị</v>
      </c>
      <c r="K22" s="14"/>
      <c r="L22" s="14"/>
      <c r="M22" s="6"/>
      <c r="N22" s="6" t="s">
        <v>395</v>
      </c>
      <c r="O22" s="6" t="s">
        <v>389</v>
      </c>
      <c r="P22" s="6"/>
      <c r="Q22" s="6" t="s">
        <v>403</v>
      </c>
      <c r="R22" s="12"/>
    </row>
    <row r="23" customFormat="false" ht="15" hidden="false" customHeight="true" outlineLevel="0" collapsed="false">
      <c r="A23" s="6" t="s">
        <v>448</v>
      </c>
      <c r="B23" s="6" t="s">
        <v>64</v>
      </c>
      <c r="C23" s="6" t="s">
        <v>449</v>
      </c>
      <c r="D23" s="6" t="s">
        <v>408</v>
      </c>
      <c r="E23" s="13"/>
      <c r="F23" s="6" t="n">
        <v>1934</v>
      </c>
      <c r="G23" s="11" t="n">
        <f aca="true">IF(F23="","",YEAR(TODAY())-F23)</f>
        <v>92</v>
      </c>
      <c r="H23" s="11" t="str">
        <f aca="false">IF(C23="","",IF(G23="","Thiếu thông tin",IF(G23&lt;6,"Trẻ em",IF(G23&lt;23,"Học sinh / Sinh viên",IF(G23&lt;60,"Đang đi làm","Nghỉ hưu")))))</f>
        <v>Nghỉ hưu</v>
      </c>
      <c r="I23" s="6" t="s">
        <v>52</v>
      </c>
      <c r="J23" s="11" t="str">
        <f aca="false">IF(B23="","",IFERROR(INDEX('Hộ gia đình'!$B$2:$B$2000,MATCH(B23,'Hộ gia đình'!$A$2:$A$2000,0)),"Mã hộ không tồn tại"))</f>
        <v>46 Lê Thanh Nghị</v>
      </c>
      <c r="K23" s="14" t="s">
        <v>450</v>
      </c>
      <c r="L23" s="14"/>
      <c r="M23" s="6" t="s">
        <v>451</v>
      </c>
      <c r="N23" s="6" t="s">
        <v>388</v>
      </c>
      <c r="O23" s="6" t="s">
        <v>389</v>
      </c>
      <c r="P23" s="6"/>
      <c r="Q23" s="6" t="s">
        <v>391</v>
      </c>
      <c r="R23" s="12" t="s">
        <v>452</v>
      </c>
    </row>
    <row r="24" customFormat="false" ht="15" hidden="false" customHeight="true" outlineLevel="0" collapsed="false">
      <c r="A24" s="6" t="s">
        <v>453</v>
      </c>
      <c r="B24" s="6" t="s">
        <v>64</v>
      </c>
      <c r="C24" s="6" t="s">
        <v>454</v>
      </c>
      <c r="D24" s="6" t="s">
        <v>385</v>
      </c>
      <c r="E24" s="13" t="n">
        <v>15797</v>
      </c>
      <c r="F24" s="6" t="n">
        <v>1943</v>
      </c>
      <c r="G24" s="11" t="n">
        <f aca="true">IF(F24="","",YEAR(TODAY())-F24)</f>
        <v>83</v>
      </c>
      <c r="H24" s="11" t="str">
        <f aca="false">IF(C24="","",IF(G24="","Thiếu thông tin",IF(G24&lt;6,"Trẻ em",IF(G24&lt;23,"Học sinh / Sinh viên",IF(G24&lt;60,"Đang đi làm","Nghỉ hưu")))))</f>
        <v>Nghỉ hưu</v>
      </c>
      <c r="I24" s="6"/>
      <c r="J24" s="11" t="str">
        <f aca="false">IF(B24="","",IFERROR(INDEX('Hộ gia đình'!$B$2:$B$2000,MATCH(B24,'Hộ gia đình'!$A$2:$A$2000,0)),"Mã hộ không tồn tại"))</f>
        <v>46 Lê Thanh Nghị</v>
      </c>
      <c r="K24" s="14" t="s">
        <v>455</v>
      </c>
      <c r="L24" s="14"/>
      <c r="M24" s="6" t="s">
        <v>451</v>
      </c>
      <c r="N24" s="6" t="s">
        <v>388</v>
      </c>
      <c r="O24" s="6" t="s">
        <v>389</v>
      </c>
      <c r="P24" s="6"/>
      <c r="Q24" s="6" t="s">
        <v>391</v>
      </c>
      <c r="R24" s="12"/>
    </row>
    <row r="25" customFormat="false" ht="15" hidden="false" customHeight="true" outlineLevel="0" collapsed="false">
      <c r="A25" s="6" t="s">
        <v>456</v>
      </c>
      <c r="B25" s="6" t="s">
        <v>64</v>
      </c>
      <c r="C25" s="6" t="s">
        <v>457</v>
      </c>
      <c r="D25" s="6" t="s">
        <v>408</v>
      </c>
      <c r="E25" s="13" t="n">
        <v>27323</v>
      </c>
      <c r="F25" s="6" t="n">
        <v>1974</v>
      </c>
      <c r="G25" s="11" t="n">
        <f aca="true">IF(F25="","",YEAR(TODAY())-F25)</f>
        <v>52</v>
      </c>
      <c r="H25" s="11" t="str">
        <f aca="false">IF(C25="","",IF(G25="","Thiếu thông tin",IF(G25&lt;6,"Trẻ em",IF(G25&lt;23,"Học sinh / Sinh viên",IF(G25&lt;60,"Đang đi làm","Nghỉ hưu")))))</f>
        <v>Đang đi làm</v>
      </c>
      <c r="I25" s="6"/>
      <c r="J25" s="11" t="str">
        <f aca="false">IF(B25="","",IFERROR(INDEX('Hộ gia đình'!$B$2:$B$2000,MATCH(B25,'Hộ gia đình'!$A$2:$A$2000,0)),"Mã hộ không tồn tại"))</f>
        <v>46 Lê Thanh Nghị</v>
      </c>
      <c r="K25" s="14" t="s">
        <v>458</v>
      </c>
      <c r="L25" s="14"/>
      <c r="M25" s="6" t="s">
        <v>459</v>
      </c>
      <c r="N25" s="6" t="s">
        <v>388</v>
      </c>
      <c r="O25" s="6" t="s">
        <v>389</v>
      </c>
      <c r="P25" s="6"/>
      <c r="Q25" s="6" t="s">
        <v>391</v>
      </c>
      <c r="R25" s="12"/>
    </row>
    <row r="26" customFormat="false" ht="15" hidden="false" customHeight="true" outlineLevel="0" collapsed="false">
      <c r="A26" s="6" t="s">
        <v>460</v>
      </c>
      <c r="B26" s="6" t="s">
        <v>64</v>
      </c>
      <c r="C26" s="6" t="s">
        <v>461</v>
      </c>
      <c r="D26" s="6" t="s">
        <v>385</v>
      </c>
      <c r="E26" s="13" t="n">
        <v>31846</v>
      </c>
      <c r="F26" s="6" t="n">
        <v>1987</v>
      </c>
      <c r="G26" s="11" t="n">
        <f aca="true">IF(F26="","",YEAR(TODAY())-F26)</f>
        <v>39</v>
      </c>
      <c r="H26" s="11" t="str">
        <f aca="false">IF(C26="","",IF(G26="","Thiếu thông tin",IF(G26&lt;6,"Trẻ em",IF(G26&lt;23,"Học sinh / Sinh viên",IF(G26&lt;60,"Đang đi làm","Nghỉ hưu")))))</f>
        <v>Đang đi làm</v>
      </c>
      <c r="I26" s="6"/>
      <c r="J26" s="11" t="str">
        <f aca="false">IF(B26="","",IFERROR(INDEX('Hộ gia đình'!$B$2:$B$2000,MATCH(B26,'Hộ gia đình'!$A$2:$A$2000,0)),"Mã hộ không tồn tại"))</f>
        <v>46 Lê Thanh Nghị</v>
      </c>
      <c r="K26" s="14" t="s">
        <v>462</v>
      </c>
      <c r="L26" s="14"/>
      <c r="M26" s="6" t="s">
        <v>459</v>
      </c>
      <c r="N26" s="6" t="s">
        <v>388</v>
      </c>
      <c r="O26" s="6" t="s">
        <v>389</v>
      </c>
      <c r="P26" s="6"/>
      <c r="Q26" s="6" t="s">
        <v>391</v>
      </c>
      <c r="R26" s="12"/>
    </row>
    <row r="27" customFormat="false" ht="15" hidden="false" customHeight="true" outlineLevel="0" collapsed="false">
      <c r="A27" s="6" t="s">
        <v>463</v>
      </c>
      <c r="B27" s="6" t="s">
        <v>64</v>
      </c>
      <c r="C27" s="6" t="s">
        <v>464</v>
      </c>
      <c r="D27" s="6" t="s">
        <v>385</v>
      </c>
      <c r="E27" s="13" t="n">
        <v>23525</v>
      </c>
      <c r="F27" s="6" t="n">
        <v>1964</v>
      </c>
      <c r="G27" s="11" t="n">
        <f aca="true">IF(F27="","",YEAR(TODAY())-F27)</f>
        <v>62</v>
      </c>
      <c r="H27" s="11" t="str">
        <f aca="false">IF(C27="","",IF(G27="","Thiếu thông tin",IF(G27&lt;6,"Trẻ em",IF(G27&lt;23,"Học sinh / Sinh viên",IF(G27&lt;60,"Đang đi làm","Nghỉ hưu")))))</f>
        <v>Nghỉ hưu</v>
      </c>
      <c r="I27" s="6"/>
      <c r="J27" s="11" t="str">
        <f aca="false">IF(B27="","",IFERROR(INDEX('Hộ gia đình'!$B$2:$B$2000,MATCH(B27,'Hộ gia đình'!$A$2:$A$2000,0)),"Mã hộ không tồn tại"))</f>
        <v>46 Lê Thanh Nghị</v>
      </c>
      <c r="K27" s="14" t="s">
        <v>465</v>
      </c>
      <c r="L27" s="14"/>
      <c r="M27" s="6" t="s">
        <v>459</v>
      </c>
      <c r="N27" s="6" t="s">
        <v>388</v>
      </c>
      <c r="O27" s="6" t="s">
        <v>389</v>
      </c>
      <c r="P27" s="6"/>
      <c r="Q27" s="6" t="s">
        <v>391</v>
      </c>
      <c r="R27" s="12"/>
    </row>
    <row r="28" customFormat="false" ht="15" hidden="false" customHeight="true" outlineLevel="0" collapsed="false">
      <c r="A28" s="6" t="s">
        <v>466</v>
      </c>
      <c r="B28" s="6" t="s">
        <v>64</v>
      </c>
      <c r="C28" s="6" t="s">
        <v>467</v>
      </c>
      <c r="D28" s="6"/>
      <c r="E28" s="13"/>
      <c r="F28" s="6" t="n">
        <v>1993</v>
      </c>
      <c r="G28" s="11" t="n">
        <f aca="true">IF(F28="","",YEAR(TODAY())-F28)</f>
        <v>33</v>
      </c>
      <c r="H28" s="11" t="str">
        <f aca="false">IF(C28="","",IF(G28="","Thiếu thông tin",IF(G28&lt;6,"Trẻ em",IF(G28&lt;23,"Học sinh / Sinh viên",IF(G28&lt;60,"Đang đi làm","Nghỉ hưu")))))</f>
        <v>Đang đi làm</v>
      </c>
      <c r="I28" s="6"/>
      <c r="J28" s="11" t="str">
        <f aca="false">IF(B28="","",IFERROR(INDEX('Hộ gia đình'!$B$2:$B$2000,MATCH(B28,'Hộ gia đình'!$A$2:$A$2000,0)),"Mã hộ không tồn tại"))</f>
        <v>46 Lê Thanh Nghị</v>
      </c>
      <c r="K28" s="14"/>
      <c r="L28" s="14"/>
      <c r="M28" s="6"/>
      <c r="N28" s="6" t="s">
        <v>395</v>
      </c>
      <c r="O28" s="6" t="s">
        <v>389</v>
      </c>
      <c r="P28" s="6"/>
      <c r="Q28" s="6" t="s">
        <v>396</v>
      </c>
      <c r="R28" s="12"/>
    </row>
    <row r="29" customFormat="false" ht="15" hidden="false" customHeight="true" outlineLevel="0" collapsed="false">
      <c r="A29" s="6" t="s">
        <v>468</v>
      </c>
      <c r="B29" s="6" t="s">
        <v>64</v>
      </c>
      <c r="C29" s="6" t="s">
        <v>469</v>
      </c>
      <c r="D29" s="6"/>
      <c r="E29" s="13" t="n">
        <v>43324</v>
      </c>
      <c r="F29" s="6" t="n">
        <v>2018</v>
      </c>
      <c r="G29" s="11" t="n">
        <f aca="true">IF(F29="","",YEAR(TODAY())-F29)</f>
        <v>8</v>
      </c>
      <c r="H29" s="11" t="str">
        <f aca="false">IF(C29="","",IF(G29="","Thiếu thông tin",IF(G29&lt;6,"Trẻ em",IF(G29&lt;23,"Học sinh / Sinh viên",IF(G29&lt;60,"Đang đi làm","Nghỉ hưu")))))</f>
        <v>Học sinh / Sinh viên</v>
      </c>
      <c r="I29" s="6"/>
      <c r="J29" s="11" t="str">
        <f aca="false">IF(B29="","",IFERROR(INDEX('Hộ gia đình'!$B$2:$B$2000,MATCH(B29,'Hộ gia đình'!$A$2:$A$2000,0)),"Mã hộ không tồn tại"))</f>
        <v>46 Lê Thanh Nghị</v>
      </c>
      <c r="K29" s="14"/>
      <c r="L29" s="14"/>
      <c r="M29" s="6"/>
      <c r="N29" s="6" t="s">
        <v>395</v>
      </c>
      <c r="O29" s="6" t="s">
        <v>389</v>
      </c>
      <c r="P29" s="6"/>
      <c r="Q29" s="6" t="s">
        <v>403</v>
      </c>
      <c r="R29" s="12"/>
    </row>
    <row r="30" customFormat="false" ht="15" hidden="false" customHeight="true" outlineLevel="0" collapsed="false">
      <c r="A30" s="6" t="s">
        <v>470</v>
      </c>
      <c r="B30" s="6" t="s">
        <v>64</v>
      </c>
      <c r="C30" s="6" t="s">
        <v>471</v>
      </c>
      <c r="D30" s="6"/>
      <c r="E30" s="13" t="n">
        <v>41933</v>
      </c>
      <c r="F30" s="6" t="n">
        <v>2014</v>
      </c>
      <c r="G30" s="11" t="n">
        <f aca="true">IF(F30="","",YEAR(TODAY())-F30)</f>
        <v>12</v>
      </c>
      <c r="H30" s="11" t="str">
        <f aca="false">IF(C30="","",IF(G30="","Thiếu thông tin",IF(G30&lt;6,"Trẻ em",IF(G30&lt;23,"Học sinh / Sinh viên",IF(G30&lt;60,"Đang đi làm","Nghỉ hưu")))))</f>
        <v>Học sinh / Sinh viên</v>
      </c>
      <c r="I30" s="6"/>
      <c r="J30" s="11" t="str">
        <f aca="false">IF(B30="","",IFERROR(INDEX('Hộ gia đình'!$B$2:$B$2000,MATCH(B30,'Hộ gia đình'!$A$2:$A$2000,0)),"Mã hộ không tồn tại"))</f>
        <v>46 Lê Thanh Nghị</v>
      </c>
      <c r="K30" s="14"/>
      <c r="L30" s="14"/>
      <c r="M30" s="6"/>
      <c r="N30" s="6" t="s">
        <v>395</v>
      </c>
      <c r="O30" s="6" t="s">
        <v>389</v>
      </c>
      <c r="P30" s="6"/>
      <c r="Q30" s="6" t="s">
        <v>403</v>
      </c>
      <c r="R30" s="12"/>
    </row>
    <row r="31" customFormat="false" ht="15" hidden="false" customHeight="true" outlineLevel="0" collapsed="false">
      <c r="A31" s="6" t="s">
        <v>472</v>
      </c>
      <c r="B31" s="6" t="s">
        <v>66</v>
      </c>
      <c r="C31" s="6" t="s">
        <v>473</v>
      </c>
      <c r="D31" s="6" t="s">
        <v>385</v>
      </c>
      <c r="E31" s="13" t="n">
        <v>19850</v>
      </c>
      <c r="F31" s="6" t="n">
        <v>1954</v>
      </c>
      <c r="G31" s="11" t="n">
        <f aca="true">IF(F31="","",YEAR(TODAY())-F31)</f>
        <v>72</v>
      </c>
      <c r="H31" s="11" t="str">
        <f aca="false">IF(C31="","",IF(G31="","Thiếu thông tin",IF(G31&lt;6,"Trẻ em",IF(G31&lt;23,"Học sinh / Sinh viên",IF(G31&lt;60,"Đang đi làm","Nghỉ hưu")))))</f>
        <v>Nghỉ hưu</v>
      </c>
      <c r="I31" s="6" t="s">
        <v>52</v>
      </c>
      <c r="J31" s="11" t="str">
        <f aca="false">IF(B31="","",IFERROR(INDEX('Hộ gia đình'!$B$2:$B$2000,MATCH(B31,'Hộ gia đình'!$A$2:$A$2000,0)),"Mã hộ không tồn tại"))</f>
        <v>48 Lê Thanh Nghị</v>
      </c>
      <c r="K31" s="14" t="s">
        <v>474</v>
      </c>
      <c r="L31" s="14"/>
      <c r="M31" s="6" t="s">
        <v>387</v>
      </c>
      <c r="N31" s="6" t="s">
        <v>388</v>
      </c>
      <c r="O31" s="6" t="s">
        <v>389</v>
      </c>
      <c r="P31" s="6"/>
      <c r="Q31" s="6" t="s">
        <v>391</v>
      </c>
      <c r="R31" s="12"/>
    </row>
    <row r="32" customFormat="false" ht="15" hidden="false" customHeight="true" outlineLevel="0" collapsed="false">
      <c r="A32" s="6" t="s">
        <v>475</v>
      </c>
      <c r="B32" s="6" t="s">
        <v>66</v>
      </c>
      <c r="C32" s="6" t="s">
        <v>476</v>
      </c>
      <c r="D32" s="6" t="s">
        <v>408</v>
      </c>
      <c r="E32" s="13" t="n">
        <v>14376</v>
      </c>
      <c r="F32" s="6" t="n">
        <v>1939</v>
      </c>
      <c r="G32" s="11" t="n">
        <f aca="true">IF(F32="","",YEAR(TODAY())-F32)</f>
        <v>87</v>
      </c>
      <c r="H32" s="11" t="str">
        <f aca="false">IF(C32="","",IF(G32="","Thiếu thông tin",IF(G32&lt;6,"Trẻ em",IF(G32&lt;23,"Học sinh / Sinh viên",IF(G32&lt;60,"Đang đi làm","Nghỉ hưu")))))</f>
        <v>Nghỉ hưu</v>
      </c>
      <c r="I32" s="6"/>
      <c r="J32" s="11" t="str">
        <f aca="false">IF(B32="","",IFERROR(INDEX('Hộ gia đình'!$B$2:$B$2000,MATCH(B32,'Hộ gia đình'!$A$2:$A$2000,0)),"Mã hộ không tồn tại"))</f>
        <v>48 Lê Thanh Nghị</v>
      </c>
      <c r="K32" s="14" t="s">
        <v>477</v>
      </c>
      <c r="L32" s="14"/>
      <c r="M32" s="6" t="s">
        <v>387</v>
      </c>
      <c r="N32" s="6" t="s">
        <v>388</v>
      </c>
      <c r="O32" s="6" t="s">
        <v>389</v>
      </c>
      <c r="P32" s="6"/>
      <c r="Q32" s="6" t="s">
        <v>391</v>
      </c>
      <c r="R32" s="12"/>
    </row>
    <row r="33" customFormat="false" ht="15" hidden="false" customHeight="true" outlineLevel="0" collapsed="false">
      <c r="A33" s="6" t="s">
        <v>478</v>
      </c>
      <c r="B33" s="6" t="s">
        <v>66</v>
      </c>
      <c r="C33" s="6" t="s">
        <v>479</v>
      </c>
      <c r="D33" s="6"/>
      <c r="E33" s="13"/>
      <c r="F33" s="6" t="n">
        <v>1981</v>
      </c>
      <c r="G33" s="11" t="n">
        <f aca="true">IF(F33="","",YEAR(TODAY())-F33)</f>
        <v>45</v>
      </c>
      <c r="H33" s="11" t="str">
        <f aca="false">IF(C33="","",IF(G33="","Thiếu thông tin",IF(G33&lt;6,"Trẻ em",IF(G33&lt;23,"Học sinh / Sinh viên",IF(G33&lt;60,"Đang đi làm","Nghỉ hưu")))))</f>
        <v>Đang đi làm</v>
      </c>
      <c r="I33" s="6"/>
      <c r="J33" s="11" t="str">
        <f aca="false">IF(B33="","",IFERROR(INDEX('Hộ gia đình'!$B$2:$B$2000,MATCH(B33,'Hộ gia đình'!$A$2:$A$2000,0)),"Mã hộ không tồn tại"))</f>
        <v>48 Lê Thanh Nghị</v>
      </c>
      <c r="K33" s="14"/>
      <c r="L33" s="14"/>
      <c r="M33" s="6"/>
      <c r="N33" s="6" t="s">
        <v>395</v>
      </c>
      <c r="O33" s="6" t="s">
        <v>389</v>
      </c>
      <c r="P33" s="6"/>
      <c r="Q33" s="6" t="s">
        <v>396</v>
      </c>
      <c r="R33" s="12"/>
    </row>
    <row r="34" customFormat="false" ht="15" hidden="false" customHeight="true" outlineLevel="0" collapsed="false">
      <c r="A34" s="6" t="s">
        <v>480</v>
      </c>
      <c r="B34" s="6" t="s">
        <v>66</v>
      </c>
      <c r="C34" s="6" t="s">
        <v>481</v>
      </c>
      <c r="D34" s="6"/>
      <c r="E34" s="13"/>
      <c r="F34" s="6" t="n">
        <v>1982</v>
      </c>
      <c r="G34" s="11" t="n">
        <f aca="true">IF(F34="","",YEAR(TODAY())-F34)</f>
        <v>44</v>
      </c>
      <c r="H34" s="11" t="str">
        <f aca="false">IF(C34="","",IF(G34="","Thiếu thông tin",IF(G34&lt;6,"Trẻ em",IF(G34&lt;23,"Học sinh / Sinh viên",IF(G34&lt;60,"Đang đi làm","Nghỉ hưu")))))</f>
        <v>Đang đi làm</v>
      </c>
      <c r="I34" s="6"/>
      <c r="J34" s="11" t="str">
        <f aca="false">IF(B34="","",IFERROR(INDEX('Hộ gia đình'!$B$2:$B$2000,MATCH(B34,'Hộ gia đình'!$A$2:$A$2000,0)),"Mã hộ không tồn tại"))</f>
        <v>48 Lê Thanh Nghị</v>
      </c>
      <c r="K34" s="14"/>
      <c r="L34" s="14"/>
      <c r="M34" s="6"/>
      <c r="N34" s="6" t="s">
        <v>395</v>
      </c>
      <c r="O34" s="6" t="s">
        <v>389</v>
      </c>
      <c r="P34" s="6"/>
      <c r="Q34" s="6" t="s">
        <v>396</v>
      </c>
      <c r="R34" s="12"/>
    </row>
    <row r="35" customFormat="false" ht="15" hidden="false" customHeight="true" outlineLevel="0" collapsed="false">
      <c r="A35" s="6" t="s">
        <v>482</v>
      </c>
      <c r="B35" s="6" t="s">
        <v>66</v>
      </c>
      <c r="C35" s="6" t="s">
        <v>483</v>
      </c>
      <c r="D35" s="6" t="s">
        <v>408</v>
      </c>
      <c r="E35" s="13" t="n">
        <v>32559</v>
      </c>
      <c r="F35" s="6" t="n">
        <v>1989</v>
      </c>
      <c r="G35" s="11" t="n">
        <f aca="true">IF(F35="","",YEAR(TODAY())-F35)</f>
        <v>37</v>
      </c>
      <c r="H35" s="11" t="str">
        <f aca="false">IF(C35="","",IF(G35="","Thiếu thông tin",IF(G35&lt;6,"Trẻ em",IF(G35&lt;23,"Học sinh / Sinh viên",IF(G35&lt;60,"Đang đi làm","Nghỉ hưu")))))</f>
        <v>Đang đi làm</v>
      </c>
      <c r="I35" s="6"/>
      <c r="J35" s="11" t="str">
        <f aca="false">IF(B35="","",IFERROR(INDEX('Hộ gia đình'!$B$2:$B$2000,MATCH(B35,'Hộ gia đình'!$A$2:$A$2000,0)),"Mã hộ không tồn tại"))</f>
        <v>48 Lê Thanh Nghị</v>
      </c>
      <c r="K35" s="14" t="s">
        <v>484</v>
      </c>
      <c r="L35" s="14"/>
      <c r="M35" s="6" t="s">
        <v>459</v>
      </c>
      <c r="N35" s="6" t="s">
        <v>388</v>
      </c>
      <c r="O35" s="6" t="s">
        <v>389</v>
      </c>
      <c r="P35" s="6"/>
      <c r="Q35" s="6" t="s">
        <v>391</v>
      </c>
      <c r="R35" s="12"/>
    </row>
    <row r="36" customFormat="false" ht="15" hidden="false" customHeight="true" outlineLevel="0" collapsed="false">
      <c r="A36" s="6" t="s">
        <v>485</v>
      </c>
      <c r="B36" s="6" t="s">
        <v>66</v>
      </c>
      <c r="C36" s="6" t="s">
        <v>486</v>
      </c>
      <c r="D36" s="6"/>
      <c r="E36" s="13"/>
      <c r="F36" s="6" t="n">
        <v>2010</v>
      </c>
      <c r="G36" s="11" t="n">
        <f aca="true">IF(F36="","",YEAR(TODAY())-F36)</f>
        <v>16</v>
      </c>
      <c r="H36" s="11" t="str">
        <f aca="false">IF(C36="","",IF(G36="","Thiếu thông tin",IF(G36&lt;6,"Trẻ em",IF(G36&lt;23,"Học sinh / Sinh viên",IF(G36&lt;60,"Đang đi làm","Nghỉ hưu")))))</f>
        <v>Học sinh / Sinh viên</v>
      </c>
      <c r="I36" s="6"/>
      <c r="J36" s="11" t="str">
        <f aca="false">IF(B36="","",IFERROR(INDEX('Hộ gia đình'!$B$2:$B$2000,MATCH(B36,'Hộ gia đình'!$A$2:$A$2000,0)),"Mã hộ không tồn tại"))</f>
        <v>48 Lê Thanh Nghị</v>
      </c>
      <c r="K36" s="14"/>
      <c r="L36" s="14"/>
      <c r="M36" s="6"/>
      <c r="N36" s="6" t="s">
        <v>395</v>
      </c>
      <c r="O36" s="6" t="s">
        <v>389</v>
      </c>
      <c r="P36" s="6"/>
      <c r="Q36" s="6" t="s">
        <v>403</v>
      </c>
      <c r="R36" s="12"/>
    </row>
    <row r="37" customFormat="false" ht="15" hidden="false" customHeight="true" outlineLevel="0" collapsed="false">
      <c r="A37" s="6" t="s">
        <v>487</v>
      </c>
      <c r="B37" s="6" t="s">
        <v>68</v>
      </c>
      <c r="C37" s="6" t="s">
        <v>488</v>
      </c>
      <c r="D37" s="6" t="s">
        <v>385</v>
      </c>
      <c r="E37" s="13" t="n">
        <v>22907</v>
      </c>
      <c r="F37" s="6" t="n">
        <v>1962</v>
      </c>
      <c r="G37" s="11" t="n">
        <f aca="true">IF(F37="","",YEAR(TODAY())-F37)</f>
        <v>64</v>
      </c>
      <c r="H37" s="11" t="str">
        <f aca="false">IF(C37="","",IF(G37="","Thiếu thông tin",IF(G37&lt;6,"Trẻ em",IF(G37&lt;23,"Học sinh / Sinh viên",IF(G37&lt;60,"Đang đi làm","Nghỉ hưu")))))</f>
        <v>Nghỉ hưu</v>
      </c>
      <c r="I37" s="6" t="s">
        <v>52</v>
      </c>
      <c r="J37" s="11" t="str">
        <f aca="false">IF(B37="","",IFERROR(INDEX('Hộ gia đình'!$B$2:$B$2000,MATCH(B37,'Hộ gia đình'!$A$2:$A$2000,0)),"Mã hộ không tồn tại"))</f>
        <v>50 Lê Thanh Nghị</v>
      </c>
      <c r="K37" s="14" t="s">
        <v>489</v>
      </c>
      <c r="L37" s="14"/>
      <c r="M37" s="6" t="s">
        <v>451</v>
      </c>
      <c r="N37" s="6" t="s">
        <v>388</v>
      </c>
      <c r="O37" s="6" t="s">
        <v>389</v>
      </c>
      <c r="P37" s="6"/>
      <c r="Q37" s="6" t="s">
        <v>391</v>
      </c>
      <c r="R37" s="12"/>
    </row>
    <row r="38" customFormat="false" ht="15" hidden="false" customHeight="true" outlineLevel="0" collapsed="false">
      <c r="A38" s="6" t="s">
        <v>490</v>
      </c>
      <c r="B38" s="6" t="s">
        <v>68</v>
      </c>
      <c r="C38" s="6" t="s">
        <v>491</v>
      </c>
      <c r="D38" s="6" t="s">
        <v>408</v>
      </c>
      <c r="E38" s="13" t="n">
        <v>22169</v>
      </c>
      <c r="F38" s="6" t="n">
        <v>1960</v>
      </c>
      <c r="G38" s="11" t="n">
        <f aca="true">IF(F38="","",YEAR(TODAY())-F38)</f>
        <v>66</v>
      </c>
      <c r="H38" s="11" t="str">
        <f aca="false">IF(C38="","",IF(G38="","Thiếu thông tin",IF(G38&lt;6,"Trẻ em",IF(G38&lt;23,"Học sinh / Sinh viên",IF(G38&lt;60,"Đang đi làm","Nghỉ hưu")))))</f>
        <v>Nghỉ hưu</v>
      </c>
      <c r="I38" s="6"/>
      <c r="J38" s="11" t="str">
        <f aca="false">IF(B38="","",IFERROR(INDEX('Hộ gia đình'!$B$2:$B$2000,MATCH(B38,'Hộ gia đình'!$A$2:$A$2000,0)),"Mã hộ không tồn tại"))</f>
        <v>50 Lê Thanh Nghị</v>
      </c>
      <c r="K38" s="14" t="s">
        <v>492</v>
      </c>
      <c r="L38" s="14"/>
      <c r="M38" s="6" t="s">
        <v>451</v>
      </c>
      <c r="N38" s="6" t="s">
        <v>388</v>
      </c>
      <c r="O38" s="6" t="s">
        <v>389</v>
      </c>
      <c r="P38" s="6"/>
      <c r="Q38" s="6" t="s">
        <v>391</v>
      </c>
      <c r="R38" s="12"/>
    </row>
    <row r="39" customFormat="false" ht="15" hidden="false" customHeight="true" outlineLevel="0" collapsed="false">
      <c r="A39" s="6" t="s">
        <v>493</v>
      </c>
      <c r="B39" s="6" t="s">
        <v>68</v>
      </c>
      <c r="C39" s="6" t="s">
        <v>494</v>
      </c>
      <c r="D39" s="6"/>
      <c r="E39" s="13" t="n">
        <v>31663</v>
      </c>
      <c r="F39" s="6" t="n">
        <v>1986</v>
      </c>
      <c r="G39" s="11" t="n">
        <f aca="true">IF(F39="","",YEAR(TODAY())-F39)</f>
        <v>40</v>
      </c>
      <c r="H39" s="11" t="str">
        <f aca="false">IF(C39="","",IF(G39="","Thiếu thông tin",IF(G39&lt;6,"Trẻ em",IF(G39&lt;23,"Học sinh / Sinh viên",IF(G39&lt;60,"Đang đi làm","Nghỉ hưu")))))</f>
        <v>Đang đi làm</v>
      </c>
      <c r="I39" s="6"/>
      <c r="J39" s="11" t="str">
        <f aca="false">IF(B39="","",IFERROR(INDEX('Hộ gia đình'!$B$2:$B$2000,MATCH(B39,'Hộ gia đình'!$A$2:$A$2000,0)),"Mã hộ không tồn tại"))</f>
        <v>50 Lê Thanh Nghị</v>
      </c>
      <c r="K39" s="14"/>
      <c r="L39" s="14"/>
      <c r="M39" s="6"/>
      <c r="N39" s="6" t="s">
        <v>395</v>
      </c>
      <c r="O39" s="6" t="s">
        <v>389</v>
      </c>
      <c r="P39" s="6" t="s">
        <v>495</v>
      </c>
      <c r="Q39" s="6" t="s">
        <v>396</v>
      </c>
      <c r="R39" s="12" t="s">
        <v>392</v>
      </c>
    </row>
    <row r="40" customFormat="false" ht="15" hidden="false" customHeight="true" outlineLevel="0" collapsed="false">
      <c r="A40" s="6" t="s">
        <v>496</v>
      </c>
      <c r="B40" s="6" t="s">
        <v>68</v>
      </c>
      <c r="C40" s="6" t="s">
        <v>497</v>
      </c>
      <c r="D40" s="6"/>
      <c r="E40" s="13" t="n">
        <v>34505</v>
      </c>
      <c r="F40" s="6" t="n">
        <v>1994</v>
      </c>
      <c r="G40" s="11" t="n">
        <f aca="true">IF(F40="","",YEAR(TODAY())-F40)</f>
        <v>32</v>
      </c>
      <c r="H40" s="11" t="str">
        <f aca="false">IF(C40="","",IF(G40="","Thiếu thông tin",IF(G40&lt;6,"Trẻ em",IF(G40&lt;23,"Học sinh / Sinh viên",IF(G40&lt;60,"Đang đi làm","Nghỉ hưu")))))</f>
        <v>Đang đi làm</v>
      </c>
      <c r="I40" s="6"/>
      <c r="J40" s="11" t="str">
        <f aca="false">IF(B40="","",IFERROR(INDEX('Hộ gia đình'!$B$2:$B$2000,MATCH(B40,'Hộ gia đình'!$A$2:$A$2000,0)),"Mã hộ không tồn tại"))</f>
        <v>50 Lê Thanh Nghị</v>
      </c>
      <c r="K40" s="14"/>
      <c r="L40" s="14"/>
      <c r="M40" s="6"/>
      <c r="N40" s="6" t="s">
        <v>395</v>
      </c>
      <c r="O40" s="6" t="s">
        <v>389</v>
      </c>
      <c r="P40" s="6" t="s">
        <v>495</v>
      </c>
      <c r="Q40" s="6" t="s">
        <v>396</v>
      </c>
      <c r="R40" s="12" t="s">
        <v>392</v>
      </c>
    </row>
    <row r="41" customFormat="false" ht="15" hidden="false" customHeight="true" outlineLevel="0" collapsed="false">
      <c r="A41" s="6" t="s">
        <v>498</v>
      </c>
      <c r="B41" s="6" t="s">
        <v>70</v>
      </c>
      <c r="C41" s="6" t="s">
        <v>499</v>
      </c>
      <c r="D41" s="6"/>
      <c r="E41" s="13"/>
      <c r="F41" s="6" t="n">
        <v>1961</v>
      </c>
      <c r="G41" s="11" t="n">
        <f aca="true">IF(F41="","",YEAR(TODAY())-F41)</f>
        <v>65</v>
      </c>
      <c r="H41" s="11" t="str">
        <f aca="false">IF(C41="","",IF(G41="","Thiếu thông tin",IF(G41&lt;6,"Trẻ em",IF(G41&lt;23,"Học sinh / Sinh viên",IF(G41&lt;60,"Đang đi làm","Nghỉ hưu")))))</f>
        <v>Nghỉ hưu</v>
      </c>
      <c r="I41" s="6" t="s">
        <v>52</v>
      </c>
      <c r="J41" s="11" t="str">
        <f aca="false">IF(B41="","",IFERROR(INDEX('Hộ gia đình'!$B$2:$B$2000,MATCH(B41,'Hộ gia đình'!$A$2:$A$2000,0)),"Mã hộ không tồn tại"))</f>
        <v>52+54 Lê Thanh Nghị</v>
      </c>
      <c r="K41" s="14"/>
      <c r="L41" s="14"/>
      <c r="M41" s="6"/>
      <c r="N41" s="6" t="s">
        <v>395</v>
      </c>
      <c r="O41" s="6" t="s">
        <v>389</v>
      </c>
      <c r="P41" s="6" t="s">
        <v>500</v>
      </c>
      <c r="Q41" s="6" t="s">
        <v>396</v>
      </c>
      <c r="R41" s="12" t="s">
        <v>392</v>
      </c>
    </row>
    <row r="42" customFormat="false" ht="15" hidden="false" customHeight="true" outlineLevel="0" collapsed="false">
      <c r="A42" s="6" t="s">
        <v>501</v>
      </c>
      <c r="B42" s="6" t="s">
        <v>70</v>
      </c>
      <c r="C42" s="6" t="s">
        <v>502</v>
      </c>
      <c r="D42" s="6"/>
      <c r="E42" s="13"/>
      <c r="F42" s="6" t="n">
        <v>1960</v>
      </c>
      <c r="G42" s="11" t="n">
        <f aca="true">IF(F42="","",YEAR(TODAY())-F42)</f>
        <v>66</v>
      </c>
      <c r="H42" s="11" t="str">
        <f aca="false">IF(C42="","",IF(G42="","Thiếu thông tin",IF(G42&lt;6,"Trẻ em",IF(G42&lt;23,"Học sinh / Sinh viên",IF(G42&lt;60,"Đang đi làm","Nghỉ hưu")))))</f>
        <v>Nghỉ hưu</v>
      </c>
      <c r="I42" s="6"/>
      <c r="J42" s="11" t="str">
        <f aca="false">IF(B42="","",IFERROR(INDEX('Hộ gia đình'!$B$2:$B$2000,MATCH(B42,'Hộ gia đình'!$A$2:$A$2000,0)),"Mã hộ không tồn tại"))</f>
        <v>52+54 Lê Thanh Nghị</v>
      </c>
      <c r="K42" s="14"/>
      <c r="L42" s="14"/>
      <c r="M42" s="6"/>
      <c r="N42" s="6" t="s">
        <v>395</v>
      </c>
      <c r="O42" s="6" t="s">
        <v>389</v>
      </c>
      <c r="P42" s="6"/>
      <c r="Q42" s="6" t="s">
        <v>396</v>
      </c>
      <c r="R42" s="12"/>
    </row>
    <row r="43" customFormat="false" ht="15" hidden="false" customHeight="true" outlineLevel="0" collapsed="false">
      <c r="A43" s="6" t="s">
        <v>503</v>
      </c>
      <c r="B43" s="6" t="s">
        <v>70</v>
      </c>
      <c r="C43" s="6" t="s">
        <v>504</v>
      </c>
      <c r="D43" s="6"/>
      <c r="E43" s="13"/>
      <c r="F43" s="6" t="n">
        <v>1986</v>
      </c>
      <c r="G43" s="11" t="n">
        <f aca="true">IF(F43="","",YEAR(TODAY())-F43)</f>
        <v>40</v>
      </c>
      <c r="H43" s="11" t="str">
        <f aca="false">IF(C43="","",IF(G43="","Thiếu thông tin",IF(G43&lt;6,"Trẻ em",IF(G43&lt;23,"Học sinh / Sinh viên",IF(G43&lt;60,"Đang đi làm","Nghỉ hưu")))))</f>
        <v>Đang đi làm</v>
      </c>
      <c r="I43" s="6"/>
      <c r="J43" s="11" t="str">
        <f aca="false">IF(B43="","",IFERROR(INDEX('Hộ gia đình'!$B$2:$B$2000,MATCH(B43,'Hộ gia đình'!$A$2:$A$2000,0)),"Mã hộ không tồn tại"))</f>
        <v>52+54 Lê Thanh Nghị</v>
      </c>
      <c r="K43" s="14"/>
      <c r="L43" s="14"/>
      <c r="M43" s="6"/>
      <c r="N43" s="6" t="s">
        <v>395</v>
      </c>
      <c r="O43" s="6" t="s">
        <v>389</v>
      </c>
      <c r="P43" s="6"/>
      <c r="Q43" s="6" t="s">
        <v>396</v>
      </c>
      <c r="R43" s="12"/>
    </row>
    <row r="44" customFormat="false" ht="15" hidden="false" customHeight="true" outlineLevel="0" collapsed="false">
      <c r="A44" s="6" t="s">
        <v>505</v>
      </c>
      <c r="B44" s="6" t="s">
        <v>70</v>
      </c>
      <c r="C44" s="6" t="s">
        <v>506</v>
      </c>
      <c r="D44" s="6"/>
      <c r="E44" s="13"/>
      <c r="F44" s="6" t="n">
        <v>1990</v>
      </c>
      <c r="G44" s="11" t="n">
        <f aca="true">IF(F44="","",YEAR(TODAY())-F44)</f>
        <v>36</v>
      </c>
      <c r="H44" s="11" t="str">
        <f aca="false">IF(C44="","",IF(G44="","Thiếu thông tin",IF(G44&lt;6,"Trẻ em",IF(G44&lt;23,"Học sinh / Sinh viên",IF(G44&lt;60,"Đang đi làm","Nghỉ hưu")))))</f>
        <v>Đang đi làm</v>
      </c>
      <c r="I44" s="6"/>
      <c r="J44" s="11" t="str">
        <f aca="false">IF(B44="","",IFERROR(INDEX('Hộ gia đình'!$B$2:$B$2000,MATCH(B44,'Hộ gia đình'!$A$2:$A$2000,0)),"Mã hộ không tồn tại"))</f>
        <v>52+54 Lê Thanh Nghị</v>
      </c>
      <c r="K44" s="14"/>
      <c r="L44" s="14"/>
      <c r="M44" s="6"/>
      <c r="N44" s="6" t="s">
        <v>395</v>
      </c>
      <c r="O44" s="6" t="s">
        <v>389</v>
      </c>
      <c r="P44" s="6"/>
      <c r="Q44" s="6" t="s">
        <v>396</v>
      </c>
      <c r="R44" s="12"/>
    </row>
    <row r="45" customFormat="false" ht="15" hidden="false" customHeight="true" outlineLevel="0" collapsed="false">
      <c r="A45" s="6" t="s">
        <v>507</v>
      </c>
      <c r="B45" s="6" t="s">
        <v>70</v>
      </c>
      <c r="C45" s="6" t="s">
        <v>508</v>
      </c>
      <c r="D45" s="6"/>
      <c r="E45" s="13"/>
      <c r="F45" s="6" t="n">
        <v>2012</v>
      </c>
      <c r="G45" s="11" t="n">
        <f aca="true">IF(F45="","",YEAR(TODAY())-F45)</f>
        <v>14</v>
      </c>
      <c r="H45" s="11" t="str">
        <f aca="false">IF(C45="","",IF(G45="","Thiếu thông tin",IF(G45&lt;6,"Trẻ em",IF(G45&lt;23,"Học sinh / Sinh viên",IF(G45&lt;60,"Đang đi làm","Nghỉ hưu")))))</f>
        <v>Học sinh / Sinh viên</v>
      </c>
      <c r="I45" s="6"/>
      <c r="J45" s="11" t="str">
        <f aca="false">IF(B45="","",IFERROR(INDEX('Hộ gia đình'!$B$2:$B$2000,MATCH(B45,'Hộ gia đình'!$A$2:$A$2000,0)),"Mã hộ không tồn tại"))</f>
        <v>52+54 Lê Thanh Nghị</v>
      </c>
      <c r="K45" s="14"/>
      <c r="L45" s="14"/>
      <c r="M45" s="6"/>
      <c r="N45" s="6" t="s">
        <v>395</v>
      </c>
      <c r="O45" s="6" t="s">
        <v>389</v>
      </c>
      <c r="P45" s="6"/>
      <c r="Q45" s="6" t="s">
        <v>403</v>
      </c>
      <c r="R45" s="12"/>
    </row>
    <row r="46" customFormat="false" ht="15" hidden="false" customHeight="true" outlineLevel="0" collapsed="false">
      <c r="A46" s="6" t="s">
        <v>509</v>
      </c>
      <c r="B46" s="6" t="s">
        <v>73</v>
      </c>
      <c r="C46" s="6" t="s">
        <v>510</v>
      </c>
      <c r="D46" s="6"/>
      <c r="E46" s="13"/>
      <c r="F46" s="6" t="n">
        <v>1951</v>
      </c>
      <c r="G46" s="11" t="n">
        <f aca="true">IF(F46="","",YEAR(TODAY())-F46)</f>
        <v>75</v>
      </c>
      <c r="H46" s="11" t="str">
        <f aca="false">IF(C46="","",IF(G46="","Thiếu thông tin",IF(G46&lt;6,"Trẻ em",IF(G46&lt;23,"Học sinh / Sinh viên",IF(G46&lt;60,"Đang đi làm","Nghỉ hưu")))))</f>
        <v>Nghỉ hưu</v>
      </c>
      <c r="I46" s="6" t="s">
        <v>52</v>
      </c>
      <c r="J46" s="11" t="str">
        <f aca="false">IF(B46="","",IFERROR(INDEX('Hộ gia đình'!$B$2:$B$2000,MATCH(B46,'Hộ gia đình'!$A$2:$A$2000,0)),"Mã hộ không tồn tại"))</f>
        <v>56 Lê Thanh Nghị</v>
      </c>
      <c r="K46" s="14"/>
      <c r="L46" s="14"/>
      <c r="M46" s="6"/>
      <c r="N46" s="6" t="s">
        <v>395</v>
      </c>
      <c r="O46" s="6" t="s">
        <v>389</v>
      </c>
      <c r="P46" s="6" t="s">
        <v>511</v>
      </c>
      <c r="Q46" s="6" t="s">
        <v>396</v>
      </c>
      <c r="R46" s="12" t="s">
        <v>392</v>
      </c>
    </row>
    <row r="47" customFormat="false" ht="15" hidden="false" customHeight="true" outlineLevel="0" collapsed="false">
      <c r="A47" s="6" t="s">
        <v>512</v>
      </c>
      <c r="B47" s="6" t="s">
        <v>73</v>
      </c>
      <c r="C47" s="6" t="s">
        <v>513</v>
      </c>
      <c r="D47" s="6"/>
      <c r="E47" s="13"/>
      <c r="F47" s="6" t="n">
        <v>1950</v>
      </c>
      <c r="G47" s="11" t="n">
        <f aca="true">IF(F47="","",YEAR(TODAY())-F47)</f>
        <v>76</v>
      </c>
      <c r="H47" s="11" t="str">
        <f aca="false">IF(C47="","",IF(G47="","Thiếu thông tin",IF(G47&lt;6,"Trẻ em",IF(G47&lt;23,"Học sinh / Sinh viên",IF(G47&lt;60,"Đang đi làm","Nghỉ hưu")))))</f>
        <v>Nghỉ hưu</v>
      </c>
      <c r="I47" s="6"/>
      <c r="J47" s="11" t="str">
        <f aca="false">IF(B47="","",IFERROR(INDEX('Hộ gia đình'!$B$2:$B$2000,MATCH(B47,'Hộ gia đình'!$A$2:$A$2000,0)),"Mã hộ không tồn tại"))</f>
        <v>56 Lê Thanh Nghị</v>
      </c>
      <c r="K47" s="14"/>
      <c r="L47" s="14"/>
      <c r="M47" s="6"/>
      <c r="N47" s="6" t="s">
        <v>395</v>
      </c>
      <c r="O47" s="6" t="s">
        <v>389</v>
      </c>
      <c r="P47" s="6"/>
      <c r="Q47" s="6" t="s">
        <v>396</v>
      </c>
      <c r="R47" s="12"/>
    </row>
    <row r="48" customFormat="false" ht="15" hidden="false" customHeight="true" outlineLevel="0" collapsed="false">
      <c r="A48" s="6" t="s">
        <v>514</v>
      </c>
      <c r="B48" s="6" t="s">
        <v>75</v>
      </c>
      <c r="C48" s="6" t="s">
        <v>515</v>
      </c>
      <c r="D48" s="6"/>
      <c r="E48" s="13"/>
      <c r="F48" s="6" t="n">
        <v>1975</v>
      </c>
      <c r="G48" s="11" t="n">
        <f aca="true">IF(F48="","",YEAR(TODAY())-F48)</f>
        <v>51</v>
      </c>
      <c r="H48" s="11" t="str">
        <f aca="false">IF(C48="","",IF(G48="","Thiếu thông tin",IF(G48&lt;6,"Trẻ em",IF(G48&lt;23,"Học sinh / Sinh viên",IF(G48&lt;60,"Đang đi làm","Nghỉ hưu")))))</f>
        <v>Đang đi làm</v>
      </c>
      <c r="I48" s="6" t="s">
        <v>52</v>
      </c>
      <c r="J48" s="11" t="str">
        <f aca="false">IF(B48="","",IFERROR(INDEX('Hộ gia đình'!$B$2:$B$2000,MATCH(B48,'Hộ gia đình'!$A$2:$A$2000,0)),"Mã hộ không tồn tại"))</f>
        <v>56 Lê Thanh Nghị</v>
      </c>
      <c r="K48" s="14"/>
      <c r="L48" s="14"/>
      <c r="M48" s="6"/>
      <c r="N48" s="6" t="s">
        <v>395</v>
      </c>
      <c r="O48" s="6" t="s">
        <v>389</v>
      </c>
      <c r="P48" s="6"/>
      <c r="Q48" s="6" t="s">
        <v>396</v>
      </c>
      <c r="R48" s="12"/>
    </row>
    <row r="49" customFormat="false" ht="15" hidden="false" customHeight="true" outlineLevel="0" collapsed="false">
      <c r="A49" s="6" t="s">
        <v>516</v>
      </c>
      <c r="B49" s="6" t="s">
        <v>75</v>
      </c>
      <c r="C49" s="6" t="s">
        <v>517</v>
      </c>
      <c r="D49" s="6"/>
      <c r="E49" s="13"/>
      <c r="F49" s="6" t="n">
        <v>1982</v>
      </c>
      <c r="G49" s="11" t="n">
        <f aca="true">IF(F49="","",YEAR(TODAY())-F49)</f>
        <v>44</v>
      </c>
      <c r="H49" s="11" t="str">
        <f aca="false">IF(C49="","",IF(G49="","Thiếu thông tin",IF(G49&lt;6,"Trẻ em",IF(G49&lt;23,"Học sinh / Sinh viên",IF(G49&lt;60,"Đang đi làm","Nghỉ hưu")))))</f>
        <v>Đang đi làm</v>
      </c>
      <c r="I49" s="6"/>
      <c r="J49" s="11" t="str">
        <f aca="false">IF(B49="","",IFERROR(INDEX('Hộ gia đình'!$B$2:$B$2000,MATCH(B49,'Hộ gia đình'!$A$2:$A$2000,0)),"Mã hộ không tồn tại"))</f>
        <v>56 Lê Thanh Nghị</v>
      </c>
      <c r="K49" s="14"/>
      <c r="L49" s="14"/>
      <c r="M49" s="6"/>
      <c r="N49" s="6" t="s">
        <v>395</v>
      </c>
      <c r="O49" s="6" t="s">
        <v>389</v>
      </c>
      <c r="P49" s="6"/>
      <c r="Q49" s="6" t="s">
        <v>396</v>
      </c>
      <c r="R49" s="12"/>
    </row>
    <row r="50" customFormat="false" ht="15" hidden="false" customHeight="true" outlineLevel="0" collapsed="false">
      <c r="A50" s="6" t="s">
        <v>518</v>
      </c>
      <c r="B50" s="6" t="s">
        <v>75</v>
      </c>
      <c r="C50" s="6" t="s">
        <v>519</v>
      </c>
      <c r="D50" s="6"/>
      <c r="E50" s="13"/>
      <c r="F50" s="6" t="n">
        <v>2009</v>
      </c>
      <c r="G50" s="11" t="n">
        <f aca="true">IF(F50="","",YEAR(TODAY())-F50)</f>
        <v>17</v>
      </c>
      <c r="H50" s="11" t="str">
        <f aca="false">IF(C50="","",IF(G50="","Thiếu thông tin",IF(G50&lt;6,"Trẻ em",IF(G50&lt;23,"Học sinh / Sinh viên",IF(G50&lt;60,"Đang đi làm","Nghỉ hưu")))))</f>
        <v>Học sinh / Sinh viên</v>
      </c>
      <c r="I50" s="6"/>
      <c r="J50" s="11" t="str">
        <f aca="false">IF(B50="","",IFERROR(INDEX('Hộ gia đình'!$B$2:$B$2000,MATCH(B50,'Hộ gia đình'!$A$2:$A$2000,0)),"Mã hộ không tồn tại"))</f>
        <v>56 Lê Thanh Nghị</v>
      </c>
      <c r="K50" s="14"/>
      <c r="L50" s="14"/>
      <c r="M50" s="6"/>
      <c r="N50" s="6" t="s">
        <v>395</v>
      </c>
      <c r="O50" s="6" t="s">
        <v>389</v>
      </c>
      <c r="P50" s="6"/>
      <c r="Q50" s="6" t="s">
        <v>403</v>
      </c>
      <c r="R50" s="12"/>
    </row>
    <row r="51" customFormat="false" ht="15" hidden="false" customHeight="true" outlineLevel="0" collapsed="false">
      <c r="A51" s="6" t="s">
        <v>520</v>
      </c>
      <c r="B51" s="6" t="s">
        <v>76</v>
      </c>
      <c r="C51" s="6" t="s">
        <v>521</v>
      </c>
      <c r="D51" s="6"/>
      <c r="E51" s="13"/>
      <c r="F51" s="6"/>
      <c r="G51" s="11" t="str">
        <f aca="true">IF(F51="","",YEAR(TODAY())-F51)</f>
        <v/>
      </c>
      <c r="H51" s="11" t="str">
        <f aca="false">IF(C51="","",IF(G51="","Thiếu thông tin",IF(G51&lt;6,"Trẻ em",IF(G51&lt;23,"Học sinh / Sinh viên",IF(G51&lt;60,"Đang đi làm","Nghỉ hưu")))))</f>
        <v>Thiếu thông tin</v>
      </c>
      <c r="I51" s="6" t="s">
        <v>52</v>
      </c>
      <c r="J51" s="11" t="str">
        <f aca="false">IF(B51="","",IFERROR(INDEX('Hộ gia đình'!$B$2:$B$2000,MATCH(B51,'Hộ gia đình'!$A$2:$A$2000,0)),"Mã hộ không tồn tại"))</f>
        <v>60 Lê Thanh Nghị</v>
      </c>
      <c r="K51" s="14"/>
      <c r="L51" s="14"/>
      <c r="M51" s="6"/>
      <c r="N51" s="6" t="s">
        <v>395</v>
      </c>
      <c r="O51" s="6" t="s">
        <v>389</v>
      </c>
      <c r="P51" s="6"/>
      <c r="Q51" s="6" t="s">
        <v>403</v>
      </c>
      <c r="R51" s="12" t="s">
        <v>522</v>
      </c>
    </row>
    <row r="52" customFormat="false" ht="15" hidden="false" customHeight="true" outlineLevel="0" collapsed="false">
      <c r="A52" s="6" t="s">
        <v>523</v>
      </c>
      <c r="B52" s="6" t="s">
        <v>76</v>
      </c>
      <c r="C52" s="6" t="s">
        <v>524</v>
      </c>
      <c r="D52" s="6"/>
      <c r="E52" s="13"/>
      <c r="F52" s="6"/>
      <c r="G52" s="11" t="str">
        <f aca="true">IF(F52="","",YEAR(TODAY())-F52)</f>
        <v/>
      </c>
      <c r="H52" s="11" t="str">
        <f aca="false">IF(C52="","",IF(G52="","Thiếu thông tin",IF(G52&lt;6,"Trẻ em",IF(G52&lt;23,"Học sinh / Sinh viên",IF(G52&lt;60,"Đang đi làm","Nghỉ hưu")))))</f>
        <v>Thiếu thông tin</v>
      </c>
      <c r="I52" s="6"/>
      <c r="J52" s="11" t="str">
        <f aca="false">IF(B52="","",IFERROR(INDEX('Hộ gia đình'!$B$2:$B$2000,MATCH(B52,'Hộ gia đình'!$A$2:$A$2000,0)),"Mã hộ không tồn tại"))</f>
        <v>60 Lê Thanh Nghị</v>
      </c>
      <c r="K52" s="14"/>
      <c r="L52" s="14"/>
      <c r="M52" s="6"/>
      <c r="N52" s="6" t="s">
        <v>395</v>
      </c>
      <c r="O52" s="6" t="s">
        <v>389</v>
      </c>
      <c r="P52" s="6"/>
      <c r="Q52" s="6" t="s">
        <v>403</v>
      </c>
      <c r="R52" s="12" t="s">
        <v>522</v>
      </c>
    </row>
    <row r="53" customFormat="false" ht="15" hidden="false" customHeight="true" outlineLevel="0" collapsed="false">
      <c r="A53" s="6" t="s">
        <v>525</v>
      </c>
      <c r="B53" s="6" t="s">
        <v>76</v>
      </c>
      <c r="C53" s="6" t="s">
        <v>526</v>
      </c>
      <c r="D53" s="6"/>
      <c r="E53" s="13"/>
      <c r="F53" s="6" t="n">
        <v>1991</v>
      </c>
      <c r="G53" s="11" t="n">
        <f aca="true">IF(F53="","",YEAR(TODAY())-F53)</f>
        <v>35</v>
      </c>
      <c r="H53" s="11" t="str">
        <f aca="false">IF(C53="","",IF(G53="","Thiếu thông tin",IF(G53&lt;6,"Trẻ em",IF(G53&lt;23,"Học sinh / Sinh viên",IF(G53&lt;60,"Đang đi làm","Nghỉ hưu")))))</f>
        <v>Đang đi làm</v>
      </c>
      <c r="I53" s="6"/>
      <c r="J53" s="11" t="str">
        <f aca="false">IF(B53="","",IFERROR(INDEX('Hộ gia đình'!$B$2:$B$2000,MATCH(B53,'Hộ gia đình'!$A$2:$A$2000,0)),"Mã hộ không tồn tại"))</f>
        <v>60 Lê Thanh Nghị</v>
      </c>
      <c r="K53" s="14"/>
      <c r="L53" s="14"/>
      <c r="M53" s="6"/>
      <c r="N53" s="6" t="s">
        <v>395</v>
      </c>
      <c r="O53" s="6" t="s">
        <v>389</v>
      </c>
      <c r="P53" s="6"/>
      <c r="Q53" s="6" t="s">
        <v>396</v>
      </c>
      <c r="R53" s="12"/>
    </row>
    <row r="54" customFormat="false" ht="15" hidden="false" customHeight="true" outlineLevel="0" collapsed="false">
      <c r="A54" s="6" t="s">
        <v>527</v>
      </c>
      <c r="B54" s="6" t="s">
        <v>76</v>
      </c>
      <c r="C54" s="6" t="s">
        <v>528</v>
      </c>
      <c r="D54" s="6"/>
      <c r="E54" s="13"/>
      <c r="F54" s="6" t="n">
        <v>1997</v>
      </c>
      <c r="G54" s="11" t="n">
        <f aca="true">IF(F54="","",YEAR(TODAY())-F54)</f>
        <v>29</v>
      </c>
      <c r="H54" s="11" t="str">
        <f aca="false">IF(C54="","",IF(G54="","Thiếu thông tin",IF(G54&lt;6,"Trẻ em",IF(G54&lt;23,"Học sinh / Sinh viên",IF(G54&lt;60,"Đang đi làm","Nghỉ hưu")))))</f>
        <v>Đang đi làm</v>
      </c>
      <c r="I54" s="6"/>
      <c r="J54" s="11" t="str">
        <f aca="false">IF(B54="","",IFERROR(INDEX('Hộ gia đình'!$B$2:$B$2000,MATCH(B54,'Hộ gia đình'!$A$2:$A$2000,0)),"Mã hộ không tồn tại"))</f>
        <v>60 Lê Thanh Nghị</v>
      </c>
      <c r="K54" s="14"/>
      <c r="L54" s="14"/>
      <c r="M54" s="6"/>
      <c r="N54" s="6" t="s">
        <v>395</v>
      </c>
      <c r="O54" s="6" t="s">
        <v>389</v>
      </c>
      <c r="P54" s="6"/>
      <c r="Q54" s="6" t="s">
        <v>403</v>
      </c>
      <c r="R54" s="12"/>
    </row>
    <row r="55" customFormat="false" ht="15" hidden="false" customHeight="true" outlineLevel="0" collapsed="false">
      <c r="A55" s="6" t="s">
        <v>529</v>
      </c>
      <c r="B55" s="6" t="s">
        <v>78</v>
      </c>
      <c r="C55" s="6" t="s">
        <v>530</v>
      </c>
      <c r="D55" s="6"/>
      <c r="E55" s="13"/>
      <c r="F55" s="6" t="n">
        <v>1972</v>
      </c>
      <c r="G55" s="11" t="n">
        <f aca="true">IF(F55="","",YEAR(TODAY())-F55)</f>
        <v>54</v>
      </c>
      <c r="H55" s="11" t="str">
        <f aca="false">IF(C55="","",IF(G55="","Thiếu thông tin",IF(G55&lt;6,"Trẻ em",IF(G55&lt;23,"Học sinh / Sinh viên",IF(G55&lt;60,"Đang đi làm","Nghỉ hưu")))))</f>
        <v>Đang đi làm</v>
      </c>
      <c r="I55" s="6" t="s">
        <v>52</v>
      </c>
      <c r="J55" s="11" t="str">
        <f aca="false">IF(B55="","",IFERROR(INDEX('Hộ gia đình'!$B$2:$B$2000,MATCH(B55,'Hộ gia đình'!$A$2:$A$2000,0)),"Mã hộ không tồn tại"))</f>
        <v>62 Lê Thanh Nghị</v>
      </c>
      <c r="K55" s="14"/>
      <c r="L55" s="14"/>
      <c r="M55" s="6"/>
      <c r="N55" s="6" t="s">
        <v>395</v>
      </c>
      <c r="O55" s="6" t="s">
        <v>389</v>
      </c>
      <c r="P55" s="6" t="s">
        <v>531</v>
      </c>
      <c r="Q55" s="6" t="s">
        <v>396</v>
      </c>
      <c r="R55" s="12"/>
    </row>
    <row r="56" customFormat="false" ht="15" hidden="false" customHeight="true" outlineLevel="0" collapsed="false">
      <c r="A56" s="6" t="s">
        <v>532</v>
      </c>
      <c r="B56" s="6" t="s">
        <v>78</v>
      </c>
      <c r="C56" s="6" t="s">
        <v>533</v>
      </c>
      <c r="D56" s="6"/>
      <c r="E56" s="13"/>
      <c r="F56" s="6" t="n">
        <v>1977</v>
      </c>
      <c r="G56" s="11" t="n">
        <f aca="true">IF(F56="","",YEAR(TODAY())-F56)</f>
        <v>49</v>
      </c>
      <c r="H56" s="11" t="str">
        <f aca="false">IF(C56="","",IF(G56="","Thiếu thông tin",IF(G56&lt;6,"Trẻ em",IF(G56&lt;23,"Học sinh / Sinh viên",IF(G56&lt;60,"Đang đi làm","Nghỉ hưu")))))</f>
        <v>Đang đi làm</v>
      </c>
      <c r="I56" s="6"/>
      <c r="J56" s="11" t="str">
        <f aca="false">IF(B56="","",IFERROR(INDEX('Hộ gia đình'!$B$2:$B$2000,MATCH(B56,'Hộ gia đình'!$A$2:$A$2000,0)),"Mã hộ không tồn tại"))</f>
        <v>62 Lê Thanh Nghị</v>
      </c>
      <c r="K56" s="14"/>
      <c r="L56" s="14"/>
      <c r="M56" s="6"/>
      <c r="N56" s="6" t="s">
        <v>395</v>
      </c>
      <c r="O56" s="6" t="s">
        <v>389</v>
      </c>
      <c r="P56" s="6"/>
      <c r="Q56" s="6" t="s">
        <v>396</v>
      </c>
      <c r="R56" s="12"/>
    </row>
    <row r="57" customFormat="false" ht="15" hidden="false" customHeight="true" outlineLevel="0" collapsed="false">
      <c r="A57" s="6" t="s">
        <v>534</v>
      </c>
      <c r="B57" s="6" t="s">
        <v>78</v>
      </c>
      <c r="C57" s="6" t="s">
        <v>535</v>
      </c>
      <c r="D57" s="6"/>
      <c r="E57" s="13"/>
      <c r="F57" s="6" t="n">
        <v>2003</v>
      </c>
      <c r="G57" s="11" t="n">
        <f aca="true">IF(F57="","",YEAR(TODAY())-F57)</f>
        <v>23</v>
      </c>
      <c r="H57" s="11" t="str">
        <f aca="false">IF(C57="","",IF(G57="","Thiếu thông tin",IF(G57&lt;6,"Trẻ em",IF(G57&lt;23,"Học sinh / Sinh viên",IF(G57&lt;60,"Đang đi làm","Nghỉ hưu")))))</f>
        <v>Đang đi làm</v>
      </c>
      <c r="I57" s="6"/>
      <c r="J57" s="11" t="str">
        <f aca="false">IF(B57="","",IFERROR(INDEX('Hộ gia đình'!$B$2:$B$2000,MATCH(B57,'Hộ gia đình'!$A$2:$A$2000,0)),"Mã hộ không tồn tại"))</f>
        <v>62 Lê Thanh Nghị</v>
      </c>
      <c r="K57" s="14"/>
      <c r="L57" s="14"/>
      <c r="M57" s="6"/>
      <c r="N57" s="6" t="s">
        <v>395</v>
      </c>
      <c r="O57" s="6" t="s">
        <v>389</v>
      </c>
      <c r="P57" s="6"/>
      <c r="Q57" s="6" t="s">
        <v>403</v>
      </c>
      <c r="R57" s="12"/>
    </row>
    <row r="58" customFormat="false" ht="15" hidden="false" customHeight="true" outlineLevel="0" collapsed="false">
      <c r="A58" s="6" t="s">
        <v>536</v>
      </c>
      <c r="B58" s="6" t="s">
        <v>78</v>
      </c>
      <c r="C58" s="6" t="s">
        <v>537</v>
      </c>
      <c r="D58" s="6"/>
      <c r="E58" s="13"/>
      <c r="F58" s="6" t="n">
        <v>2005</v>
      </c>
      <c r="G58" s="11" t="n">
        <f aca="true">IF(F58="","",YEAR(TODAY())-F58)</f>
        <v>21</v>
      </c>
      <c r="H58" s="11" t="str">
        <f aca="false">IF(C58="","",IF(G58="","Thiếu thông tin",IF(G58&lt;6,"Trẻ em",IF(G58&lt;23,"Học sinh / Sinh viên",IF(G58&lt;60,"Đang đi làm","Nghỉ hưu")))))</f>
        <v>Học sinh / Sinh viên</v>
      </c>
      <c r="I58" s="6"/>
      <c r="J58" s="11" t="str">
        <f aca="false">IF(B58="","",IFERROR(INDEX('Hộ gia đình'!$B$2:$B$2000,MATCH(B58,'Hộ gia đình'!$A$2:$A$2000,0)),"Mã hộ không tồn tại"))</f>
        <v>62 Lê Thanh Nghị</v>
      </c>
      <c r="K58" s="14"/>
      <c r="L58" s="14"/>
      <c r="M58" s="6"/>
      <c r="N58" s="6" t="s">
        <v>395</v>
      </c>
      <c r="O58" s="6" t="s">
        <v>389</v>
      </c>
      <c r="P58" s="6"/>
      <c r="Q58" s="6" t="s">
        <v>403</v>
      </c>
      <c r="R58" s="12"/>
    </row>
    <row r="59" customFormat="false" ht="15" hidden="false" customHeight="true" outlineLevel="0" collapsed="false">
      <c r="A59" s="6" t="s">
        <v>538</v>
      </c>
      <c r="B59" s="6" t="s">
        <v>80</v>
      </c>
      <c r="C59" s="6" t="s">
        <v>539</v>
      </c>
      <c r="D59" s="6" t="s">
        <v>408</v>
      </c>
      <c r="E59" s="13" t="n">
        <v>18449</v>
      </c>
      <c r="F59" s="6" t="n">
        <v>1950</v>
      </c>
      <c r="G59" s="11" t="n">
        <f aca="true">IF(F59="","",YEAR(TODAY())-F59)</f>
        <v>76</v>
      </c>
      <c r="H59" s="11" t="str">
        <f aca="false">IF(C59="","",IF(G59="","Thiếu thông tin",IF(G59&lt;6,"Trẻ em",IF(G59&lt;23,"Học sinh / Sinh viên",IF(G59&lt;60,"Đang đi làm","Nghỉ hưu")))))</f>
        <v>Nghỉ hưu</v>
      </c>
      <c r="I59" s="6" t="s">
        <v>52</v>
      </c>
      <c r="J59" s="11" t="str">
        <f aca="false">IF(B59="","",IFERROR(INDEX('Hộ gia đình'!$B$2:$B$2000,MATCH(B59,'Hộ gia đình'!$A$2:$A$2000,0)),"Mã hộ không tồn tại"))</f>
        <v>64 Lê Thanh Nghị</v>
      </c>
      <c r="K59" s="14" t="s">
        <v>540</v>
      </c>
      <c r="L59" s="14"/>
      <c r="M59" s="6" t="s">
        <v>451</v>
      </c>
      <c r="N59" s="6" t="s">
        <v>388</v>
      </c>
      <c r="O59" s="6" t="s">
        <v>389</v>
      </c>
      <c r="P59" s="6"/>
      <c r="Q59" s="6" t="s">
        <v>391</v>
      </c>
      <c r="R59" s="12"/>
    </row>
    <row r="60" customFormat="false" ht="15" hidden="false" customHeight="true" outlineLevel="0" collapsed="false">
      <c r="A60" s="6" t="s">
        <v>541</v>
      </c>
      <c r="B60" s="6" t="s">
        <v>80</v>
      </c>
      <c r="C60" s="6" t="s">
        <v>542</v>
      </c>
      <c r="D60" s="6" t="s">
        <v>385</v>
      </c>
      <c r="E60" s="13" t="n">
        <v>24438</v>
      </c>
      <c r="F60" s="6" t="n">
        <v>1966</v>
      </c>
      <c r="G60" s="11" t="n">
        <f aca="true">IF(F60="","",YEAR(TODAY())-F60)</f>
        <v>60</v>
      </c>
      <c r="H60" s="11" t="str">
        <f aca="false">IF(C60="","",IF(G60="","Thiếu thông tin",IF(G60&lt;6,"Trẻ em",IF(G60&lt;23,"Học sinh / Sinh viên",IF(G60&lt;60,"Đang đi làm","Nghỉ hưu")))))</f>
        <v>Nghỉ hưu</v>
      </c>
      <c r="I60" s="6"/>
      <c r="J60" s="11" t="str">
        <f aca="false">IF(B60="","",IFERROR(INDEX('Hộ gia đình'!$B$2:$B$2000,MATCH(B60,'Hộ gia đình'!$A$2:$A$2000,0)),"Mã hộ không tồn tại"))</f>
        <v>64 Lê Thanh Nghị</v>
      </c>
      <c r="K60" s="14" t="s">
        <v>543</v>
      </c>
      <c r="L60" s="14"/>
      <c r="M60" s="6" t="s">
        <v>451</v>
      </c>
      <c r="N60" s="6" t="s">
        <v>388</v>
      </c>
      <c r="O60" s="6" t="s">
        <v>389</v>
      </c>
      <c r="P60" s="6"/>
      <c r="Q60" s="6" t="s">
        <v>391</v>
      </c>
      <c r="R60" s="12"/>
    </row>
    <row r="61" customFormat="false" ht="15" hidden="false" customHeight="true" outlineLevel="0" collapsed="false">
      <c r="A61" s="6" t="s">
        <v>544</v>
      </c>
      <c r="B61" s="6" t="s">
        <v>80</v>
      </c>
      <c r="C61" s="6" t="s">
        <v>545</v>
      </c>
      <c r="D61" s="6" t="s">
        <v>408</v>
      </c>
      <c r="E61" s="13" t="n">
        <v>30161</v>
      </c>
      <c r="F61" s="6" t="n">
        <v>1982</v>
      </c>
      <c r="G61" s="11" t="n">
        <f aca="true">IF(F61="","",YEAR(TODAY())-F61)</f>
        <v>44</v>
      </c>
      <c r="H61" s="11" t="str">
        <f aca="false">IF(C61="","",IF(G61="","Thiếu thông tin",IF(G61&lt;6,"Trẻ em",IF(G61&lt;23,"Học sinh / Sinh viên",IF(G61&lt;60,"Đang đi làm","Nghỉ hưu")))))</f>
        <v>Đang đi làm</v>
      </c>
      <c r="I61" s="6"/>
      <c r="J61" s="11" t="str">
        <f aca="false">IF(B61="","",IFERROR(INDEX('Hộ gia đình'!$B$2:$B$2000,MATCH(B61,'Hộ gia đình'!$A$2:$A$2000,0)),"Mã hộ không tồn tại"))</f>
        <v>64 Lê Thanh Nghị</v>
      </c>
      <c r="K61" s="14" t="s">
        <v>546</v>
      </c>
      <c r="L61" s="14"/>
      <c r="M61" s="6" t="s">
        <v>459</v>
      </c>
      <c r="N61" s="6" t="s">
        <v>388</v>
      </c>
      <c r="O61" s="6" t="s">
        <v>389</v>
      </c>
      <c r="P61" s="6"/>
      <c r="Q61" s="6" t="s">
        <v>391</v>
      </c>
      <c r="R61" s="12"/>
    </row>
    <row r="62" customFormat="false" ht="15" hidden="false" customHeight="true" outlineLevel="0" collapsed="false">
      <c r="A62" s="6" t="s">
        <v>547</v>
      </c>
      <c r="B62" s="6" t="s">
        <v>80</v>
      </c>
      <c r="C62" s="6" t="s">
        <v>548</v>
      </c>
      <c r="D62" s="6"/>
      <c r="E62" s="13" t="n">
        <v>36322</v>
      </c>
      <c r="F62" s="6" t="n">
        <v>1999</v>
      </c>
      <c r="G62" s="11" t="n">
        <f aca="true">IF(F62="","",YEAR(TODAY())-F62)</f>
        <v>27</v>
      </c>
      <c r="H62" s="11" t="str">
        <f aca="false">IF(C62="","",IF(G62="","Thiếu thông tin",IF(G62&lt;6,"Trẻ em",IF(G62&lt;23,"Học sinh / Sinh viên",IF(G62&lt;60,"Đang đi làm","Nghỉ hưu")))))</f>
        <v>Đang đi làm</v>
      </c>
      <c r="I62" s="6"/>
      <c r="J62" s="11" t="str">
        <f aca="false">IF(B62="","",IFERROR(INDEX('Hộ gia đình'!$B$2:$B$2000,MATCH(B62,'Hộ gia đình'!$A$2:$A$2000,0)),"Mã hộ không tồn tại"))</f>
        <v>64 Lê Thanh Nghị</v>
      </c>
      <c r="K62" s="14"/>
      <c r="L62" s="14"/>
      <c r="M62" s="6"/>
      <c r="N62" s="6" t="s">
        <v>395</v>
      </c>
      <c r="O62" s="6" t="s">
        <v>389</v>
      </c>
      <c r="P62" s="6"/>
      <c r="Q62" s="6" t="s">
        <v>403</v>
      </c>
      <c r="R62" s="12"/>
    </row>
    <row r="63" customFormat="false" ht="15" hidden="false" customHeight="true" outlineLevel="0" collapsed="false">
      <c r="A63" s="6" t="s">
        <v>549</v>
      </c>
      <c r="B63" s="6" t="s">
        <v>80</v>
      </c>
      <c r="C63" s="6" t="s">
        <v>550</v>
      </c>
      <c r="D63" s="6"/>
      <c r="E63" s="13"/>
      <c r="F63" s="6" t="n">
        <v>1976</v>
      </c>
      <c r="G63" s="11" t="n">
        <f aca="true">IF(F63="","",YEAR(TODAY())-F63)</f>
        <v>50</v>
      </c>
      <c r="H63" s="11" t="str">
        <f aca="false">IF(C63="","",IF(G63="","Thiếu thông tin",IF(G63&lt;6,"Trẻ em",IF(G63&lt;23,"Học sinh / Sinh viên",IF(G63&lt;60,"Đang đi làm","Nghỉ hưu")))))</f>
        <v>Đang đi làm</v>
      </c>
      <c r="I63" s="6"/>
      <c r="J63" s="11" t="str">
        <f aca="false">IF(B63="","",IFERROR(INDEX('Hộ gia đình'!$B$2:$B$2000,MATCH(B63,'Hộ gia đình'!$A$2:$A$2000,0)),"Mã hộ không tồn tại"))</f>
        <v>64 Lê Thanh Nghị</v>
      </c>
      <c r="K63" s="14"/>
      <c r="L63" s="14"/>
      <c r="M63" s="6"/>
      <c r="N63" s="6" t="s">
        <v>395</v>
      </c>
      <c r="O63" s="6" t="s">
        <v>389</v>
      </c>
      <c r="P63" s="6"/>
      <c r="Q63" s="6" t="s">
        <v>396</v>
      </c>
      <c r="R63" s="12"/>
    </row>
    <row r="64" customFormat="false" ht="15" hidden="false" customHeight="true" outlineLevel="0" collapsed="false">
      <c r="A64" s="6" t="s">
        <v>551</v>
      </c>
      <c r="B64" s="6" t="s">
        <v>82</v>
      </c>
      <c r="C64" s="6" t="s">
        <v>552</v>
      </c>
      <c r="D64" s="6" t="s">
        <v>408</v>
      </c>
      <c r="E64" s="13" t="n">
        <v>28560</v>
      </c>
      <c r="F64" s="6" t="n">
        <v>1978</v>
      </c>
      <c r="G64" s="11" t="n">
        <f aca="true">IF(F64="","",YEAR(TODAY())-F64)</f>
        <v>48</v>
      </c>
      <c r="H64" s="11" t="str">
        <f aca="false">IF(C64="","",IF(G64="","Thiếu thông tin",IF(G64&lt;6,"Trẻ em",IF(G64&lt;23,"Học sinh / Sinh viên",IF(G64&lt;60,"Đang đi làm","Nghỉ hưu")))))</f>
        <v>Đang đi làm</v>
      </c>
      <c r="I64" s="6" t="s">
        <v>52</v>
      </c>
      <c r="J64" s="11" t="str">
        <f aca="false">IF(B64="","",IFERROR(INDEX('Hộ gia đình'!$B$2:$B$2000,MATCH(B64,'Hộ gia đình'!$A$2:$A$2000,0)),"Mã hộ không tồn tại"))</f>
        <v>66 Lê Thanh Nghị</v>
      </c>
      <c r="K64" s="14" t="s">
        <v>553</v>
      </c>
      <c r="L64" s="14"/>
      <c r="M64" s="6" t="s">
        <v>459</v>
      </c>
      <c r="N64" s="6" t="s">
        <v>388</v>
      </c>
      <c r="O64" s="6" t="s">
        <v>389</v>
      </c>
      <c r="P64" s="6" t="s">
        <v>554</v>
      </c>
      <c r="Q64" s="6" t="s">
        <v>391</v>
      </c>
      <c r="R64" s="12" t="s">
        <v>555</v>
      </c>
    </row>
    <row r="65" customFormat="false" ht="15" hidden="false" customHeight="true" outlineLevel="0" collapsed="false">
      <c r="A65" s="6" t="s">
        <v>556</v>
      </c>
      <c r="B65" s="6" t="s">
        <v>82</v>
      </c>
      <c r="C65" s="6" t="s">
        <v>557</v>
      </c>
      <c r="D65" s="6" t="s">
        <v>385</v>
      </c>
      <c r="E65" s="13" t="n">
        <v>29893</v>
      </c>
      <c r="F65" s="6" t="n">
        <v>1981</v>
      </c>
      <c r="G65" s="11" t="n">
        <f aca="true">IF(F65="","",YEAR(TODAY())-F65)</f>
        <v>45</v>
      </c>
      <c r="H65" s="11" t="str">
        <f aca="false">IF(C65="","",IF(G65="","Thiếu thông tin",IF(G65&lt;6,"Trẻ em",IF(G65&lt;23,"Học sinh / Sinh viên",IF(G65&lt;60,"Đang đi làm","Nghỉ hưu")))))</f>
        <v>Đang đi làm</v>
      </c>
      <c r="I65" s="6"/>
      <c r="J65" s="11" t="str">
        <f aca="false">IF(B65="","",IFERROR(INDEX('Hộ gia đình'!$B$2:$B$2000,MATCH(B65,'Hộ gia đình'!$A$2:$A$2000,0)),"Mã hộ không tồn tại"))</f>
        <v>66 Lê Thanh Nghị</v>
      </c>
      <c r="K65" s="14" t="s">
        <v>558</v>
      </c>
      <c r="L65" s="14"/>
      <c r="M65" s="6" t="s">
        <v>459</v>
      </c>
      <c r="N65" s="6" t="s">
        <v>388</v>
      </c>
      <c r="O65" s="6" t="s">
        <v>389</v>
      </c>
      <c r="P65" s="6" t="s">
        <v>554</v>
      </c>
      <c r="Q65" s="6" t="s">
        <v>391</v>
      </c>
      <c r="R65" s="12"/>
    </row>
    <row r="66" customFormat="false" ht="15" hidden="false" customHeight="true" outlineLevel="0" collapsed="false">
      <c r="A66" s="6" t="s">
        <v>559</v>
      </c>
      <c r="B66" s="6" t="s">
        <v>82</v>
      </c>
      <c r="C66" s="6" t="s">
        <v>560</v>
      </c>
      <c r="D66" s="6"/>
      <c r="E66" s="13"/>
      <c r="F66" s="6" t="n">
        <v>2008</v>
      </c>
      <c r="G66" s="11" t="n">
        <f aca="true">IF(F66="","",YEAR(TODAY())-F66)</f>
        <v>18</v>
      </c>
      <c r="H66" s="11" t="str">
        <f aca="false">IF(C66="","",IF(G66="","Thiếu thông tin",IF(G66&lt;6,"Trẻ em",IF(G66&lt;23,"Học sinh / Sinh viên",IF(G66&lt;60,"Đang đi làm","Nghỉ hưu")))))</f>
        <v>Học sinh / Sinh viên</v>
      </c>
      <c r="I66" s="6"/>
      <c r="J66" s="11" t="str">
        <f aca="false">IF(B66="","",IFERROR(INDEX('Hộ gia đình'!$B$2:$B$2000,MATCH(B66,'Hộ gia đình'!$A$2:$A$2000,0)),"Mã hộ không tồn tại"))</f>
        <v>66 Lê Thanh Nghị</v>
      </c>
      <c r="K66" s="14"/>
      <c r="L66" s="14"/>
      <c r="M66" s="6"/>
      <c r="N66" s="6" t="s">
        <v>395</v>
      </c>
      <c r="O66" s="6" t="s">
        <v>389</v>
      </c>
      <c r="P66" s="6" t="s">
        <v>554</v>
      </c>
      <c r="Q66" s="6" t="s">
        <v>403</v>
      </c>
      <c r="R66" s="12"/>
    </row>
    <row r="67" customFormat="false" ht="15" hidden="false" customHeight="true" outlineLevel="0" collapsed="false">
      <c r="A67" s="6" t="s">
        <v>561</v>
      </c>
      <c r="B67" s="6" t="s">
        <v>82</v>
      </c>
      <c r="C67" s="6" t="s">
        <v>562</v>
      </c>
      <c r="D67" s="6"/>
      <c r="E67" s="13"/>
      <c r="F67" s="6" t="n">
        <v>2011</v>
      </c>
      <c r="G67" s="11" t="n">
        <f aca="true">IF(F67="","",YEAR(TODAY())-F67)</f>
        <v>15</v>
      </c>
      <c r="H67" s="11" t="str">
        <f aca="false">IF(C67="","",IF(G67="","Thiếu thông tin",IF(G67&lt;6,"Trẻ em",IF(G67&lt;23,"Học sinh / Sinh viên",IF(G67&lt;60,"Đang đi làm","Nghỉ hưu")))))</f>
        <v>Học sinh / Sinh viên</v>
      </c>
      <c r="I67" s="6"/>
      <c r="J67" s="11" t="str">
        <f aca="false">IF(B67="","",IFERROR(INDEX('Hộ gia đình'!$B$2:$B$2000,MATCH(B67,'Hộ gia đình'!$A$2:$A$2000,0)),"Mã hộ không tồn tại"))</f>
        <v>66 Lê Thanh Nghị</v>
      </c>
      <c r="K67" s="14"/>
      <c r="L67" s="14"/>
      <c r="M67" s="6"/>
      <c r="N67" s="6" t="s">
        <v>395</v>
      </c>
      <c r="O67" s="6" t="s">
        <v>389</v>
      </c>
      <c r="P67" s="6" t="s">
        <v>554</v>
      </c>
      <c r="Q67" s="6" t="s">
        <v>403</v>
      </c>
      <c r="R67" s="12"/>
    </row>
    <row r="68" customFormat="false" ht="15" hidden="false" customHeight="true" outlineLevel="0" collapsed="false">
      <c r="A68" s="6" t="s">
        <v>563</v>
      </c>
      <c r="B68" s="6" t="s">
        <v>84</v>
      </c>
      <c r="C68" s="6" t="s">
        <v>564</v>
      </c>
      <c r="D68" s="6"/>
      <c r="E68" s="13"/>
      <c r="F68" s="6" t="n">
        <v>1984</v>
      </c>
      <c r="G68" s="11" t="n">
        <f aca="true">IF(F68="","",YEAR(TODAY())-F68)</f>
        <v>42</v>
      </c>
      <c r="H68" s="11" t="str">
        <f aca="false">IF(C68="","",IF(G68="","Thiếu thông tin",IF(G68&lt;6,"Trẻ em",IF(G68&lt;23,"Học sinh / Sinh viên",IF(G68&lt;60,"Đang đi làm","Nghỉ hưu")))))</f>
        <v>Đang đi làm</v>
      </c>
      <c r="I68" s="6" t="s">
        <v>52</v>
      </c>
      <c r="J68" s="11" t="str">
        <f aca="false">IF(B68="","",IFERROR(INDEX('Hộ gia đình'!$B$2:$B$2000,MATCH(B68,'Hộ gia đình'!$A$2:$A$2000,0)),"Mã hộ không tồn tại"))</f>
        <v>70 Lê Thanh Nghị</v>
      </c>
      <c r="K68" s="14"/>
      <c r="L68" s="14"/>
      <c r="M68" s="6"/>
      <c r="N68" s="6" t="s">
        <v>395</v>
      </c>
      <c r="O68" s="6" t="s">
        <v>389</v>
      </c>
      <c r="P68" s="6" t="s">
        <v>554</v>
      </c>
      <c r="Q68" s="6" t="s">
        <v>396</v>
      </c>
      <c r="R68" s="12"/>
    </row>
    <row r="69" customFormat="false" ht="15" hidden="false" customHeight="true" outlineLevel="0" collapsed="false">
      <c r="A69" s="6" t="s">
        <v>565</v>
      </c>
      <c r="B69" s="6" t="s">
        <v>84</v>
      </c>
      <c r="C69" s="6" t="s">
        <v>566</v>
      </c>
      <c r="D69" s="6"/>
      <c r="E69" s="13"/>
      <c r="F69" s="6" t="n">
        <v>1990</v>
      </c>
      <c r="G69" s="11" t="n">
        <f aca="true">IF(F69="","",YEAR(TODAY())-F69)</f>
        <v>36</v>
      </c>
      <c r="H69" s="11" t="str">
        <f aca="false">IF(C69="","",IF(G69="","Thiếu thông tin",IF(G69&lt;6,"Trẻ em",IF(G69&lt;23,"Học sinh / Sinh viên",IF(G69&lt;60,"Đang đi làm","Nghỉ hưu")))))</f>
        <v>Đang đi làm</v>
      </c>
      <c r="I69" s="6"/>
      <c r="J69" s="11" t="str">
        <f aca="false">IF(B69="","",IFERROR(INDEX('Hộ gia đình'!$B$2:$B$2000,MATCH(B69,'Hộ gia đình'!$A$2:$A$2000,0)),"Mã hộ không tồn tại"))</f>
        <v>70 Lê Thanh Nghị</v>
      </c>
      <c r="K69" s="14"/>
      <c r="L69" s="14"/>
      <c r="M69" s="6"/>
      <c r="N69" s="6" t="s">
        <v>395</v>
      </c>
      <c r="O69" s="6" t="s">
        <v>389</v>
      </c>
      <c r="P69" s="6" t="s">
        <v>554</v>
      </c>
      <c r="Q69" s="6" t="s">
        <v>396</v>
      </c>
      <c r="R69" s="12"/>
    </row>
    <row r="70" customFormat="false" ht="15" hidden="false" customHeight="true" outlineLevel="0" collapsed="false">
      <c r="A70" s="6" t="s">
        <v>567</v>
      </c>
      <c r="B70" s="6" t="s">
        <v>84</v>
      </c>
      <c r="C70" s="6" t="s">
        <v>568</v>
      </c>
      <c r="D70" s="6"/>
      <c r="E70" s="13"/>
      <c r="F70" s="6" t="n">
        <v>2016</v>
      </c>
      <c r="G70" s="11" t="n">
        <f aca="true">IF(F70="","",YEAR(TODAY())-F70)</f>
        <v>10</v>
      </c>
      <c r="H70" s="11" t="str">
        <f aca="false">IF(C70="","",IF(G70="","Thiếu thông tin",IF(G70&lt;6,"Trẻ em",IF(G70&lt;23,"Học sinh / Sinh viên",IF(G70&lt;60,"Đang đi làm","Nghỉ hưu")))))</f>
        <v>Học sinh / Sinh viên</v>
      </c>
      <c r="I70" s="6"/>
      <c r="J70" s="11" t="str">
        <f aca="false">IF(B70="","",IFERROR(INDEX('Hộ gia đình'!$B$2:$B$2000,MATCH(B70,'Hộ gia đình'!$A$2:$A$2000,0)),"Mã hộ không tồn tại"))</f>
        <v>70 Lê Thanh Nghị</v>
      </c>
      <c r="K70" s="14"/>
      <c r="L70" s="14"/>
      <c r="M70" s="6"/>
      <c r="N70" s="6" t="s">
        <v>395</v>
      </c>
      <c r="O70" s="6" t="s">
        <v>389</v>
      </c>
      <c r="P70" s="6" t="s">
        <v>554</v>
      </c>
      <c r="Q70" s="6" t="s">
        <v>403</v>
      </c>
      <c r="R70" s="12"/>
    </row>
    <row r="71" customFormat="false" ht="15" hidden="false" customHeight="true" outlineLevel="0" collapsed="false">
      <c r="A71" s="6" t="s">
        <v>569</v>
      </c>
      <c r="B71" s="6" t="s">
        <v>86</v>
      </c>
      <c r="C71" s="6" t="s">
        <v>570</v>
      </c>
      <c r="D71" s="6" t="s">
        <v>385</v>
      </c>
      <c r="E71" s="13" t="n">
        <v>17821</v>
      </c>
      <c r="F71" s="6" t="n">
        <v>1948</v>
      </c>
      <c r="G71" s="11" t="n">
        <f aca="true">IF(F71="","",YEAR(TODAY())-F71)</f>
        <v>78</v>
      </c>
      <c r="H71" s="11" t="str">
        <f aca="false">IF(C71="","",IF(G71="","Thiếu thông tin",IF(G71&lt;6,"Trẻ em",IF(G71&lt;23,"Học sinh / Sinh viên",IF(G71&lt;60,"Đang đi làm","Nghỉ hưu")))))</f>
        <v>Nghỉ hưu</v>
      </c>
      <c r="I71" s="6" t="s">
        <v>52</v>
      </c>
      <c r="J71" s="11" t="str">
        <f aca="false">IF(B71="","",IFERROR(INDEX('Hộ gia đình'!$B$2:$B$2000,MATCH(B71,'Hộ gia đình'!$A$2:$A$2000,0)),"Mã hộ không tồn tại"))</f>
        <v>72 Lê Thanh Nghị</v>
      </c>
      <c r="K71" s="14" t="s">
        <v>571</v>
      </c>
      <c r="L71" s="14"/>
      <c r="M71" s="6" t="s">
        <v>451</v>
      </c>
      <c r="N71" s="6" t="s">
        <v>388</v>
      </c>
      <c r="O71" s="6" t="s">
        <v>389</v>
      </c>
      <c r="P71" s="6" t="s">
        <v>572</v>
      </c>
      <c r="Q71" s="6" t="s">
        <v>391</v>
      </c>
      <c r="R71" s="12" t="s">
        <v>573</v>
      </c>
    </row>
    <row r="72" customFormat="false" ht="15" hidden="false" customHeight="true" outlineLevel="0" collapsed="false">
      <c r="A72" s="6" t="s">
        <v>574</v>
      </c>
      <c r="B72" s="6" t="s">
        <v>88</v>
      </c>
      <c r="C72" s="6" t="s">
        <v>575</v>
      </c>
      <c r="D72" s="6" t="s">
        <v>408</v>
      </c>
      <c r="E72" s="13" t="n">
        <v>27528</v>
      </c>
      <c r="F72" s="6" t="n">
        <v>1975</v>
      </c>
      <c r="G72" s="11" t="n">
        <f aca="true">IF(F72="","",YEAR(TODAY())-F72)</f>
        <v>51</v>
      </c>
      <c r="H72" s="11" t="str">
        <f aca="false">IF(C72="","",IF(G72="","Thiếu thông tin",IF(G72&lt;6,"Trẻ em",IF(G72&lt;23,"Học sinh / Sinh viên",IF(G72&lt;60,"Đang đi làm","Nghỉ hưu")))))</f>
        <v>Đang đi làm</v>
      </c>
      <c r="I72" s="6" t="s">
        <v>52</v>
      </c>
      <c r="J72" s="11" t="str">
        <f aca="false">IF(B72="","",IFERROR(INDEX('Hộ gia đình'!$B$2:$B$2000,MATCH(B72,'Hộ gia đình'!$A$2:$A$2000,0)),"Mã hộ không tồn tại"))</f>
        <v>72 Lê Thanh Nghị</v>
      </c>
      <c r="K72" s="14" t="s">
        <v>576</v>
      </c>
      <c r="L72" s="14"/>
      <c r="M72" s="6" t="s">
        <v>459</v>
      </c>
      <c r="N72" s="6" t="s">
        <v>388</v>
      </c>
      <c r="O72" s="6" t="s">
        <v>389</v>
      </c>
      <c r="P72" s="6" t="s">
        <v>572</v>
      </c>
      <c r="Q72" s="6" t="s">
        <v>391</v>
      </c>
      <c r="R72" s="12" t="s">
        <v>392</v>
      </c>
    </row>
    <row r="73" customFormat="false" ht="15" hidden="false" customHeight="true" outlineLevel="0" collapsed="false">
      <c r="A73" s="6" t="s">
        <v>577</v>
      </c>
      <c r="B73" s="6" t="s">
        <v>88</v>
      </c>
      <c r="C73" s="6" t="s">
        <v>578</v>
      </c>
      <c r="D73" s="6" t="s">
        <v>385</v>
      </c>
      <c r="E73" s="13" t="n">
        <v>27435</v>
      </c>
      <c r="F73" s="6" t="n">
        <v>1975</v>
      </c>
      <c r="G73" s="11" t="n">
        <f aca="true">IF(F73="","",YEAR(TODAY())-F73)</f>
        <v>51</v>
      </c>
      <c r="H73" s="11" t="str">
        <f aca="false">IF(C73="","",IF(G73="","Thiếu thông tin",IF(G73&lt;6,"Trẻ em",IF(G73&lt;23,"Học sinh / Sinh viên",IF(G73&lt;60,"Đang đi làm","Nghỉ hưu")))))</f>
        <v>Đang đi làm</v>
      </c>
      <c r="I73" s="6"/>
      <c r="J73" s="11" t="str">
        <f aca="false">IF(B73="","",IFERROR(INDEX('Hộ gia đình'!$B$2:$B$2000,MATCH(B73,'Hộ gia đình'!$A$2:$A$2000,0)),"Mã hộ không tồn tại"))</f>
        <v>72 Lê Thanh Nghị</v>
      </c>
      <c r="K73" s="14" t="s">
        <v>579</v>
      </c>
      <c r="L73" s="14"/>
      <c r="M73" s="6" t="s">
        <v>459</v>
      </c>
      <c r="N73" s="6" t="s">
        <v>388</v>
      </c>
      <c r="O73" s="6" t="s">
        <v>389</v>
      </c>
      <c r="P73" s="6"/>
      <c r="Q73" s="6" t="s">
        <v>391</v>
      </c>
      <c r="R73" s="12"/>
    </row>
    <row r="74" customFormat="false" ht="15" hidden="false" customHeight="true" outlineLevel="0" collapsed="false">
      <c r="A74" s="6" t="s">
        <v>580</v>
      </c>
      <c r="B74" s="6" t="s">
        <v>88</v>
      </c>
      <c r="C74" s="6" t="s">
        <v>581</v>
      </c>
      <c r="D74" s="6" t="s">
        <v>385</v>
      </c>
      <c r="E74" s="13" t="n">
        <v>37746</v>
      </c>
      <c r="F74" s="6" t="n">
        <v>2003</v>
      </c>
      <c r="G74" s="11" t="n">
        <f aca="true">IF(F74="","",YEAR(TODAY())-F74)</f>
        <v>23</v>
      </c>
      <c r="H74" s="11" t="str">
        <f aca="false">IF(C74="","",IF(G74="","Thiếu thông tin",IF(G74&lt;6,"Trẻ em",IF(G74&lt;23,"Học sinh / Sinh viên",IF(G74&lt;60,"Đang đi làm","Nghỉ hưu")))))</f>
        <v>Đang đi làm</v>
      </c>
      <c r="I74" s="6"/>
      <c r="J74" s="11" t="str">
        <f aca="false">IF(B74="","",IFERROR(INDEX('Hộ gia đình'!$B$2:$B$2000,MATCH(B74,'Hộ gia đình'!$A$2:$A$2000,0)),"Mã hộ không tồn tại"))</f>
        <v>72 Lê Thanh Nghị</v>
      </c>
      <c r="K74" s="14" t="s">
        <v>582</v>
      </c>
      <c r="L74" s="14"/>
      <c r="M74" s="6" t="s">
        <v>459</v>
      </c>
      <c r="N74" s="6" t="s">
        <v>388</v>
      </c>
      <c r="O74" s="6" t="s">
        <v>389</v>
      </c>
      <c r="P74" s="6"/>
      <c r="Q74" s="6" t="s">
        <v>583</v>
      </c>
      <c r="R74" s="12"/>
    </row>
    <row r="75" customFormat="false" ht="15" hidden="false" customHeight="true" outlineLevel="0" collapsed="false">
      <c r="A75" s="6" t="s">
        <v>584</v>
      </c>
      <c r="B75" s="6" t="s">
        <v>88</v>
      </c>
      <c r="C75" s="6" t="s">
        <v>585</v>
      </c>
      <c r="D75" s="6" t="s">
        <v>385</v>
      </c>
      <c r="E75" s="13" t="n">
        <v>39441</v>
      </c>
      <c r="F75" s="6" t="n">
        <v>2007</v>
      </c>
      <c r="G75" s="11" t="n">
        <f aca="true">IF(F75="","",YEAR(TODAY())-F75)</f>
        <v>19</v>
      </c>
      <c r="H75" s="11" t="str">
        <f aca="false">IF(C75="","",IF(G75="","Thiếu thông tin",IF(G75&lt;6,"Trẻ em",IF(G75&lt;23,"Học sinh / Sinh viên",IF(G75&lt;60,"Đang đi làm","Nghỉ hưu")))))</f>
        <v>Học sinh / Sinh viên</v>
      </c>
      <c r="I75" s="6"/>
      <c r="J75" s="11" t="str">
        <f aca="false">IF(B75="","",IFERROR(INDEX('Hộ gia đình'!$B$2:$B$2000,MATCH(B75,'Hộ gia đình'!$A$2:$A$2000,0)),"Mã hộ không tồn tại"))</f>
        <v>72 Lê Thanh Nghị</v>
      </c>
      <c r="K75" s="14" t="s">
        <v>586</v>
      </c>
      <c r="L75" s="14"/>
      <c r="M75" s="6" t="s">
        <v>422</v>
      </c>
      <c r="N75" s="6" t="s">
        <v>388</v>
      </c>
      <c r="O75" s="6" t="s">
        <v>389</v>
      </c>
      <c r="P75" s="6"/>
      <c r="Q75" s="6" t="s">
        <v>583</v>
      </c>
      <c r="R75" s="12"/>
    </row>
    <row r="76" customFormat="false" ht="15" hidden="false" customHeight="true" outlineLevel="0" collapsed="false">
      <c r="A76" s="6" t="s">
        <v>587</v>
      </c>
      <c r="B76" s="6" t="s">
        <v>89</v>
      </c>
      <c r="C76" s="6" t="s">
        <v>588</v>
      </c>
      <c r="D76" s="6"/>
      <c r="E76" s="13"/>
      <c r="F76" s="6" t="n">
        <v>1983</v>
      </c>
      <c r="G76" s="11" t="n">
        <f aca="true">IF(F76="","",YEAR(TODAY())-F76)</f>
        <v>43</v>
      </c>
      <c r="H76" s="11" t="str">
        <f aca="false">IF(C76="","",IF(G76="","Thiếu thông tin",IF(G76&lt;6,"Trẻ em",IF(G76&lt;23,"Học sinh / Sinh viên",IF(G76&lt;60,"Đang đi làm","Nghỉ hưu")))))</f>
        <v>Đang đi làm</v>
      </c>
      <c r="I76" s="6" t="s">
        <v>52</v>
      </c>
      <c r="J76" s="11" t="str">
        <f aca="false">IF(B76="","",IFERROR(INDEX('Hộ gia đình'!$B$2:$B$2000,MATCH(B76,'Hộ gia đình'!$A$2:$A$2000,0)),"Mã hộ không tồn tại"))</f>
        <v>72 Lê Thanh Nghị</v>
      </c>
      <c r="K76" s="14"/>
      <c r="L76" s="14"/>
      <c r="M76" s="6"/>
      <c r="N76" s="6" t="s">
        <v>395</v>
      </c>
      <c r="O76" s="6" t="s">
        <v>389</v>
      </c>
      <c r="P76" s="6" t="s">
        <v>572</v>
      </c>
      <c r="Q76" s="6" t="s">
        <v>396</v>
      </c>
      <c r="R76" s="12" t="s">
        <v>392</v>
      </c>
    </row>
    <row r="77" customFormat="false" ht="15" hidden="false" customHeight="true" outlineLevel="0" collapsed="false">
      <c r="A77" s="6" t="s">
        <v>589</v>
      </c>
      <c r="B77" s="6" t="s">
        <v>89</v>
      </c>
      <c r="C77" s="6" t="s">
        <v>590</v>
      </c>
      <c r="D77" s="6"/>
      <c r="E77" s="13"/>
      <c r="F77" s="6" t="n">
        <v>1989</v>
      </c>
      <c r="G77" s="11" t="n">
        <f aca="true">IF(F77="","",YEAR(TODAY())-F77)</f>
        <v>37</v>
      </c>
      <c r="H77" s="11" t="str">
        <f aca="false">IF(C77="","",IF(G77="","Thiếu thông tin",IF(G77&lt;6,"Trẻ em",IF(G77&lt;23,"Học sinh / Sinh viên",IF(G77&lt;60,"Đang đi làm","Nghỉ hưu")))))</f>
        <v>Đang đi làm</v>
      </c>
      <c r="I77" s="6"/>
      <c r="J77" s="11" t="str">
        <f aca="false">IF(B77="","",IFERROR(INDEX('Hộ gia đình'!$B$2:$B$2000,MATCH(B77,'Hộ gia đình'!$A$2:$A$2000,0)),"Mã hộ không tồn tại"))</f>
        <v>72 Lê Thanh Nghị</v>
      </c>
      <c r="K77" s="14"/>
      <c r="L77" s="14"/>
      <c r="M77" s="6"/>
      <c r="N77" s="6" t="s">
        <v>395</v>
      </c>
      <c r="O77" s="6" t="s">
        <v>389</v>
      </c>
      <c r="P77" s="6"/>
      <c r="Q77" s="6" t="s">
        <v>396</v>
      </c>
      <c r="R77" s="12"/>
    </row>
    <row r="78" customFormat="false" ht="15" hidden="false" customHeight="true" outlineLevel="0" collapsed="false">
      <c r="A78" s="6" t="s">
        <v>591</v>
      </c>
      <c r="B78" s="6" t="s">
        <v>89</v>
      </c>
      <c r="C78" s="6" t="s">
        <v>592</v>
      </c>
      <c r="D78" s="6"/>
      <c r="E78" s="13"/>
      <c r="F78" s="6" t="n">
        <v>2017</v>
      </c>
      <c r="G78" s="11" t="n">
        <f aca="true">IF(F78="","",YEAR(TODAY())-F78)</f>
        <v>9</v>
      </c>
      <c r="H78" s="11" t="str">
        <f aca="false">IF(C78="","",IF(G78="","Thiếu thông tin",IF(G78&lt;6,"Trẻ em",IF(G78&lt;23,"Học sinh / Sinh viên",IF(G78&lt;60,"Đang đi làm","Nghỉ hưu")))))</f>
        <v>Học sinh / Sinh viên</v>
      </c>
      <c r="I78" s="6"/>
      <c r="J78" s="11" t="str">
        <f aca="false">IF(B78="","",IFERROR(INDEX('Hộ gia đình'!$B$2:$B$2000,MATCH(B78,'Hộ gia đình'!$A$2:$A$2000,0)),"Mã hộ không tồn tại"))</f>
        <v>72 Lê Thanh Nghị</v>
      </c>
      <c r="K78" s="14"/>
      <c r="L78" s="14"/>
      <c r="M78" s="6"/>
      <c r="N78" s="6" t="s">
        <v>395</v>
      </c>
      <c r="O78" s="6" t="s">
        <v>389</v>
      </c>
      <c r="P78" s="6"/>
      <c r="Q78" s="6" t="s">
        <v>403</v>
      </c>
      <c r="R78" s="12"/>
    </row>
    <row r="79" customFormat="false" ht="15" hidden="false" customHeight="true" outlineLevel="0" collapsed="false">
      <c r="A79" s="6" t="s">
        <v>593</v>
      </c>
      <c r="B79" s="6" t="s">
        <v>89</v>
      </c>
      <c r="C79" s="6" t="s">
        <v>594</v>
      </c>
      <c r="D79" s="6"/>
      <c r="E79" s="13"/>
      <c r="F79" s="6" t="n">
        <v>2022</v>
      </c>
      <c r="G79" s="11" t="n">
        <f aca="true">IF(F79="","",YEAR(TODAY())-F79)</f>
        <v>4</v>
      </c>
      <c r="H79" s="11" t="str">
        <f aca="false">IF(C79="","",IF(G79="","Thiếu thông tin",IF(G79&lt;6,"Trẻ em",IF(G79&lt;23,"Học sinh / Sinh viên",IF(G79&lt;60,"Đang đi làm","Nghỉ hưu")))))</f>
        <v>Trẻ em</v>
      </c>
      <c r="I79" s="6"/>
      <c r="J79" s="11" t="str">
        <f aca="false">IF(B79="","",IFERROR(INDEX('Hộ gia đình'!$B$2:$B$2000,MATCH(B79,'Hộ gia đình'!$A$2:$A$2000,0)),"Mã hộ không tồn tại"))</f>
        <v>72 Lê Thanh Nghị</v>
      </c>
      <c r="K79" s="14"/>
      <c r="L79" s="14"/>
      <c r="M79" s="6"/>
      <c r="N79" s="6" t="s">
        <v>395</v>
      </c>
      <c r="O79" s="6" t="s">
        <v>389</v>
      </c>
      <c r="P79" s="6"/>
      <c r="Q79" s="6" t="s">
        <v>403</v>
      </c>
      <c r="R79" s="12"/>
    </row>
    <row r="80" customFormat="false" ht="15" hidden="false" customHeight="true" outlineLevel="0" collapsed="false">
      <c r="A80" s="6" t="s">
        <v>595</v>
      </c>
      <c r="B80" s="6" t="s">
        <v>90</v>
      </c>
      <c r="C80" s="6" t="s">
        <v>596</v>
      </c>
      <c r="D80" s="6"/>
      <c r="E80" s="13"/>
      <c r="F80" s="6" t="n">
        <v>1956</v>
      </c>
      <c r="G80" s="11" t="n">
        <f aca="true">IF(F80="","",YEAR(TODAY())-F80)</f>
        <v>70</v>
      </c>
      <c r="H80" s="11" t="str">
        <f aca="false">IF(C80="","",IF(G80="","Thiếu thông tin",IF(G80&lt;6,"Trẻ em",IF(G80&lt;23,"Học sinh / Sinh viên",IF(G80&lt;60,"Đang đi làm","Nghỉ hưu")))))</f>
        <v>Nghỉ hưu</v>
      </c>
      <c r="I80" s="6" t="s">
        <v>52</v>
      </c>
      <c r="J80" s="11" t="str">
        <f aca="false">IF(B80="","",IFERROR(INDEX('Hộ gia đình'!$B$2:$B$2000,MATCH(B80,'Hộ gia đình'!$A$2:$A$2000,0)),"Mã hộ không tồn tại"))</f>
        <v>74 Lê Thanh Nghị</v>
      </c>
      <c r="K80" s="14"/>
      <c r="L80" s="14"/>
      <c r="M80" s="6"/>
      <c r="N80" s="6" t="s">
        <v>395</v>
      </c>
      <c r="O80" s="6" t="s">
        <v>389</v>
      </c>
      <c r="P80" s="6" t="s">
        <v>572</v>
      </c>
      <c r="Q80" s="6" t="s">
        <v>396</v>
      </c>
      <c r="R80" s="12" t="s">
        <v>392</v>
      </c>
    </row>
    <row r="81" customFormat="false" ht="15" hidden="false" customHeight="true" outlineLevel="0" collapsed="false">
      <c r="A81" s="6" t="s">
        <v>597</v>
      </c>
      <c r="B81" s="6" t="s">
        <v>90</v>
      </c>
      <c r="C81" s="6" t="s">
        <v>598</v>
      </c>
      <c r="D81" s="6"/>
      <c r="E81" s="13"/>
      <c r="F81" s="6" t="n">
        <v>1956</v>
      </c>
      <c r="G81" s="11" t="n">
        <f aca="true">IF(F81="","",YEAR(TODAY())-F81)</f>
        <v>70</v>
      </c>
      <c r="H81" s="11" t="str">
        <f aca="false">IF(C81="","",IF(G81="","Thiếu thông tin",IF(G81&lt;6,"Trẻ em",IF(G81&lt;23,"Học sinh / Sinh viên",IF(G81&lt;60,"Đang đi làm","Nghỉ hưu")))))</f>
        <v>Nghỉ hưu</v>
      </c>
      <c r="I81" s="6"/>
      <c r="J81" s="11" t="str">
        <f aca="false">IF(B81="","",IFERROR(INDEX('Hộ gia đình'!$B$2:$B$2000,MATCH(B81,'Hộ gia đình'!$A$2:$A$2000,0)),"Mã hộ không tồn tại"))</f>
        <v>74 Lê Thanh Nghị</v>
      </c>
      <c r="K81" s="14"/>
      <c r="L81" s="14"/>
      <c r="M81" s="6"/>
      <c r="N81" s="6" t="s">
        <v>395</v>
      </c>
      <c r="O81" s="6" t="s">
        <v>389</v>
      </c>
      <c r="P81" s="6"/>
      <c r="Q81" s="6" t="s">
        <v>396</v>
      </c>
      <c r="R81" s="12"/>
    </row>
    <row r="82" customFormat="false" ht="15" hidden="false" customHeight="true" outlineLevel="0" collapsed="false">
      <c r="A82" s="6" t="s">
        <v>599</v>
      </c>
      <c r="B82" s="6" t="s">
        <v>90</v>
      </c>
      <c r="C82" s="6" t="s">
        <v>600</v>
      </c>
      <c r="D82" s="6"/>
      <c r="E82" s="13"/>
      <c r="F82" s="6" t="n">
        <v>1990</v>
      </c>
      <c r="G82" s="11" t="n">
        <f aca="true">IF(F82="","",YEAR(TODAY())-F82)</f>
        <v>36</v>
      </c>
      <c r="H82" s="11" t="str">
        <f aca="false">IF(C82="","",IF(G82="","Thiếu thông tin",IF(G82&lt;6,"Trẻ em",IF(G82&lt;23,"Học sinh / Sinh viên",IF(G82&lt;60,"Đang đi làm","Nghỉ hưu")))))</f>
        <v>Đang đi làm</v>
      </c>
      <c r="I82" s="6"/>
      <c r="J82" s="11" t="str">
        <f aca="false">IF(B82="","",IFERROR(INDEX('Hộ gia đình'!$B$2:$B$2000,MATCH(B82,'Hộ gia đình'!$A$2:$A$2000,0)),"Mã hộ không tồn tại"))</f>
        <v>74 Lê Thanh Nghị</v>
      </c>
      <c r="K82" s="14"/>
      <c r="L82" s="14"/>
      <c r="M82" s="6"/>
      <c r="N82" s="6" t="s">
        <v>395</v>
      </c>
      <c r="O82" s="6" t="s">
        <v>389</v>
      </c>
      <c r="P82" s="6"/>
      <c r="Q82" s="6" t="s">
        <v>396</v>
      </c>
      <c r="R82" s="12"/>
    </row>
    <row r="83" customFormat="false" ht="15" hidden="false" customHeight="true" outlineLevel="0" collapsed="false">
      <c r="A83" s="6" t="s">
        <v>601</v>
      </c>
      <c r="B83" s="6" t="s">
        <v>90</v>
      </c>
      <c r="C83" s="6" t="s">
        <v>602</v>
      </c>
      <c r="D83" s="6"/>
      <c r="E83" s="13"/>
      <c r="F83" s="6" t="n">
        <v>1983</v>
      </c>
      <c r="G83" s="11" t="n">
        <f aca="true">IF(F83="","",YEAR(TODAY())-F83)</f>
        <v>43</v>
      </c>
      <c r="H83" s="11" t="str">
        <f aca="false">IF(C83="","",IF(G83="","Thiếu thông tin",IF(G83&lt;6,"Trẻ em",IF(G83&lt;23,"Học sinh / Sinh viên",IF(G83&lt;60,"Đang đi làm","Nghỉ hưu")))))</f>
        <v>Đang đi làm</v>
      </c>
      <c r="I83" s="6"/>
      <c r="J83" s="11" t="str">
        <f aca="false">IF(B83="","",IFERROR(INDEX('Hộ gia đình'!$B$2:$B$2000,MATCH(B83,'Hộ gia đình'!$A$2:$A$2000,0)),"Mã hộ không tồn tại"))</f>
        <v>74 Lê Thanh Nghị</v>
      </c>
      <c r="K83" s="14"/>
      <c r="L83" s="14"/>
      <c r="M83" s="6"/>
      <c r="N83" s="6" t="s">
        <v>395</v>
      </c>
      <c r="O83" s="6" t="s">
        <v>389</v>
      </c>
      <c r="P83" s="6"/>
      <c r="Q83" s="6" t="s">
        <v>396</v>
      </c>
      <c r="R83" s="12"/>
    </row>
    <row r="84" customFormat="false" ht="15" hidden="false" customHeight="true" outlineLevel="0" collapsed="false">
      <c r="A84" s="6" t="s">
        <v>603</v>
      </c>
      <c r="B84" s="6" t="s">
        <v>90</v>
      </c>
      <c r="C84" s="6" t="s">
        <v>604</v>
      </c>
      <c r="D84" s="6"/>
      <c r="E84" s="13"/>
      <c r="F84" s="6" t="n">
        <v>2013</v>
      </c>
      <c r="G84" s="11" t="n">
        <f aca="true">IF(F84="","",YEAR(TODAY())-F84)</f>
        <v>13</v>
      </c>
      <c r="H84" s="11" t="str">
        <f aca="false">IF(C84="","",IF(G84="","Thiếu thông tin",IF(G84&lt;6,"Trẻ em",IF(G84&lt;23,"Học sinh / Sinh viên",IF(G84&lt;60,"Đang đi làm","Nghỉ hưu")))))</f>
        <v>Học sinh / Sinh viên</v>
      </c>
      <c r="I84" s="6"/>
      <c r="J84" s="11" t="str">
        <f aca="false">IF(B84="","",IFERROR(INDEX('Hộ gia đình'!$B$2:$B$2000,MATCH(B84,'Hộ gia đình'!$A$2:$A$2000,0)),"Mã hộ không tồn tại"))</f>
        <v>74 Lê Thanh Nghị</v>
      </c>
      <c r="K84" s="14"/>
      <c r="L84" s="14"/>
      <c r="M84" s="6"/>
      <c r="N84" s="6" t="s">
        <v>395</v>
      </c>
      <c r="O84" s="6" t="s">
        <v>389</v>
      </c>
      <c r="P84" s="6"/>
      <c r="Q84" s="6" t="s">
        <v>403</v>
      </c>
      <c r="R84" s="12"/>
    </row>
    <row r="85" customFormat="false" ht="15" hidden="false" customHeight="true" outlineLevel="0" collapsed="false">
      <c r="A85" s="6" t="s">
        <v>605</v>
      </c>
      <c r="B85" s="6" t="s">
        <v>90</v>
      </c>
      <c r="C85" s="6" t="s">
        <v>606</v>
      </c>
      <c r="D85" s="6"/>
      <c r="E85" s="13"/>
      <c r="F85" s="6" t="n">
        <v>2015</v>
      </c>
      <c r="G85" s="11" t="n">
        <f aca="true">IF(F85="","",YEAR(TODAY())-F85)</f>
        <v>11</v>
      </c>
      <c r="H85" s="11" t="str">
        <f aca="false">IF(C85="","",IF(G85="","Thiếu thông tin",IF(G85&lt;6,"Trẻ em",IF(G85&lt;23,"Học sinh / Sinh viên",IF(G85&lt;60,"Đang đi làm","Nghỉ hưu")))))</f>
        <v>Học sinh / Sinh viên</v>
      </c>
      <c r="I85" s="6"/>
      <c r="J85" s="11" t="str">
        <f aca="false">IF(B85="","",IFERROR(INDEX('Hộ gia đình'!$B$2:$B$2000,MATCH(B85,'Hộ gia đình'!$A$2:$A$2000,0)),"Mã hộ không tồn tại"))</f>
        <v>74 Lê Thanh Nghị</v>
      </c>
      <c r="K85" s="14"/>
      <c r="L85" s="14"/>
      <c r="M85" s="6"/>
      <c r="N85" s="6" t="s">
        <v>395</v>
      </c>
      <c r="O85" s="6" t="s">
        <v>389</v>
      </c>
      <c r="P85" s="6"/>
      <c r="Q85" s="6" t="s">
        <v>403</v>
      </c>
      <c r="R85" s="12"/>
    </row>
    <row r="86" customFormat="false" ht="15" hidden="false" customHeight="true" outlineLevel="0" collapsed="false">
      <c r="A86" s="6" t="s">
        <v>607</v>
      </c>
      <c r="B86" s="6" t="s">
        <v>92</v>
      </c>
      <c r="C86" s="6" t="s">
        <v>608</v>
      </c>
      <c r="D86" s="6" t="s">
        <v>408</v>
      </c>
      <c r="E86" s="13" t="n">
        <v>26916</v>
      </c>
      <c r="F86" s="6" t="n">
        <v>1973</v>
      </c>
      <c r="G86" s="11" t="n">
        <f aca="true">IF(F86="","",YEAR(TODAY())-F86)</f>
        <v>53</v>
      </c>
      <c r="H86" s="11" t="str">
        <f aca="false">IF(C86="","",IF(G86="","Thiếu thông tin",IF(G86&lt;6,"Trẻ em",IF(G86&lt;23,"Học sinh / Sinh viên",IF(G86&lt;60,"Đang đi làm","Nghỉ hưu")))))</f>
        <v>Đang đi làm</v>
      </c>
      <c r="I86" s="6" t="s">
        <v>52</v>
      </c>
      <c r="J86" s="11" t="str">
        <f aca="false">IF(B86="","",IFERROR(INDEX('Hộ gia đình'!$B$2:$B$2000,MATCH(B86,'Hộ gia đình'!$A$2:$A$2000,0)),"Mã hộ không tồn tại"))</f>
        <v>76 Lê Thanh Nghị</v>
      </c>
      <c r="K86" s="14" t="s">
        <v>609</v>
      </c>
      <c r="L86" s="14"/>
      <c r="M86" s="6" t="s">
        <v>610</v>
      </c>
      <c r="N86" s="6" t="s">
        <v>388</v>
      </c>
      <c r="O86" s="6" t="s">
        <v>389</v>
      </c>
      <c r="P86" s="6" t="s">
        <v>500</v>
      </c>
      <c r="Q86" s="6" t="s">
        <v>391</v>
      </c>
      <c r="R86" s="12" t="s">
        <v>611</v>
      </c>
    </row>
    <row r="87" customFormat="false" ht="15" hidden="false" customHeight="true" outlineLevel="0" collapsed="false">
      <c r="A87" s="6" t="s">
        <v>612</v>
      </c>
      <c r="B87" s="6" t="s">
        <v>92</v>
      </c>
      <c r="C87" s="6" t="s">
        <v>613</v>
      </c>
      <c r="D87" s="6" t="s">
        <v>385</v>
      </c>
      <c r="E87" s="13" t="n">
        <v>27671</v>
      </c>
      <c r="F87" s="6" t="n">
        <v>1975</v>
      </c>
      <c r="G87" s="11" t="n">
        <f aca="true">IF(F87="","",YEAR(TODAY())-F87)</f>
        <v>51</v>
      </c>
      <c r="H87" s="11" t="str">
        <f aca="false">IF(C87="","",IF(G87="","Thiếu thông tin",IF(G87&lt;6,"Trẻ em",IF(G87&lt;23,"Học sinh / Sinh viên",IF(G87&lt;60,"Đang đi làm","Nghỉ hưu")))))</f>
        <v>Đang đi làm</v>
      </c>
      <c r="I87" s="6"/>
      <c r="J87" s="11" t="str">
        <f aca="false">IF(B87="","",IFERROR(INDEX('Hộ gia đình'!$B$2:$B$2000,MATCH(B87,'Hộ gia đình'!$A$2:$A$2000,0)),"Mã hộ không tồn tại"))</f>
        <v>76 Lê Thanh Nghị</v>
      </c>
      <c r="K87" s="14" t="s">
        <v>614</v>
      </c>
      <c r="L87" s="14"/>
      <c r="M87" s="6" t="s">
        <v>615</v>
      </c>
      <c r="N87" s="6" t="s">
        <v>388</v>
      </c>
      <c r="O87" s="6" t="s">
        <v>389</v>
      </c>
      <c r="P87" s="6"/>
      <c r="Q87" s="6" t="s">
        <v>391</v>
      </c>
      <c r="R87" s="12"/>
    </row>
    <row r="88" customFormat="false" ht="15" hidden="false" customHeight="true" outlineLevel="0" collapsed="false">
      <c r="A88" s="6" t="s">
        <v>616</v>
      </c>
      <c r="B88" s="6" t="s">
        <v>92</v>
      </c>
      <c r="C88" s="6" t="s">
        <v>617</v>
      </c>
      <c r="D88" s="6"/>
      <c r="E88" s="13"/>
      <c r="F88" s="6" t="n">
        <v>1999</v>
      </c>
      <c r="G88" s="11" t="n">
        <f aca="true">IF(F88="","",YEAR(TODAY())-F88)</f>
        <v>27</v>
      </c>
      <c r="H88" s="11" t="str">
        <f aca="false">IF(C88="","",IF(G88="","Thiếu thông tin",IF(G88&lt;6,"Trẻ em",IF(G88&lt;23,"Học sinh / Sinh viên",IF(G88&lt;60,"Đang đi làm","Nghỉ hưu")))))</f>
        <v>Đang đi làm</v>
      </c>
      <c r="I88" s="6"/>
      <c r="J88" s="11" t="str">
        <f aca="false">IF(B88="","",IFERROR(INDEX('Hộ gia đình'!$B$2:$B$2000,MATCH(B88,'Hộ gia đình'!$A$2:$A$2000,0)),"Mã hộ không tồn tại"))</f>
        <v>76 Lê Thanh Nghị</v>
      </c>
      <c r="K88" s="14"/>
      <c r="L88" s="14"/>
      <c r="M88" s="6"/>
      <c r="N88" s="6" t="s">
        <v>395</v>
      </c>
      <c r="O88" s="6" t="s">
        <v>389</v>
      </c>
      <c r="P88" s="6"/>
      <c r="Q88" s="6" t="s">
        <v>403</v>
      </c>
      <c r="R88" s="12"/>
    </row>
    <row r="89" customFormat="false" ht="15" hidden="false" customHeight="true" outlineLevel="0" collapsed="false">
      <c r="A89" s="6" t="s">
        <v>618</v>
      </c>
      <c r="B89" s="6" t="s">
        <v>92</v>
      </c>
      <c r="C89" s="6" t="s">
        <v>619</v>
      </c>
      <c r="D89" s="6"/>
      <c r="E89" s="13"/>
      <c r="F89" s="6" t="n">
        <v>2005</v>
      </c>
      <c r="G89" s="11" t="n">
        <f aca="true">IF(F89="","",YEAR(TODAY())-F89)</f>
        <v>21</v>
      </c>
      <c r="H89" s="11" t="str">
        <f aca="false">IF(C89="","",IF(G89="","Thiếu thông tin",IF(G89&lt;6,"Trẻ em",IF(G89&lt;23,"Học sinh / Sinh viên",IF(G89&lt;60,"Đang đi làm","Nghỉ hưu")))))</f>
        <v>Học sinh / Sinh viên</v>
      </c>
      <c r="I89" s="6"/>
      <c r="J89" s="11" t="str">
        <f aca="false">IF(B89="","",IFERROR(INDEX('Hộ gia đình'!$B$2:$B$2000,MATCH(B89,'Hộ gia đình'!$A$2:$A$2000,0)),"Mã hộ không tồn tại"))</f>
        <v>76 Lê Thanh Nghị</v>
      </c>
      <c r="K89" s="14"/>
      <c r="L89" s="14"/>
      <c r="M89" s="6"/>
      <c r="N89" s="6" t="s">
        <v>395</v>
      </c>
      <c r="O89" s="6" t="s">
        <v>389</v>
      </c>
      <c r="P89" s="6"/>
      <c r="Q89" s="6" t="s">
        <v>403</v>
      </c>
      <c r="R89" s="12"/>
    </row>
    <row r="90" customFormat="false" ht="15" hidden="false" customHeight="true" outlineLevel="0" collapsed="false">
      <c r="A90" s="6" t="s">
        <v>620</v>
      </c>
      <c r="B90" s="6" t="s">
        <v>94</v>
      </c>
      <c r="C90" s="6" t="s">
        <v>621</v>
      </c>
      <c r="D90" s="6" t="s">
        <v>408</v>
      </c>
      <c r="E90" s="13" t="n">
        <v>22143</v>
      </c>
      <c r="F90" s="6" t="n">
        <v>1960</v>
      </c>
      <c r="G90" s="11" t="n">
        <f aca="true">IF(F90="","",YEAR(TODAY())-F90)</f>
        <v>66</v>
      </c>
      <c r="H90" s="11" t="str">
        <f aca="false">IF(C90="","",IF(G90="","Thiếu thông tin",IF(G90&lt;6,"Trẻ em",IF(G90&lt;23,"Học sinh / Sinh viên",IF(G90&lt;60,"Đang đi làm","Nghỉ hưu")))))</f>
        <v>Nghỉ hưu</v>
      </c>
      <c r="I90" s="6" t="s">
        <v>52</v>
      </c>
      <c r="J90" s="11" t="str">
        <f aca="false">IF(B90="","",IFERROR(INDEX('Hộ gia đình'!$B$2:$B$2000,MATCH(B90,'Hộ gia đình'!$A$2:$A$2000,0)),"Mã hộ không tồn tại"))</f>
        <v>78 Lê Thanh Nghị</v>
      </c>
      <c r="K90" s="14" t="s">
        <v>622</v>
      </c>
      <c r="L90" s="14"/>
      <c r="M90" s="6" t="s">
        <v>451</v>
      </c>
      <c r="N90" s="6" t="s">
        <v>388</v>
      </c>
      <c r="O90" s="6" t="s">
        <v>389</v>
      </c>
      <c r="P90" s="6"/>
      <c r="Q90" s="6" t="s">
        <v>391</v>
      </c>
      <c r="R90" s="12"/>
    </row>
    <row r="91" customFormat="false" ht="15" hidden="false" customHeight="true" outlineLevel="0" collapsed="false">
      <c r="A91" s="6" t="s">
        <v>623</v>
      </c>
      <c r="B91" s="6" t="s">
        <v>94</v>
      </c>
      <c r="C91" s="6" t="s">
        <v>624</v>
      </c>
      <c r="D91" s="6" t="s">
        <v>385</v>
      </c>
      <c r="E91" s="13" t="n">
        <v>21421</v>
      </c>
      <c r="F91" s="6" t="n">
        <v>1958</v>
      </c>
      <c r="G91" s="11" t="n">
        <f aca="true">IF(F91="","",YEAR(TODAY())-F91)</f>
        <v>68</v>
      </c>
      <c r="H91" s="11" t="str">
        <f aca="false">IF(C91="","",IF(G91="","Thiếu thông tin",IF(G91&lt;6,"Trẻ em",IF(G91&lt;23,"Học sinh / Sinh viên",IF(G91&lt;60,"Đang đi làm","Nghỉ hưu")))))</f>
        <v>Nghỉ hưu</v>
      </c>
      <c r="I91" s="6"/>
      <c r="J91" s="11" t="str">
        <f aca="false">IF(B91="","",IFERROR(INDEX('Hộ gia đình'!$B$2:$B$2000,MATCH(B91,'Hộ gia đình'!$A$2:$A$2000,0)),"Mã hộ không tồn tại"))</f>
        <v>78 Lê Thanh Nghị</v>
      </c>
      <c r="K91" s="14" t="s">
        <v>625</v>
      </c>
      <c r="L91" s="14"/>
      <c r="M91" s="6" t="s">
        <v>451</v>
      </c>
      <c r="N91" s="6" t="s">
        <v>388</v>
      </c>
      <c r="O91" s="6" t="s">
        <v>389</v>
      </c>
      <c r="P91" s="6"/>
      <c r="Q91" s="6" t="s">
        <v>391</v>
      </c>
      <c r="R91" s="12" t="s">
        <v>626</v>
      </c>
    </row>
    <row r="92" customFormat="false" ht="15" hidden="false" customHeight="true" outlineLevel="0" collapsed="false">
      <c r="A92" s="6" t="s">
        <v>627</v>
      </c>
      <c r="B92" s="6" t="s">
        <v>94</v>
      </c>
      <c r="C92" s="6" t="s">
        <v>628</v>
      </c>
      <c r="D92" s="6" t="s">
        <v>408</v>
      </c>
      <c r="E92" s="13" t="n">
        <v>31444</v>
      </c>
      <c r="F92" s="6" t="n">
        <v>1986</v>
      </c>
      <c r="G92" s="11" t="n">
        <f aca="true">IF(F92="","",YEAR(TODAY())-F92)</f>
        <v>40</v>
      </c>
      <c r="H92" s="11" t="str">
        <f aca="false">IF(C92="","",IF(G92="","Thiếu thông tin",IF(G92&lt;6,"Trẻ em",IF(G92&lt;23,"Học sinh / Sinh viên",IF(G92&lt;60,"Đang đi làm","Nghỉ hưu")))))</f>
        <v>Đang đi làm</v>
      </c>
      <c r="I92" s="6"/>
      <c r="J92" s="11" t="str">
        <f aca="false">IF(B92="","",IFERROR(INDEX('Hộ gia đình'!$B$2:$B$2000,MATCH(B92,'Hộ gia đình'!$A$2:$A$2000,0)),"Mã hộ không tồn tại"))</f>
        <v>78 Lê Thanh Nghị</v>
      </c>
      <c r="K92" s="14" t="s">
        <v>629</v>
      </c>
      <c r="L92" s="14"/>
      <c r="M92" s="6" t="s">
        <v>459</v>
      </c>
      <c r="N92" s="6" t="s">
        <v>388</v>
      </c>
      <c r="O92" s="6" t="s">
        <v>389</v>
      </c>
      <c r="P92" s="6"/>
      <c r="Q92" s="6" t="s">
        <v>391</v>
      </c>
      <c r="R92" s="12"/>
    </row>
    <row r="93" customFormat="false" ht="15" hidden="false" customHeight="true" outlineLevel="0" collapsed="false">
      <c r="A93" s="6" t="s">
        <v>630</v>
      </c>
      <c r="B93" s="6" t="s">
        <v>94</v>
      </c>
      <c r="C93" s="6" t="s">
        <v>631</v>
      </c>
      <c r="D93" s="6" t="s">
        <v>385</v>
      </c>
      <c r="E93" s="13" t="n">
        <v>31739</v>
      </c>
      <c r="F93" s="6" t="n">
        <v>1986</v>
      </c>
      <c r="G93" s="11" t="n">
        <f aca="true">IF(F93="","",YEAR(TODAY())-F93)</f>
        <v>40</v>
      </c>
      <c r="H93" s="11" t="str">
        <f aca="false">IF(C93="","",IF(G93="","Thiếu thông tin",IF(G93&lt;6,"Trẻ em",IF(G93&lt;23,"Học sinh / Sinh viên",IF(G93&lt;60,"Đang đi làm","Nghỉ hưu")))))</f>
        <v>Đang đi làm</v>
      </c>
      <c r="I93" s="6"/>
      <c r="J93" s="11" t="str">
        <f aca="false">IF(B93="","",IFERROR(INDEX('Hộ gia đình'!$B$2:$B$2000,MATCH(B93,'Hộ gia đình'!$A$2:$A$2000,0)),"Mã hộ không tồn tại"))</f>
        <v>78 Lê Thanh Nghị</v>
      </c>
      <c r="K93" s="14" t="s">
        <v>632</v>
      </c>
      <c r="L93" s="14"/>
      <c r="M93" s="6" t="s">
        <v>459</v>
      </c>
      <c r="N93" s="6" t="s">
        <v>388</v>
      </c>
      <c r="O93" s="6" t="s">
        <v>389</v>
      </c>
      <c r="P93" s="6"/>
      <c r="Q93" s="6" t="s">
        <v>391</v>
      </c>
      <c r="R93" s="12" t="s">
        <v>633</v>
      </c>
    </row>
    <row r="94" customFormat="false" ht="15" hidden="false" customHeight="true" outlineLevel="0" collapsed="false">
      <c r="A94" s="6" t="s">
        <v>634</v>
      </c>
      <c r="B94" s="6" t="s">
        <v>94</v>
      </c>
      <c r="C94" s="6" t="s">
        <v>635</v>
      </c>
      <c r="D94" s="6"/>
      <c r="E94" s="13"/>
      <c r="F94" s="6" t="n">
        <v>2014</v>
      </c>
      <c r="G94" s="11" t="n">
        <f aca="true">IF(F94="","",YEAR(TODAY())-F94)</f>
        <v>12</v>
      </c>
      <c r="H94" s="11" t="str">
        <f aca="false">IF(C94="","",IF(G94="","Thiếu thông tin",IF(G94&lt;6,"Trẻ em",IF(G94&lt;23,"Học sinh / Sinh viên",IF(G94&lt;60,"Đang đi làm","Nghỉ hưu")))))</f>
        <v>Học sinh / Sinh viên</v>
      </c>
      <c r="I94" s="6"/>
      <c r="J94" s="11" t="str">
        <f aca="false">IF(B94="","",IFERROR(INDEX('Hộ gia đình'!$B$2:$B$2000,MATCH(B94,'Hộ gia đình'!$A$2:$A$2000,0)),"Mã hộ không tồn tại"))</f>
        <v>78 Lê Thanh Nghị</v>
      </c>
      <c r="K94" s="14"/>
      <c r="L94" s="14"/>
      <c r="M94" s="6"/>
      <c r="N94" s="6" t="s">
        <v>395</v>
      </c>
      <c r="O94" s="6" t="s">
        <v>389</v>
      </c>
      <c r="P94" s="6"/>
      <c r="Q94" s="6" t="s">
        <v>403</v>
      </c>
      <c r="R94" s="12"/>
    </row>
    <row r="95" customFormat="false" ht="15" hidden="false" customHeight="true" outlineLevel="0" collapsed="false">
      <c r="A95" s="6" t="s">
        <v>636</v>
      </c>
      <c r="B95" s="6" t="s">
        <v>94</v>
      </c>
      <c r="C95" s="6" t="s">
        <v>637</v>
      </c>
      <c r="D95" s="6"/>
      <c r="E95" s="13"/>
      <c r="F95" s="6" t="n">
        <v>2019</v>
      </c>
      <c r="G95" s="11" t="n">
        <f aca="true">IF(F95="","",YEAR(TODAY())-F95)</f>
        <v>7</v>
      </c>
      <c r="H95" s="11" t="str">
        <f aca="false">IF(C95="","",IF(G95="","Thiếu thông tin",IF(G95&lt;6,"Trẻ em",IF(G95&lt;23,"Học sinh / Sinh viên",IF(G95&lt;60,"Đang đi làm","Nghỉ hưu")))))</f>
        <v>Học sinh / Sinh viên</v>
      </c>
      <c r="I95" s="6"/>
      <c r="J95" s="11" t="str">
        <f aca="false">IF(B95="","",IFERROR(INDEX('Hộ gia đình'!$B$2:$B$2000,MATCH(B95,'Hộ gia đình'!$A$2:$A$2000,0)),"Mã hộ không tồn tại"))</f>
        <v>78 Lê Thanh Nghị</v>
      </c>
      <c r="K95" s="14"/>
      <c r="L95" s="14"/>
      <c r="M95" s="6"/>
      <c r="N95" s="6" t="s">
        <v>395</v>
      </c>
      <c r="O95" s="6" t="s">
        <v>389</v>
      </c>
      <c r="P95" s="6"/>
      <c r="Q95" s="6" t="s">
        <v>403</v>
      </c>
      <c r="R95" s="12"/>
    </row>
    <row r="96" customFormat="false" ht="15" hidden="false" customHeight="true" outlineLevel="0" collapsed="false">
      <c r="A96" s="6" t="s">
        <v>638</v>
      </c>
      <c r="B96" s="6" t="s">
        <v>94</v>
      </c>
      <c r="C96" s="6" t="s">
        <v>639</v>
      </c>
      <c r="D96" s="6" t="s">
        <v>385</v>
      </c>
      <c r="E96" s="13" t="n">
        <v>33619</v>
      </c>
      <c r="F96" s="6" t="n">
        <v>1992</v>
      </c>
      <c r="G96" s="11" t="n">
        <f aca="true">IF(F96="","",YEAR(TODAY())-F96)</f>
        <v>34</v>
      </c>
      <c r="H96" s="11" t="str">
        <f aca="false">IF(C96="","",IF(G96="","Thiếu thông tin",IF(G96&lt;6,"Trẻ em",IF(G96&lt;23,"Học sinh / Sinh viên",IF(G96&lt;60,"Đang đi làm","Nghỉ hưu")))))</f>
        <v>Đang đi làm</v>
      </c>
      <c r="I96" s="6"/>
      <c r="J96" s="11" t="str">
        <f aca="false">IF(B96="","",IFERROR(INDEX('Hộ gia đình'!$B$2:$B$2000,MATCH(B96,'Hộ gia đình'!$A$2:$A$2000,0)),"Mã hộ không tồn tại"))</f>
        <v>78 Lê Thanh Nghị</v>
      </c>
      <c r="K96" s="14" t="s">
        <v>640</v>
      </c>
      <c r="L96" s="14"/>
      <c r="M96" s="6" t="s">
        <v>459</v>
      </c>
      <c r="N96" s="6" t="s">
        <v>388</v>
      </c>
      <c r="O96" s="6" t="s">
        <v>389</v>
      </c>
      <c r="P96" s="6"/>
      <c r="Q96" s="6" t="s">
        <v>410</v>
      </c>
      <c r="R96" s="12"/>
    </row>
    <row r="97" customFormat="false" ht="15" hidden="false" customHeight="true" outlineLevel="0" collapsed="false">
      <c r="A97" s="6" t="s">
        <v>641</v>
      </c>
      <c r="B97" s="6" t="s">
        <v>96</v>
      </c>
      <c r="C97" s="6" t="s">
        <v>642</v>
      </c>
      <c r="D97" s="6"/>
      <c r="E97" s="13"/>
      <c r="F97" s="6" t="n">
        <v>1942</v>
      </c>
      <c r="G97" s="11" t="n">
        <f aca="true">IF(F97="","",YEAR(TODAY())-F97)</f>
        <v>84</v>
      </c>
      <c r="H97" s="11" t="str">
        <f aca="false">IF(C97="","",IF(G97="","Thiếu thông tin",IF(G97&lt;6,"Trẻ em",IF(G97&lt;23,"Học sinh / Sinh viên",IF(G97&lt;60,"Đang đi làm","Nghỉ hưu")))))</f>
        <v>Nghỉ hưu</v>
      </c>
      <c r="I97" s="6" t="s">
        <v>52</v>
      </c>
      <c r="J97" s="11" t="str">
        <f aca="false">IF(B97="","",IFERROR(INDEX('Hộ gia đình'!$B$2:$B$2000,MATCH(B97,'Hộ gia đình'!$A$2:$A$2000,0)),"Mã hộ không tồn tại"))</f>
        <v>84 Lê Thanh Nghị</v>
      </c>
      <c r="K97" s="14"/>
      <c r="L97" s="14"/>
      <c r="M97" s="6"/>
      <c r="N97" s="6" t="s">
        <v>395</v>
      </c>
      <c r="O97" s="6" t="s">
        <v>389</v>
      </c>
      <c r="P97" s="6"/>
      <c r="Q97" s="6" t="s">
        <v>396</v>
      </c>
      <c r="R97" s="12"/>
    </row>
    <row r="98" customFormat="false" ht="15" hidden="false" customHeight="true" outlineLevel="0" collapsed="false">
      <c r="A98" s="6" t="s">
        <v>643</v>
      </c>
      <c r="B98" s="6" t="s">
        <v>98</v>
      </c>
      <c r="C98" s="6" t="s">
        <v>644</v>
      </c>
      <c r="D98" s="6"/>
      <c r="E98" s="13"/>
      <c r="F98" s="6" t="n">
        <v>1938</v>
      </c>
      <c r="G98" s="11" t="n">
        <f aca="true">IF(F98="","",YEAR(TODAY())-F98)</f>
        <v>88</v>
      </c>
      <c r="H98" s="11" t="str">
        <f aca="false">IF(C98="","",IF(G98="","Thiếu thông tin",IF(G98&lt;6,"Trẻ em",IF(G98&lt;23,"Học sinh / Sinh viên",IF(G98&lt;60,"Đang đi làm","Nghỉ hưu")))))</f>
        <v>Nghỉ hưu</v>
      </c>
      <c r="I98" s="6" t="s">
        <v>52</v>
      </c>
      <c r="J98" s="11" t="str">
        <f aca="false">IF(B98="","",IFERROR(INDEX('Hộ gia đình'!$B$2:$B$2000,MATCH(B98,'Hộ gia đình'!$A$2:$A$2000,0)),"Mã hộ không tồn tại"))</f>
        <v>86 Lê Thanh Nghị</v>
      </c>
      <c r="K98" s="14"/>
      <c r="L98" s="14"/>
      <c r="M98" s="6"/>
      <c r="N98" s="6" t="s">
        <v>395</v>
      </c>
      <c r="O98" s="6" t="s">
        <v>389</v>
      </c>
      <c r="P98" s="6" t="s">
        <v>500</v>
      </c>
      <c r="Q98" s="6" t="s">
        <v>396</v>
      </c>
      <c r="R98" s="12" t="s">
        <v>392</v>
      </c>
    </row>
    <row r="99" customFormat="false" ht="15" hidden="false" customHeight="true" outlineLevel="0" collapsed="false">
      <c r="A99" s="6" t="s">
        <v>645</v>
      </c>
      <c r="B99" s="6" t="s">
        <v>98</v>
      </c>
      <c r="C99" s="6" t="s">
        <v>646</v>
      </c>
      <c r="D99" s="6"/>
      <c r="E99" s="13"/>
      <c r="F99" s="6"/>
      <c r="G99" s="11" t="str">
        <f aca="true">IF(F99="","",YEAR(TODAY())-F99)</f>
        <v/>
      </c>
      <c r="H99" s="11" t="str">
        <f aca="false">IF(C99="","",IF(G99="","Thiếu thông tin",IF(G99&lt;6,"Trẻ em",IF(G99&lt;23,"Học sinh / Sinh viên",IF(G99&lt;60,"Đang đi làm","Nghỉ hưu")))))</f>
        <v>Thiếu thông tin</v>
      </c>
      <c r="I99" s="6"/>
      <c r="J99" s="11" t="str">
        <f aca="false">IF(B99="","",IFERROR(INDEX('Hộ gia đình'!$B$2:$B$2000,MATCH(B99,'Hộ gia đình'!$A$2:$A$2000,0)),"Mã hộ không tồn tại"))</f>
        <v>86 Lê Thanh Nghị</v>
      </c>
      <c r="K99" s="14"/>
      <c r="L99" s="14"/>
      <c r="M99" s="6"/>
      <c r="N99" s="6" t="s">
        <v>395</v>
      </c>
      <c r="O99" s="6" t="s">
        <v>389</v>
      </c>
      <c r="P99" s="6"/>
      <c r="Q99" s="6" t="s">
        <v>403</v>
      </c>
      <c r="R99" s="12" t="s">
        <v>522</v>
      </c>
    </row>
    <row r="100" customFormat="false" ht="15" hidden="false" customHeight="true" outlineLevel="0" collapsed="false">
      <c r="A100" s="6" t="s">
        <v>647</v>
      </c>
      <c r="B100" s="6" t="s">
        <v>98</v>
      </c>
      <c r="C100" s="6" t="s">
        <v>648</v>
      </c>
      <c r="D100" s="6"/>
      <c r="E100" s="13"/>
      <c r="F100" s="6" t="n">
        <v>1980</v>
      </c>
      <c r="G100" s="11" t="n">
        <f aca="true">IF(F100="","",YEAR(TODAY())-F100)</f>
        <v>46</v>
      </c>
      <c r="H100" s="11" t="str">
        <f aca="false">IF(C100="","",IF(G100="","Thiếu thông tin",IF(G100&lt;6,"Trẻ em",IF(G100&lt;23,"Học sinh / Sinh viên",IF(G100&lt;60,"Đang đi làm","Nghỉ hưu")))))</f>
        <v>Đang đi làm</v>
      </c>
      <c r="I100" s="6"/>
      <c r="J100" s="11" t="str">
        <f aca="false">IF(B100="","",IFERROR(INDEX('Hộ gia đình'!$B$2:$B$2000,MATCH(B100,'Hộ gia đình'!$A$2:$A$2000,0)),"Mã hộ không tồn tại"))</f>
        <v>86 Lê Thanh Nghị</v>
      </c>
      <c r="K100" s="14"/>
      <c r="L100" s="14"/>
      <c r="M100" s="6"/>
      <c r="N100" s="6" t="s">
        <v>395</v>
      </c>
      <c r="O100" s="6" t="s">
        <v>389</v>
      </c>
      <c r="P100" s="6"/>
      <c r="Q100" s="6" t="s">
        <v>396</v>
      </c>
      <c r="R100" s="12"/>
    </row>
    <row r="101" customFormat="false" ht="15" hidden="false" customHeight="true" outlineLevel="0" collapsed="false">
      <c r="A101" s="6" t="s">
        <v>649</v>
      </c>
      <c r="B101" s="6" t="s">
        <v>98</v>
      </c>
      <c r="C101" s="6" t="s">
        <v>650</v>
      </c>
      <c r="D101" s="6"/>
      <c r="E101" s="13"/>
      <c r="F101" s="6" t="n">
        <v>2004</v>
      </c>
      <c r="G101" s="11" t="n">
        <f aca="true">IF(F101="","",YEAR(TODAY())-F101)</f>
        <v>22</v>
      </c>
      <c r="H101" s="11" t="str">
        <f aca="false">IF(C101="","",IF(G101="","Thiếu thông tin",IF(G101&lt;6,"Trẻ em",IF(G101&lt;23,"Học sinh / Sinh viên",IF(G101&lt;60,"Đang đi làm","Nghỉ hưu")))))</f>
        <v>Học sinh / Sinh viên</v>
      </c>
      <c r="I101" s="6"/>
      <c r="J101" s="11" t="str">
        <f aca="false">IF(B101="","",IFERROR(INDEX('Hộ gia đình'!$B$2:$B$2000,MATCH(B101,'Hộ gia đình'!$A$2:$A$2000,0)),"Mã hộ không tồn tại"))</f>
        <v>86 Lê Thanh Nghị</v>
      </c>
      <c r="K101" s="14"/>
      <c r="L101" s="14"/>
      <c r="M101" s="6"/>
      <c r="N101" s="6" t="s">
        <v>395</v>
      </c>
      <c r="O101" s="6" t="s">
        <v>389</v>
      </c>
      <c r="P101" s="6"/>
      <c r="Q101" s="6" t="s">
        <v>403</v>
      </c>
      <c r="R101" s="12"/>
    </row>
    <row r="102" customFormat="false" ht="15" hidden="false" customHeight="true" outlineLevel="0" collapsed="false">
      <c r="A102" s="6" t="s">
        <v>651</v>
      </c>
      <c r="B102" s="6" t="s">
        <v>100</v>
      </c>
      <c r="C102" s="6" t="s">
        <v>652</v>
      </c>
      <c r="D102" s="6" t="s">
        <v>385</v>
      </c>
      <c r="E102" s="13" t="n">
        <v>13205</v>
      </c>
      <c r="F102" s="6" t="n">
        <v>1936</v>
      </c>
      <c r="G102" s="11" t="n">
        <f aca="true">IF(F102="","",YEAR(TODAY())-F102)</f>
        <v>90</v>
      </c>
      <c r="H102" s="11" t="str">
        <f aca="false">IF(C102="","",IF(G102="","Thiếu thông tin",IF(G102&lt;6,"Trẻ em",IF(G102&lt;23,"Học sinh / Sinh viên",IF(G102&lt;60,"Đang đi làm","Nghỉ hưu")))))</f>
        <v>Nghỉ hưu</v>
      </c>
      <c r="I102" s="6" t="s">
        <v>52</v>
      </c>
      <c r="J102" s="11" t="str">
        <f aca="false">IF(B102="","",IFERROR(INDEX('Hộ gia đình'!$B$2:$B$2000,MATCH(B102,'Hộ gia đình'!$A$2:$A$2000,0)),"Mã hộ không tồn tại"))</f>
        <v>88 Lê Thanh Nghị</v>
      </c>
      <c r="K102" s="14" t="s">
        <v>653</v>
      </c>
      <c r="L102" s="14"/>
      <c r="M102" s="6" t="s">
        <v>387</v>
      </c>
      <c r="N102" s="6" t="s">
        <v>388</v>
      </c>
      <c r="O102" s="6" t="s">
        <v>389</v>
      </c>
      <c r="P102" s="6"/>
      <c r="Q102" s="6" t="s">
        <v>391</v>
      </c>
      <c r="R102" s="12"/>
    </row>
    <row r="103" customFormat="false" ht="15" hidden="false" customHeight="true" outlineLevel="0" collapsed="false">
      <c r="A103" s="6" t="s">
        <v>654</v>
      </c>
      <c r="B103" s="6" t="s">
        <v>100</v>
      </c>
      <c r="C103" s="6" t="s">
        <v>655</v>
      </c>
      <c r="D103" s="6" t="s">
        <v>408</v>
      </c>
      <c r="E103" s="13" t="n">
        <v>23661</v>
      </c>
      <c r="F103" s="6" t="n">
        <v>1964</v>
      </c>
      <c r="G103" s="11" t="n">
        <f aca="true">IF(F103="","",YEAR(TODAY())-F103)</f>
        <v>62</v>
      </c>
      <c r="H103" s="11" t="str">
        <f aca="false">IF(C103="","",IF(G103="","Thiếu thông tin",IF(G103&lt;6,"Trẻ em",IF(G103&lt;23,"Học sinh / Sinh viên",IF(G103&lt;60,"Đang đi làm","Nghỉ hưu")))))</f>
        <v>Nghỉ hưu</v>
      </c>
      <c r="I103" s="6"/>
      <c r="J103" s="11" t="str">
        <f aca="false">IF(B103="","",IFERROR(INDEX('Hộ gia đình'!$B$2:$B$2000,MATCH(B103,'Hộ gia đình'!$A$2:$A$2000,0)),"Mã hộ không tồn tại"))</f>
        <v>88 Lê Thanh Nghị</v>
      </c>
      <c r="K103" s="14" t="s">
        <v>656</v>
      </c>
      <c r="L103" s="14"/>
      <c r="M103" s="6" t="s">
        <v>387</v>
      </c>
      <c r="N103" s="6" t="s">
        <v>388</v>
      </c>
      <c r="O103" s="6" t="s">
        <v>389</v>
      </c>
      <c r="P103" s="6"/>
      <c r="Q103" s="6" t="s">
        <v>410</v>
      </c>
      <c r="R103" s="12"/>
    </row>
    <row r="104" customFormat="false" ht="15" hidden="false" customHeight="true" outlineLevel="0" collapsed="false">
      <c r="A104" s="6" t="s">
        <v>657</v>
      </c>
      <c r="B104" s="6" t="s">
        <v>100</v>
      </c>
      <c r="C104" s="6" t="s">
        <v>658</v>
      </c>
      <c r="D104" s="6" t="s">
        <v>385</v>
      </c>
      <c r="E104" s="13" t="n">
        <v>24422</v>
      </c>
      <c r="F104" s="6" t="n">
        <v>1966</v>
      </c>
      <c r="G104" s="11" t="n">
        <f aca="true">IF(F104="","",YEAR(TODAY())-F104)</f>
        <v>60</v>
      </c>
      <c r="H104" s="11" t="str">
        <f aca="false">IF(C104="","",IF(G104="","Thiếu thông tin",IF(G104&lt;6,"Trẻ em",IF(G104&lt;23,"Học sinh / Sinh viên",IF(G104&lt;60,"Đang đi làm","Nghỉ hưu")))))</f>
        <v>Nghỉ hưu</v>
      </c>
      <c r="I104" s="6"/>
      <c r="J104" s="11" t="str">
        <f aca="false">IF(B104="","",IFERROR(INDEX('Hộ gia đình'!$B$2:$B$2000,MATCH(B104,'Hộ gia đình'!$A$2:$A$2000,0)),"Mã hộ không tồn tại"))</f>
        <v>88 Lê Thanh Nghị</v>
      </c>
      <c r="K104" s="14" t="s">
        <v>659</v>
      </c>
      <c r="L104" s="14"/>
      <c r="M104" s="6" t="s">
        <v>387</v>
      </c>
      <c r="N104" s="6" t="s">
        <v>388</v>
      </c>
      <c r="O104" s="6" t="s">
        <v>389</v>
      </c>
      <c r="P104" s="6"/>
      <c r="Q104" s="6" t="s">
        <v>410</v>
      </c>
      <c r="R104" s="12"/>
    </row>
    <row r="105" customFormat="false" ht="15" hidden="false" customHeight="true" outlineLevel="0" collapsed="false">
      <c r="A105" s="6" t="s">
        <v>660</v>
      </c>
      <c r="B105" s="6" t="s">
        <v>100</v>
      </c>
      <c r="C105" s="6" t="s">
        <v>661</v>
      </c>
      <c r="D105" s="6" t="s">
        <v>408</v>
      </c>
      <c r="E105" s="13" t="n">
        <v>33855</v>
      </c>
      <c r="F105" s="6" t="n">
        <v>1992</v>
      </c>
      <c r="G105" s="11" t="n">
        <f aca="true">IF(F105="","",YEAR(TODAY())-F105)</f>
        <v>34</v>
      </c>
      <c r="H105" s="11" t="str">
        <f aca="false">IF(C105="","",IF(G105="","Thiếu thông tin",IF(G105&lt;6,"Trẻ em",IF(G105&lt;23,"Học sinh / Sinh viên",IF(G105&lt;60,"Đang đi làm","Nghỉ hưu")))))</f>
        <v>Đang đi làm</v>
      </c>
      <c r="I105" s="6"/>
      <c r="J105" s="11" t="str">
        <f aca="false">IF(B105="","",IFERROR(INDEX('Hộ gia đình'!$B$2:$B$2000,MATCH(B105,'Hộ gia đình'!$A$2:$A$2000,0)),"Mã hộ không tồn tại"))</f>
        <v>88 Lê Thanh Nghị</v>
      </c>
      <c r="K105" s="14" t="s">
        <v>662</v>
      </c>
      <c r="L105" s="14"/>
      <c r="M105" s="6" t="s">
        <v>418</v>
      </c>
      <c r="N105" s="6" t="s">
        <v>388</v>
      </c>
      <c r="O105" s="6" t="s">
        <v>389</v>
      </c>
      <c r="P105" s="6"/>
      <c r="Q105" s="6" t="s">
        <v>410</v>
      </c>
      <c r="R105" s="12"/>
    </row>
    <row r="106" customFormat="false" ht="15" hidden="false" customHeight="true" outlineLevel="0" collapsed="false">
      <c r="A106" s="6" t="s">
        <v>663</v>
      </c>
      <c r="B106" s="6" t="s">
        <v>100</v>
      </c>
      <c r="C106" s="6" t="s">
        <v>664</v>
      </c>
      <c r="D106" s="6" t="s">
        <v>385</v>
      </c>
      <c r="E106" s="13" t="n">
        <v>35311</v>
      </c>
      <c r="F106" s="6" t="n">
        <v>1996</v>
      </c>
      <c r="G106" s="11" t="n">
        <f aca="true">IF(F106="","",YEAR(TODAY())-F106)</f>
        <v>30</v>
      </c>
      <c r="H106" s="11" t="str">
        <f aca="false">IF(C106="","",IF(G106="","Thiếu thông tin",IF(G106&lt;6,"Trẻ em",IF(G106&lt;23,"Học sinh / Sinh viên",IF(G106&lt;60,"Đang đi làm","Nghỉ hưu")))))</f>
        <v>Đang đi làm</v>
      </c>
      <c r="I106" s="6"/>
      <c r="J106" s="11" t="str">
        <f aca="false">IF(B106="","",IFERROR(INDEX('Hộ gia đình'!$B$2:$B$2000,MATCH(B106,'Hộ gia đình'!$A$2:$A$2000,0)),"Mã hộ không tồn tại"))</f>
        <v>88 Lê Thanh Nghị</v>
      </c>
      <c r="K106" s="14" t="s">
        <v>665</v>
      </c>
      <c r="L106" s="14"/>
      <c r="M106" s="6" t="s">
        <v>418</v>
      </c>
      <c r="N106" s="6" t="s">
        <v>388</v>
      </c>
      <c r="O106" s="6" t="s">
        <v>389</v>
      </c>
      <c r="P106" s="6"/>
      <c r="Q106" s="6" t="s">
        <v>410</v>
      </c>
      <c r="R106" s="12"/>
    </row>
    <row r="107" customFormat="false" ht="15" hidden="false" customHeight="true" outlineLevel="0" collapsed="false">
      <c r="A107" s="6" t="s">
        <v>666</v>
      </c>
      <c r="B107" s="6" t="s">
        <v>100</v>
      </c>
      <c r="C107" s="6" t="s">
        <v>667</v>
      </c>
      <c r="D107" s="6" t="s">
        <v>385</v>
      </c>
      <c r="E107" s="13" t="n">
        <v>35582</v>
      </c>
      <c r="F107" s="6" t="n">
        <v>1997</v>
      </c>
      <c r="G107" s="11" t="n">
        <f aca="true">IF(F107="","",YEAR(TODAY())-F107)</f>
        <v>29</v>
      </c>
      <c r="H107" s="11" t="str">
        <f aca="false">IF(C107="","",IF(G107="","Thiếu thông tin",IF(G107&lt;6,"Trẻ em",IF(G107&lt;23,"Học sinh / Sinh viên",IF(G107&lt;60,"Đang đi làm","Nghỉ hưu")))))</f>
        <v>Đang đi làm</v>
      </c>
      <c r="I107" s="6"/>
      <c r="J107" s="11" t="str">
        <f aca="false">IF(B107="","",IFERROR(INDEX('Hộ gia đình'!$B$2:$B$2000,MATCH(B107,'Hộ gia đình'!$A$2:$A$2000,0)),"Mã hộ không tồn tại"))</f>
        <v>88 Lê Thanh Nghị</v>
      </c>
      <c r="K107" s="14" t="s">
        <v>668</v>
      </c>
      <c r="L107" s="14"/>
      <c r="M107" s="6" t="s">
        <v>418</v>
      </c>
      <c r="N107" s="6" t="s">
        <v>388</v>
      </c>
      <c r="O107" s="6" t="s">
        <v>389</v>
      </c>
      <c r="P107" s="6"/>
      <c r="Q107" s="6" t="s">
        <v>410</v>
      </c>
      <c r="R107" s="12"/>
    </row>
    <row r="108" customFormat="false" ht="15" hidden="false" customHeight="true" outlineLevel="0" collapsed="false">
      <c r="A108" s="6" t="s">
        <v>669</v>
      </c>
      <c r="B108" s="6" t="s">
        <v>102</v>
      </c>
      <c r="C108" s="6" t="s">
        <v>670</v>
      </c>
      <c r="D108" s="6" t="s">
        <v>408</v>
      </c>
      <c r="E108" s="13" t="n">
        <v>26017</v>
      </c>
      <c r="F108" s="6" t="n">
        <v>1971</v>
      </c>
      <c r="G108" s="11" t="n">
        <f aca="true">IF(F108="","",YEAR(TODAY())-F108)</f>
        <v>55</v>
      </c>
      <c r="H108" s="11" t="str">
        <f aca="false">IF(C108="","",IF(G108="","Thiếu thông tin",IF(G108&lt;6,"Trẻ em",IF(G108&lt;23,"Học sinh / Sinh viên",IF(G108&lt;60,"Đang đi làm","Nghỉ hưu")))))</f>
        <v>Đang đi làm</v>
      </c>
      <c r="I108" s="6" t="s">
        <v>52</v>
      </c>
      <c r="J108" s="11" t="str">
        <f aca="false">IF(B108="","",IFERROR(INDEX('Hộ gia đình'!$B$2:$B$2000,MATCH(B108,'Hộ gia đình'!$A$2:$A$2000,0)),"Mã hộ không tồn tại"))</f>
        <v>1 ngõ 78 Lê Thanh Nghị</v>
      </c>
      <c r="K108" s="14" t="s">
        <v>671</v>
      </c>
      <c r="L108" s="14"/>
      <c r="M108" s="6" t="s">
        <v>459</v>
      </c>
      <c r="N108" s="6" t="s">
        <v>388</v>
      </c>
      <c r="O108" s="6" t="s">
        <v>389</v>
      </c>
      <c r="P108" s="6"/>
      <c r="Q108" s="6" t="s">
        <v>391</v>
      </c>
      <c r="R108" s="12" t="s">
        <v>672</v>
      </c>
    </row>
    <row r="109" customFormat="false" ht="15" hidden="false" customHeight="true" outlineLevel="0" collapsed="false">
      <c r="A109" s="6" t="s">
        <v>673</v>
      </c>
      <c r="B109" s="6" t="s">
        <v>102</v>
      </c>
      <c r="C109" s="6" t="s">
        <v>674</v>
      </c>
      <c r="D109" s="6" t="s">
        <v>385</v>
      </c>
      <c r="E109" s="13" t="n">
        <v>26299</v>
      </c>
      <c r="F109" s="6" t="n">
        <v>1972</v>
      </c>
      <c r="G109" s="11" t="n">
        <f aca="true">IF(F109="","",YEAR(TODAY())-F109)</f>
        <v>54</v>
      </c>
      <c r="H109" s="11" t="str">
        <f aca="false">IF(C109="","",IF(G109="","Thiếu thông tin",IF(G109&lt;6,"Trẻ em",IF(G109&lt;23,"Học sinh / Sinh viên",IF(G109&lt;60,"Đang đi làm","Nghỉ hưu")))))</f>
        <v>Đang đi làm</v>
      </c>
      <c r="I109" s="6"/>
      <c r="J109" s="11" t="str">
        <f aca="false">IF(B109="","",IFERROR(INDEX('Hộ gia đình'!$B$2:$B$2000,MATCH(B109,'Hộ gia đình'!$A$2:$A$2000,0)),"Mã hộ không tồn tại"))</f>
        <v>1 ngõ 78 Lê Thanh Nghị</v>
      </c>
      <c r="K109" s="14" t="s">
        <v>675</v>
      </c>
      <c r="L109" s="14"/>
      <c r="M109" s="6" t="s">
        <v>459</v>
      </c>
      <c r="N109" s="6" t="s">
        <v>388</v>
      </c>
      <c r="O109" s="6" t="s">
        <v>389</v>
      </c>
      <c r="P109" s="6"/>
      <c r="Q109" s="6" t="s">
        <v>391</v>
      </c>
      <c r="R109" s="12"/>
    </row>
    <row r="110" customFormat="false" ht="15" hidden="false" customHeight="true" outlineLevel="0" collapsed="false">
      <c r="A110" s="6" t="s">
        <v>676</v>
      </c>
      <c r="B110" s="6" t="s">
        <v>102</v>
      </c>
      <c r="C110" s="6" t="s">
        <v>677</v>
      </c>
      <c r="D110" s="6"/>
      <c r="E110" s="13" t="n">
        <v>35913</v>
      </c>
      <c r="F110" s="6" t="n">
        <v>1998</v>
      </c>
      <c r="G110" s="11" t="n">
        <f aca="true">IF(F110="","",YEAR(TODAY())-F110)</f>
        <v>28</v>
      </c>
      <c r="H110" s="11" t="str">
        <f aca="false">IF(C110="","",IF(G110="","Thiếu thông tin",IF(G110&lt;6,"Trẻ em",IF(G110&lt;23,"Học sinh / Sinh viên",IF(G110&lt;60,"Đang đi làm","Nghỉ hưu")))))</f>
        <v>Đang đi làm</v>
      </c>
      <c r="I110" s="6"/>
      <c r="J110" s="11" t="str">
        <f aca="false">IF(B110="","",IFERROR(INDEX('Hộ gia đình'!$B$2:$B$2000,MATCH(B110,'Hộ gia đình'!$A$2:$A$2000,0)),"Mã hộ không tồn tại"))</f>
        <v>1 ngõ 78 Lê Thanh Nghị</v>
      </c>
      <c r="K110" s="14"/>
      <c r="L110" s="14"/>
      <c r="M110" s="6"/>
      <c r="N110" s="6" t="s">
        <v>395</v>
      </c>
      <c r="O110" s="6" t="s">
        <v>389</v>
      </c>
      <c r="P110" s="6"/>
      <c r="Q110" s="6" t="s">
        <v>403</v>
      </c>
      <c r="R110" s="12"/>
    </row>
    <row r="111" customFormat="false" ht="15" hidden="false" customHeight="true" outlineLevel="0" collapsed="false">
      <c r="A111" s="6" t="s">
        <v>678</v>
      </c>
      <c r="B111" s="6" t="s">
        <v>102</v>
      </c>
      <c r="C111" s="6" t="s">
        <v>679</v>
      </c>
      <c r="D111" s="6"/>
      <c r="E111" s="13" t="n">
        <v>37634</v>
      </c>
      <c r="F111" s="6" t="n">
        <v>2003</v>
      </c>
      <c r="G111" s="11" t="n">
        <f aca="true">IF(F111="","",YEAR(TODAY())-F111)</f>
        <v>23</v>
      </c>
      <c r="H111" s="11" t="str">
        <f aca="false">IF(C111="","",IF(G111="","Thiếu thông tin",IF(G111&lt;6,"Trẻ em",IF(G111&lt;23,"Học sinh / Sinh viên",IF(G111&lt;60,"Đang đi làm","Nghỉ hưu")))))</f>
        <v>Đang đi làm</v>
      </c>
      <c r="I111" s="6"/>
      <c r="J111" s="11" t="str">
        <f aca="false">IF(B111="","",IFERROR(INDEX('Hộ gia đình'!$B$2:$B$2000,MATCH(B111,'Hộ gia đình'!$A$2:$A$2000,0)),"Mã hộ không tồn tại"))</f>
        <v>1 ngõ 78 Lê Thanh Nghị</v>
      </c>
      <c r="K111" s="14" t="s">
        <v>680</v>
      </c>
      <c r="L111" s="14"/>
      <c r="M111" s="6" t="s">
        <v>422</v>
      </c>
      <c r="N111" s="6" t="s">
        <v>388</v>
      </c>
      <c r="O111" s="6" t="s">
        <v>389</v>
      </c>
      <c r="P111" s="6"/>
      <c r="Q111" s="6" t="s">
        <v>583</v>
      </c>
      <c r="R111" s="12"/>
    </row>
    <row r="112" customFormat="false" ht="15" hidden="false" customHeight="true" outlineLevel="0" collapsed="false">
      <c r="A112" s="6" t="s">
        <v>681</v>
      </c>
      <c r="B112" s="6" t="s">
        <v>104</v>
      </c>
      <c r="C112" s="6" t="s">
        <v>682</v>
      </c>
      <c r="D112" s="6" t="s">
        <v>408</v>
      </c>
      <c r="E112" s="13" t="n">
        <v>15912</v>
      </c>
      <c r="F112" s="6" t="n">
        <v>1943</v>
      </c>
      <c r="G112" s="11" t="n">
        <f aca="true">IF(F112="","",YEAR(TODAY())-F112)</f>
        <v>83</v>
      </c>
      <c r="H112" s="11" t="str">
        <f aca="false">IF(C112="","",IF(G112="","Thiếu thông tin",IF(G112&lt;6,"Trẻ em",IF(G112&lt;23,"Học sinh / Sinh viên",IF(G112&lt;60,"Đang đi làm","Nghỉ hưu")))))</f>
        <v>Nghỉ hưu</v>
      </c>
      <c r="I112" s="6" t="s">
        <v>52</v>
      </c>
      <c r="J112" s="11" t="str">
        <f aca="false">IF(B112="","",IFERROR(INDEX('Hộ gia đình'!$B$2:$B$2000,MATCH(B112,'Hộ gia đình'!$A$2:$A$2000,0)),"Mã hộ không tồn tại"))</f>
        <v>5 ngõ 78 Lê Thanh Nghị</v>
      </c>
      <c r="K112" s="14" t="s">
        <v>683</v>
      </c>
      <c r="L112" s="14"/>
      <c r="M112" s="6" t="s">
        <v>451</v>
      </c>
      <c r="N112" s="6" t="s">
        <v>388</v>
      </c>
      <c r="O112" s="6" t="s">
        <v>389</v>
      </c>
      <c r="P112" s="6"/>
      <c r="Q112" s="6" t="s">
        <v>391</v>
      </c>
      <c r="R112" s="12"/>
    </row>
    <row r="113" customFormat="false" ht="15" hidden="false" customHeight="true" outlineLevel="0" collapsed="false">
      <c r="A113" s="6" t="s">
        <v>684</v>
      </c>
      <c r="B113" s="6" t="s">
        <v>104</v>
      </c>
      <c r="C113" s="6" t="s">
        <v>685</v>
      </c>
      <c r="D113" s="6" t="s">
        <v>385</v>
      </c>
      <c r="E113" s="13" t="n">
        <v>16793</v>
      </c>
      <c r="F113" s="6" t="n">
        <v>1945</v>
      </c>
      <c r="G113" s="11" t="n">
        <f aca="true">IF(F113="","",YEAR(TODAY())-F113)</f>
        <v>81</v>
      </c>
      <c r="H113" s="11" t="str">
        <f aca="false">IF(C113="","",IF(G113="","Thiếu thông tin",IF(G113&lt;6,"Trẻ em",IF(G113&lt;23,"Học sinh / Sinh viên",IF(G113&lt;60,"Đang đi làm","Nghỉ hưu")))))</f>
        <v>Nghỉ hưu</v>
      </c>
      <c r="I113" s="6"/>
      <c r="J113" s="11" t="str">
        <f aca="false">IF(B113="","",IFERROR(INDEX('Hộ gia đình'!$B$2:$B$2000,MATCH(B113,'Hộ gia đình'!$A$2:$A$2000,0)),"Mã hộ không tồn tại"))</f>
        <v>5 ngõ 78 Lê Thanh Nghị</v>
      </c>
      <c r="K113" s="14" t="s">
        <v>686</v>
      </c>
      <c r="L113" s="14"/>
      <c r="M113" s="6" t="s">
        <v>451</v>
      </c>
      <c r="N113" s="6" t="s">
        <v>388</v>
      </c>
      <c r="O113" s="6" t="s">
        <v>389</v>
      </c>
      <c r="P113" s="6"/>
      <c r="Q113" s="6" t="s">
        <v>391</v>
      </c>
      <c r="R113" s="12" t="s">
        <v>687</v>
      </c>
    </row>
    <row r="114" customFormat="false" ht="15" hidden="false" customHeight="true" outlineLevel="0" collapsed="false">
      <c r="A114" s="6" t="s">
        <v>688</v>
      </c>
      <c r="B114" s="6" t="s">
        <v>104</v>
      </c>
      <c r="C114" s="6" t="s">
        <v>689</v>
      </c>
      <c r="D114" s="6"/>
      <c r="E114" s="13" t="n">
        <v>42527</v>
      </c>
      <c r="F114" s="6" t="n">
        <v>2016</v>
      </c>
      <c r="G114" s="11" t="n">
        <f aca="true">IF(F114="","",YEAR(TODAY())-F114)</f>
        <v>10</v>
      </c>
      <c r="H114" s="11" t="str">
        <f aca="false">IF(C114="","",IF(G114="","Thiếu thông tin",IF(G114&lt;6,"Trẻ em",IF(G114&lt;23,"Học sinh / Sinh viên",IF(G114&lt;60,"Đang đi làm","Nghỉ hưu")))))</f>
        <v>Học sinh / Sinh viên</v>
      </c>
      <c r="I114" s="6"/>
      <c r="J114" s="11" t="str">
        <f aca="false">IF(B114="","",IFERROR(INDEX('Hộ gia đình'!$B$2:$B$2000,MATCH(B114,'Hộ gia đình'!$A$2:$A$2000,0)),"Mã hộ không tồn tại"))</f>
        <v>5 ngõ 78 Lê Thanh Nghị</v>
      </c>
      <c r="K114" s="14"/>
      <c r="L114" s="14"/>
      <c r="M114" s="6"/>
      <c r="N114" s="6" t="s">
        <v>395</v>
      </c>
      <c r="O114" s="6" t="s">
        <v>389</v>
      </c>
      <c r="P114" s="6"/>
      <c r="Q114" s="6" t="s">
        <v>396</v>
      </c>
      <c r="R114" s="12"/>
    </row>
    <row r="115" customFormat="false" ht="15" hidden="false" customHeight="true" outlineLevel="0" collapsed="false">
      <c r="A115" s="6" t="s">
        <v>690</v>
      </c>
      <c r="B115" s="6" t="s">
        <v>104</v>
      </c>
      <c r="C115" s="6" t="s">
        <v>691</v>
      </c>
      <c r="D115" s="6"/>
      <c r="E115" s="13"/>
      <c r="F115" s="6" t="n">
        <v>1975</v>
      </c>
      <c r="G115" s="11" t="n">
        <f aca="true">IF(F115="","",YEAR(TODAY())-F115)</f>
        <v>51</v>
      </c>
      <c r="H115" s="11" t="str">
        <f aca="false">IF(C115="","",IF(G115="","Thiếu thông tin",IF(G115&lt;6,"Trẻ em",IF(G115&lt;23,"Học sinh / Sinh viên",IF(G115&lt;60,"Đang đi làm","Nghỉ hưu")))))</f>
        <v>Đang đi làm</v>
      </c>
      <c r="I115" s="6"/>
      <c r="J115" s="11" t="str">
        <f aca="false">IF(B115="","",IFERROR(INDEX('Hộ gia đình'!$B$2:$B$2000,MATCH(B115,'Hộ gia đình'!$A$2:$A$2000,0)),"Mã hộ không tồn tại"))</f>
        <v>5 ngõ 78 Lê Thanh Nghị</v>
      </c>
      <c r="K115" s="14"/>
      <c r="L115" s="14"/>
      <c r="M115" s="6"/>
      <c r="N115" s="6" t="s">
        <v>395</v>
      </c>
      <c r="O115" s="6" t="s">
        <v>389</v>
      </c>
      <c r="P115" s="6"/>
      <c r="Q115" s="6" t="s">
        <v>396</v>
      </c>
      <c r="R115" s="12"/>
    </row>
    <row r="116" customFormat="false" ht="15" hidden="false" customHeight="true" outlineLevel="0" collapsed="false">
      <c r="A116" s="6" t="s">
        <v>692</v>
      </c>
      <c r="B116" s="6" t="s">
        <v>106</v>
      </c>
      <c r="C116" s="6" t="s">
        <v>693</v>
      </c>
      <c r="D116" s="6" t="s">
        <v>408</v>
      </c>
      <c r="E116" s="13" t="n">
        <v>25267</v>
      </c>
      <c r="F116" s="6" t="n">
        <v>1969</v>
      </c>
      <c r="G116" s="11" t="n">
        <f aca="true">IF(F116="","",YEAR(TODAY())-F116)</f>
        <v>57</v>
      </c>
      <c r="H116" s="11" t="str">
        <f aca="false">IF(C116="","",IF(G116="","Thiếu thông tin",IF(G116&lt;6,"Trẻ em",IF(G116&lt;23,"Học sinh / Sinh viên",IF(G116&lt;60,"Đang đi làm","Nghỉ hưu")))))</f>
        <v>Đang đi làm</v>
      </c>
      <c r="I116" s="6" t="s">
        <v>52</v>
      </c>
      <c r="J116" s="11" t="str">
        <f aca="false">IF(B116="","",IFERROR(INDEX('Hộ gia đình'!$B$2:$B$2000,MATCH(B116,'Hộ gia đình'!$A$2:$A$2000,0)),"Mã hộ không tồn tại"))</f>
        <v>7 ngõ 78 Lê Thanh Nghị</v>
      </c>
      <c r="K116" s="14" t="s">
        <v>694</v>
      </c>
      <c r="L116" s="14"/>
      <c r="M116" s="6" t="s">
        <v>459</v>
      </c>
      <c r="N116" s="6" t="s">
        <v>388</v>
      </c>
      <c r="O116" s="6" t="s">
        <v>389</v>
      </c>
      <c r="P116" s="6"/>
      <c r="Q116" s="6" t="s">
        <v>391</v>
      </c>
      <c r="R116" s="12" t="s">
        <v>695</v>
      </c>
    </row>
    <row r="117" customFormat="false" ht="15" hidden="false" customHeight="true" outlineLevel="0" collapsed="false">
      <c r="A117" s="6" t="s">
        <v>696</v>
      </c>
      <c r="B117" s="6" t="s">
        <v>106</v>
      </c>
      <c r="C117" s="6" t="s">
        <v>697</v>
      </c>
      <c r="D117" s="6" t="s">
        <v>385</v>
      </c>
      <c r="E117" s="13" t="n">
        <v>25808</v>
      </c>
      <c r="F117" s="6" t="n">
        <v>1970</v>
      </c>
      <c r="G117" s="11" t="n">
        <f aca="true">IF(F117="","",YEAR(TODAY())-F117)</f>
        <v>56</v>
      </c>
      <c r="H117" s="11" t="str">
        <f aca="false">IF(C117="","",IF(G117="","Thiếu thông tin",IF(G117&lt;6,"Trẻ em",IF(G117&lt;23,"Học sinh / Sinh viên",IF(G117&lt;60,"Đang đi làm","Nghỉ hưu")))))</f>
        <v>Đang đi làm</v>
      </c>
      <c r="I117" s="6"/>
      <c r="J117" s="11" t="str">
        <f aca="false">IF(B117="","",IFERROR(INDEX('Hộ gia đình'!$B$2:$B$2000,MATCH(B117,'Hộ gia đình'!$A$2:$A$2000,0)),"Mã hộ không tồn tại"))</f>
        <v>7 ngõ 78 Lê Thanh Nghị</v>
      </c>
      <c r="K117" s="14" t="s">
        <v>698</v>
      </c>
      <c r="L117" s="14"/>
      <c r="M117" s="6" t="s">
        <v>459</v>
      </c>
      <c r="N117" s="6" t="s">
        <v>388</v>
      </c>
      <c r="O117" s="6" t="s">
        <v>389</v>
      </c>
      <c r="P117" s="6"/>
      <c r="Q117" s="6" t="s">
        <v>391</v>
      </c>
      <c r="R117" s="12" t="s">
        <v>699</v>
      </c>
    </row>
    <row r="118" customFormat="false" ht="15" hidden="false" customHeight="true" outlineLevel="0" collapsed="false">
      <c r="A118" s="6" t="s">
        <v>700</v>
      </c>
      <c r="B118" s="6" t="s">
        <v>106</v>
      </c>
      <c r="C118" s="6" t="s">
        <v>701</v>
      </c>
      <c r="D118" s="6" t="s">
        <v>408</v>
      </c>
      <c r="E118" s="13" t="n">
        <v>35447</v>
      </c>
      <c r="F118" s="6" t="n">
        <v>1997</v>
      </c>
      <c r="G118" s="11" t="n">
        <f aca="true">IF(F118="","",YEAR(TODAY())-F118)</f>
        <v>29</v>
      </c>
      <c r="H118" s="11" t="str">
        <f aca="false">IF(C118="","",IF(G118="","Thiếu thông tin",IF(G118&lt;6,"Trẻ em",IF(G118&lt;23,"Học sinh / Sinh viên",IF(G118&lt;60,"Đang đi làm","Nghỉ hưu")))))</f>
        <v>Đang đi làm</v>
      </c>
      <c r="I118" s="6"/>
      <c r="J118" s="11" t="str">
        <f aca="false">IF(B118="","",IFERROR(INDEX('Hộ gia đình'!$B$2:$B$2000,MATCH(B118,'Hộ gia đình'!$A$2:$A$2000,0)),"Mã hộ không tồn tại"))</f>
        <v>7 ngõ 78 Lê Thanh Nghị</v>
      </c>
      <c r="K118" s="14" t="s">
        <v>702</v>
      </c>
      <c r="L118" s="14"/>
      <c r="M118" s="6" t="s">
        <v>459</v>
      </c>
      <c r="N118" s="6" t="s">
        <v>388</v>
      </c>
      <c r="O118" s="6" t="s">
        <v>389</v>
      </c>
      <c r="P118" s="6"/>
      <c r="Q118" s="6" t="s">
        <v>583</v>
      </c>
      <c r="R118" s="12"/>
    </row>
    <row r="119" customFormat="false" ht="15" hidden="false" customHeight="true" outlineLevel="0" collapsed="false">
      <c r="A119" s="6" t="s">
        <v>703</v>
      </c>
      <c r="B119" s="6" t="s">
        <v>106</v>
      </c>
      <c r="C119" s="6" t="s">
        <v>704</v>
      </c>
      <c r="D119" s="6"/>
      <c r="E119" s="13"/>
      <c r="F119" s="6" t="n">
        <v>1982</v>
      </c>
      <c r="G119" s="11" t="n">
        <f aca="true">IF(F119="","",YEAR(TODAY())-F119)</f>
        <v>44</v>
      </c>
      <c r="H119" s="11" t="str">
        <f aca="false">IF(C119="","",IF(G119="","Thiếu thông tin",IF(G119&lt;6,"Trẻ em",IF(G119&lt;23,"Học sinh / Sinh viên",IF(G119&lt;60,"Đang đi làm","Nghỉ hưu")))))</f>
        <v>Đang đi làm</v>
      </c>
      <c r="I119" s="6"/>
      <c r="J119" s="11" t="str">
        <f aca="false">IF(B119="","",IFERROR(INDEX('Hộ gia đình'!$B$2:$B$2000,MATCH(B119,'Hộ gia đình'!$A$2:$A$2000,0)),"Mã hộ không tồn tại"))</f>
        <v>7 ngõ 78 Lê Thanh Nghị</v>
      </c>
      <c r="K119" s="14"/>
      <c r="L119" s="14"/>
      <c r="M119" s="6"/>
      <c r="N119" s="6" t="s">
        <v>395</v>
      </c>
      <c r="O119" s="6" t="s">
        <v>389</v>
      </c>
      <c r="P119" s="6"/>
      <c r="Q119" s="6" t="s">
        <v>396</v>
      </c>
      <c r="R119" s="12"/>
    </row>
    <row r="120" customFormat="false" ht="15" hidden="false" customHeight="true" outlineLevel="0" collapsed="false">
      <c r="A120" s="6" t="s">
        <v>705</v>
      </c>
      <c r="B120" s="6" t="s">
        <v>106</v>
      </c>
      <c r="C120" s="6" t="s">
        <v>706</v>
      </c>
      <c r="D120" s="6" t="s">
        <v>385</v>
      </c>
      <c r="E120" s="13" t="n">
        <v>37691</v>
      </c>
      <c r="F120" s="6" t="n">
        <v>2003</v>
      </c>
      <c r="G120" s="11" t="n">
        <f aca="true">IF(F120="","",YEAR(TODAY())-F120)</f>
        <v>23</v>
      </c>
      <c r="H120" s="11" t="str">
        <f aca="false">IF(C120="","",IF(G120="","Thiếu thông tin",IF(G120&lt;6,"Trẻ em",IF(G120&lt;23,"Học sinh / Sinh viên",IF(G120&lt;60,"Đang đi làm","Nghỉ hưu")))))</f>
        <v>Đang đi làm</v>
      </c>
      <c r="I120" s="6"/>
      <c r="J120" s="11" t="str">
        <f aca="false">IF(B120="","",IFERROR(INDEX('Hộ gia đình'!$B$2:$B$2000,MATCH(B120,'Hộ gia đình'!$A$2:$A$2000,0)),"Mã hộ không tồn tại"))</f>
        <v>7 ngõ 78 Lê Thanh Nghị</v>
      </c>
      <c r="K120" s="14" t="s">
        <v>707</v>
      </c>
      <c r="L120" s="14"/>
      <c r="M120" s="6" t="s">
        <v>422</v>
      </c>
      <c r="N120" s="6" t="s">
        <v>388</v>
      </c>
      <c r="O120" s="6" t="s">
        <v>389</v>
      </c>
      <c r="P120" s="6"/>
      <c r="Q120" s="6" t="s">
        <v>583</v>
      </c>
      <c r="R120" s="12"/>
    </row>
    <row r="121" customFormat="false" ht="15" hidden="false" customHeight="true" outlineLevel="0" collapsed="false">
      <c r="A121" s="6" t="s">
        <v>708</v>
      </c>
      <c r="B121" s="6" t="s">
        <v>108</v>
      </c>
      <c r="C121" s="6" t="s">
        <v>709</v>
      </c>
      <c r="D121" s="6" t="s">
        <v>385</v>
      </c>
      <c r="E121" s="13" t="n">
        <v>17212</v>
      </c>
      <c r="F121" s="6" t="n">
        <v>1947</v>
      </c>
      <c r="G121" s="11" t="n">
        <f aca="true">IF(F121="","",YEAR(TODAY())-F121)</f>
        <v>79</v>
      </c>
      <c r="H121" s="11" t="str">
        <f aca="false">IF(C121="","",IF(G121="","Thiếu thông tin",IF(G121&lt;6,"Trẻ em",IF(G121&lt;23,"Học sinh / Sinh viên",IF(G121&lt;60,"Đang đi làm","Nghỉ hưu")))))</f>
        <v>Nghỉ hưu</v>
      </c>
      <c r="I121" s="6" t="s">
        <v>52</v>
      </c>
      <c r="J121" s="11" t="str">
        <f aca="false">IF(B121="","",IFERROR(INDEX('Hộ gia đình'!$B$2:$B$2000,MATCH(B121,'Hộ gia đình'!$A$2:$A$2000,0)),"Mã hộ không tồn tại"))</f>
        <v>9 ngõ 78 Lê Thanh Nghị</v>
      </c>
      <c r="K121" s="14" t="s">
        <v>710</v>
      </c>
      <c r="L121" s="14"/>
      <c r="M121" s="6" t="s">
        <v>387</v>
      </c>
      <c r="N121" s="6" t="s">
        <v>388</v>
      </c>
      <c r="O121" s="6" t="s">
        <v>389</v>
      </c>
      <c r="P121" s="6" t="s">
        <v>500</v>
      </c>
      <c r="Q121" s="6" t="s">
        <v>391</v>
      </c>
      <c r="R121" s="12" t="s">
        <v>711</v>
      </c>
    </row>
    <row r="122" customFormat="false" ht="15" hidden="false" customHeight="true" outlineLevel="0" collapsed="false">
      <c r="A122" s="6" t="s">
        <v>712</v>
      </c>
      <c r="B122" s="6" t="s">
        <v>108</v>
      </c>
      <c r="C122" s="6" t="s">
        <v>713</v>
      </c>
      <c r="D122" s="6" t="s">
        <v>408</v>
      </c>
      <c r="E122" s="13" t="n">
        <v>18932</v>
      </c>
      <c r="F122" s="6" t="n">
        <v>1951</v>
      </c>
      <c r="G122" s="11" t="n">
        <f aca="true">IF(F122="","",YEAR(TODAY())-F122)</f>
        <v>75</v>
      </c>
      <c r="H122" s="11" t="str">
        <f aca="false">IF(C122="","",IF(G122="","Thiếu thông tin",IF(G122&lt;6,"Trẻ em",IF(G122&lt;23,"Học sinh / Sinh viên",IF(G122&lt;60,"Đang đi làm","Nghỉ hưu")))))</f>
        <v>Nghỉ hưu</v>
      </c>
      <c r="I122" s="6"/>
      <c r="J122" s="11" t="str">
        <f aca="false">IF(B122="","",IFERROR(INDEX('Hộ gia đình'!$B$2:$B$2000,MATCH(B122,'Hộ gia đình'!$A$2:$A$2000,0)),"Mã hộ không tồn tại"))</f>
        <v>9 ngõ 78 Lê Thanh Nghị</v>
      </c>
      <c r="K122" s="14" t="s">
        <v>714</v>
      </c>
      <c r="L122" s="14"/>
      <c r="M122" s="6" t="s">
        <v>387</v>
      </c>
      <c r="N122" s="6" t="s">
        <v>388</v>
      </c>
      <c r="O122" s="6" t="s">
        <v>389</v>
      </c>
      <c r="P122" s="6"/>
      <c r="Q122" s="6" t="s">
        <v>391</v>
      </c>
      <c r="R122" s="12" t="s">
        <v>715</v>
      </c>
    </row>
    <row r="123" customFormat="false" ht="15" hidden="false" customHeight="true" outlineLevel="0" collapsed="false">
      <c r="A123" s="6" t="s">
        <v>716</v>
      </c>
      <c r="B123" s="6" t="s">
        <v>108</v>
      </c>
      <c r="C123" s="6" t="s">
        <v>717</v>
      </c>
      <c r="D123" s="6" t="s">
        <v>385</v>
      </c>
      <c r="E123" s="13" t="n">
        <v>28378</v>
      </c>
      <c r="F123" s="6" t="n">
        <v>1977</v>
      </c>
      <c r="G123" s="11" t="n">
        <f aca="true">IF(F123="","",YEAR(TODAY())-F123)</f>
        <v>49</v>
      </c>
      <c r="H123" s="11" t="str">
        <f aca="false">IF(C123="","",IF(G123="","Thiếu thông tin",IF(G123&lt;6,"Trẻ em",IF(G123&lt;23,"Học sinh / Sinh viên",IF(G123&lt;60,"Đang đi làm","Nghỉ hưu")))))</f>
        <v>Đang đi làm</v>
      </c>
      <c r="I123" s="6"/>
      <c r="J123" s="11" t="str">
        <f aca="false">IF(B123="","",IFERROR(INDEX('Hộ gia đình'!$B$2:$B$2000,MATCH(B123,'Hộ gia đình'!$A$2:$A$2000,0)),"Mã hộ không tồn tại"))</f>
        <v>9 ngõ 78 Lê Thanh Nghị</v>
      </c>
      <c r="K123" s="14" t="s">
        <v>718</v>
      </c>
      <c r="L123" s="14"/>
      <c r="M123" s="6" t="s">
        <v>459</v>
      </c>
      <c r="N123" s="6" t="s">
        <v>388</v>
      </c>
      <c r="O123" s="6" t="s">
        <v>389</v>
      </c>
      <c r="P123" s="6"/>
      <c r="Q123" s="6" t="s">
        <v>391</v>
      </c>
      <c r="R123" s="12" t="s">
        <v>719</v>
      </c>
    </row>
    <row r="124" customFormat="false" ht="15" hidden="false" customHeight="true" outlineLevel="0" collapsed="false">
      <c r="A124" s="6" t="s">
        <v>720</v>
      </c>
      <c r="B124" s="6" t="s">
        <v>108</v>
      </c>
      <c r="C124" s="6" t="s">
        <v>721</v>
      </c>
      <c r="D124" s="6"/>
      <c r="E124" s="13"/>
      <c r="F124" s="6" t="n">
        <v>1983</v>
      </c>
      <c r="G124" s="11" t="n">
        <f aca="true">IF(F124="","",YEAR(TODAY())-F124)</f>
        <v>43</v>
      </c>
      <c r="H124" s="11" t="str">
        <f aca="false">IF(C124="","",IF(G124="","Thiếu thông tin",IF(G124&lt;6,"Trẻ em",IF(G124&lt;23,"Học sinh / Sinh viên",IF(G124&lt;60,"Đang đi làm","Nghỉ hưu")))))</f>
        <v>Đang đi làm</v>
      </c>
      <c r="I124" s="6"/>
      <c r="J124" s="11" t="str">
        <f aca="false">IF(B124="","",IFERROR(INDEX('Hộ gia đình'!$B$2:$B$2000,MATCH(B124,'Hộ gia đình'!$A$2:$A$2000,0)),"Mã hộ không tồn tại"))</f>
        <v>9 ngõ 78 Lê Thanh Nghị</v>
      </c>
      <c r="K124" s="14"/>
      <c r="L124" s="14"/>
      <c r="M124" s="6"/>
      <c r="N124" s="6" t="s">
        <v>395</v>
      </c>
      <c r="O124" s="6" t="s">
        <v>389</v>
      </c>
      <c r="P124" s="6"/>
      <c r="Q124" s="6" t="s">
        <v>396</v>
      </c>
      <c r="R124" s="12"/>
    </row>
    <row r="125" customFormat="false" ht="15" hidden="false" customHeight="true" outlineLevel="0" collapsed="false">
      <c r="A125" s="6" t="s">
        <v>722</v>
      </c>
      <c r="B125" s="6" t="s">
        <v>108</v>
      </c>
      <c r="C125" s="6" t="s">
        <v>723</v>
      </c>
      <c r="D125" s="6"/>
      <c r="E125" s="13"/>
      <c r="F125" s="6" t="n">
        <v>2011</v>
      </c>
      <c r="G125" s="11" t="n">
        <f aca="true">IF(F125="","",YEAR(TODAY())-F125)</f>
        <v>15</v>
      </c>
      <c r="H125" s="11" t="str">
        <f aca="false">IF(C125="","",IF(G125="","Thiếu thông tin",IF(G125&lt;6,"Trẻ em",IF(G125&lt;23,"Học sinh / Sinh viên",IF(G125&lt;60,"Đang đi làm","Nghỉ hưu")))))</f>
        <v>Học sinh / Sinh viên</v>
      </c>
      <c r="I125" s="6"/>
      <c r="J125" s="11" t="str">
        <f aca="false">IF(B125="","",IFERROR(INDEX('Hộ gia đình'!$B$2:$B$2000,MATCH(B125,'Hộ gia đình'!$A$2:$A$2000,0)),"Mã hộ không tồn tại"))</f>
        <v>9 ngõ 78 Lê Thanh Nghị</v>
      </c>
      <c r="K125" s="14"/>
      <c r="L125" s="14"/>
      <c r="M125" s="6"/>
      <c r="N125" s="6" t="s">
        <v>395</v>
      </c>
      <c r="O125" s="6" t="s">
        <v>389</v>
      </c>
      <c r="P125" s="6"/>
      <c r="Q125" s="6" t="s">
        <v>403</v>
      </c>
      <c r="R125" s="12"/>
    </row>
    <row r="126" customFormat="false" ht="15" hidden="false" customHeight="true" outlineLevel="0" collapsed="false">
      <c r="A126" s="6" t="s">
        <v>724</v>
      </c>
      <c r="B126" s="6" t="s">
        <v>108</v>
      </c>
      <c r="C126" s="6" t="s">
        <v>725</v>
      </c>
      <c r="D126" s="6"/>
      <c r="E126" s="13"/>
      <c r="F126" s="6" t="n">
        <v>2015</v>
      </c>
      <c r="G126" s="11" t="n">
        <f aca="true">IF(F126="","",YEAR(TODAY())-F126)</f>
        <v>11</v>
      </c>
      <c r="H126" s="11" t="str">
        <f aca="false">IF(C126="","",IF(G126="","Thiếu thông tin",IF(G126&lt;6,"Trẻ em",IF(G126&lt;23,"Học sinh / Sinh viên",IF(G126&lt;60,"Đang đi làm","Nghỉ hưu")))))</f>
        <v>Học sinh / Sinh viên</v>
      </c>
      <c r="I126" s="6"/>
      <c r="J126" s="11" t="str">
        <f aca="false">IF(B126="","",IFERROR(INDEX('Hộ gia đình'!$B$2:$B$2000,MATCH(B126,'Hộ gia đình'!$A$2:$A$2000,0)),"Mã hộ không tồn tại"))</f>
        <v>9 ngõ 78 Lê Thanh Nghị</v>
      </c>
      <c r="K126" s="14"/>
      <c r="L126" s="14"/>
      <c r="M126" s="6"/>
      <c r="N126" s="6" t="s">
        <v>395</v>
      </c>
      <c r="O126" s="6" t="s">
        <v>389</v>
      </c>
      <c r="P126" s="6"/>
      <c r="Q126" s="6" t="s">
        <v>403</v>
      </c>
      <c r="R126" s="12"/>
    </row>
    <row r="127" customFormat="false" ht="15" hidden="false" customHeight="true" outlineLevel="0" collapsed="false">
      <c r="A127" s="6" t="s">
        <v>726</v>
      </c>
      <c r="B127" s="6" t="s">
        <v>108</v>
      </c>
      <c r="C127" s="6" t="s">
        <v>727</v>
      </c>
      <c r="D127" s="6"/>
      <c r="E127" s="13"/>
      <c r="F127" s="6" t="n">
        <v>2003</v>
      </c>
      <c r="G127" s="11" t="n">
        <f aca="true">IF(F127="","",YEAR(TODAY())-F127)</f>
        <v>23</v>
      </c>
      <c r="H127" s="11" t="str">
        <f aca="false">IF(C127="","",IF(G127="","Thiếu thông tin",IF(G127&lt;6,"Trẻ em",IF(G127&lt;23,"Học sinh / Sinh viên",IF(G127&lt;60,"Đang đi làm","Nghỉ hưu")))))</f>
        <v>Đang đi làm</v>
      </c>
      <c r="I127" s="6"/>
      <c r="J127" s="11" t="str">
        <f aca="false">IF(B127="","",IFERROR(INDEX('Hộ gia đình'!$B$2:$B$2000,MATCH(B127,'Hộ gia đình'!$A$2:$A$2000,0)),"Mã hộ không tồn tại"))</f>
        <v>9 ngõ 78 Lê Thanh Nghị</v>
      </c>
      <c r="K127" s="14"/>
      <c r="L127" s="14"/>
      <c r="M127" s="6"/>
      <c r="N127" s="6" t="s">
        <v>395</v>
      </c>
      <c r="O127" s="6" t="s">
        <v>389</v>
      </c>
      <c r="P127" s="6"/>
      <c r="Q127" s="6" t="s">
        <v>403</v>
      </c>
      <c r="R127" s="12"/>
    </row>
    <row r="128" customFormat="false" ht="15" hidden="false" customHeight="true" outlineLevel="0" collapsed="false">
      <c r="A128" s="6" t="s">
        <v>728</v>
      </c>
      <c r="B128" s="6" t="s">
        <v>110</v>
      </c>
      <c r="C128" s="6" t="s">
        <v>729</v>
      </c>
      <c r="D128" s="6"/>
      <c r="E128" s="13"/>
      <c r="F128" s="6" t="n">
        <v>1933</v>
      </c>
      <c r="G128" s="11" t="n">
        <f aca="true">IF(F128="","",YEAR(TODAY())-F128)</f>
        <v>93</v>
      </c>
      <c r="H128" s="11" t="str">
        <f aca="false">IF(C128="","",IF(G128="","Thiếu thông tin",IF(G128&lt;6,"Trẻ em",IF(G128&lt;23,"Học sinh / Sinh viên",IF(G128&lt;60,"Đang đi làm","Nghỉ hưu")))))</f>
        <v>Nghỉ hưu</v>
      </c>
      <c r="I128" s="6" t="s">
        <v>52</v>
      </c>
      <c r="J128" s="11" t="str">
        <f aca="false">IF(B128="","",IFERROR(INDEX('Hộ gia đình'!$B$2:$B$2000,MATCH(B128,'Hộ gia đình'!$A$2:$A$2000,0)),"Mã hộ không tồn tại"))</f>
        <v>11 ngõ 78 Lê Thanh Nghị</v>
      </c>
      <c r="K128" s="14"/>
      <c r="L128" s="14"/>
      <c r="M128" s="6"/>
      <c r="N128" s="6" t="s">
        <v>395</v>
      </c>
      <c r="O128" s="6" t="s">
        <v>389</v>
      </c>
      <c r="P128" s="6"/>
      <c r="Q128" s="6" t="s">
        <v>396</v>
      </c>
      <c r="R128" s="12"/>
    </row>
    <row r="129" customFormat="false" ht="15" hidden="false" customHeight="true" outlineLevel="0" collapsed="false">
      <c r="A129" s="6" t="s">
        <v>730</v>
      </c>
      <c r="B129" s="6" t="s">
        <v>110</v>
      </c>
      <c r="C129" s="6" t="s">
        <v>704</v>
      </c>
      <c r="D129" s="6" t="s">
        <v>385</v>
      </c>
      <c r="E129" s="13" t="n">
        <v>32041</v>
      </c>
      <c r="F129" s="6" t="n">
        <v>1987</v>
      </c>
      <c r="G129" s="11" t="n">
        <f aca="true">IF(F129="","",YEAR(TODAY())-F129)</f>
        <v>39</v>
      </c>
      <c r="H129" s="11" t="str">
        <f aca="false">IF(C129="","",IF(G129="","Thiếu thông tin",IF(G129&lt;6,"Trẻ em",IF(G129&lt;23,"Học sinh / Sinh viên",IF(G129&lt;60,"Đang đi làm","Nghỉ hưu")))))</f>
        <v>Đang đi làm</v>
      </c>
      <c r="I129" s="6"/>
      <c r="J129" s="11" t="str">
        <f aca="false">IF(B129="","",IFERROR(INDEX('Hộ gia đình'!$B$2:$B$2000,MATCH(B129,'Hộ gia đình'!$A$2:$A$2000,0)),"Mã hộ không tồn tại"))</f>
        <v>11 ngõ 78 Lê Thanh Nghị</v>
      </c>
      <c r="K129" s="14" t="s">
        <v>731</v>
      </c>
      <c r="L129" s="14"/>
      <c r="M129" s="6" t="s">
        <v>732</v>
      </c>
      <c r="N129" s="6" t="s">
        <v>388</v>
      </c>
      <c r="O129" s="6" t="s">
        <v>389</v>
      </c>
      <c r="P129" s="6"/>
      <c r="Q129" s="6" t="s">
        <v>391</v>
      </c>
      <c r="R129" s="12"/>
    </row>
    <row r="130" customFormat="false" ht="15" hidden="false" customHeight="true" outlineLevel="0" collapsed="false">
      <c r="A130" s="6" t="s">
        <v>733</v>
      </c>
      <c r="B130" s="6" t="s">
        <v>112</v>
      </c>
      <c r="C130" s="6" t="s">
        <v>734</v>
      </c>
      <c r="D130" s="6" t="s">
        <v>385</v>
      </c>
      <c r="E130" s="13" t="n">
        <v>19348</v>
      </c>
      <c r="F130" s="6" t="n">
        <v>1952</v>
      </c>
      <c r="G130" s="11" t="n">
        <f aca="true">IF(F130="","",YEAR(TODAY())-F130)</f>
        <v>74</v>
      </c>
      <c r="H130" s="11" t="str">
        <f aca="false">IF(C130="","",IF(G130="","Thiếu thông tin",IF(G130&lt;6,"Trẻ em",IF(G130&lt;23,"Học sinh / Sinh viên",IF(G130&lt;60,"Đang đi làm","Nghỉ hưu")))))</f>
        <v>Nghỉ hưu</v>
      </c>
      <c r="I130" s="6" t="s">
        <v>52</v>
      </c>
      <c r="J130" s="11" t="str">
        <f aca="false">IF(B130="","",IFERROR(INDEX('Hộ gia đình'!$B$2:$B$2000,MATCH(B130,'Hộ gia đình'!$A$2:$A$2000,0)),"Mã hộ không tồn tại"))</f>
        <v>13 ngõ 78 Lê Thanh Nghị</v>
      </c>
      <c r="K130" s="14" t="s">
        <v>735</v>
      </c>
      <c r="L130" s="14"/>
      <c r="M130" s="6" t="s">
        <v>451</v>
      </c>
      <c r="N130" s="6" t="s">
        <v>388</v>
      </c>
      <c r="O130" s="6" t="s">
        <v>389</v>
      </c>
      <c r="P130" s="6"/>
      <c r="Q130" s="6" t="s">
        <v>391</v>
      </c>
      <c r="R130" s="12" t="s">
        <v>736</v>
      </c>
    </row>
    <row r="131" customFormat="false" ht="15" hidden="false" customHeight="true" outlineLevel="0" collapsed="false">
      <c r="A131" s="6" t="s">
        <v>737</v>
      </c>
      <c r="B131" s="6" t="s">
        <v>112</v>
      </c>
      <c r="C131" s="6" t="s">
        <v>738</v>
      </c>
      <c r="D131" s="6" t="s">
        <v>385</v>
      </c>
      <c r="E131" s="13"/>
      <c r="F131" s="6" t="n">
        <v>1971</v>
      </c>
      <c r="G131" s="11" t="n">
        <f aca="true">IF(F131="","",YEAR(TODAY())-F131)</f>
        <v>55</v>
      </c>
      <c r="H131" s="11" t="str">
        <f aca="false">IF(C131="","",IF(G131="","Thiếu thông tin",IF(G131&lt;6,"Trẻ em",IF(G131&lt;23,"Học sinh / Sinh viên",IF(G131&lt;60,"Đang đi làm","Nghỉ hưu")))))</f>
        <v>Đang đi làm</v>
      </c>
      <c r="I131" s="6"/>
      <c r="J131" s="11" t="str">
        <f aca="false">IF(B131="","",IFERROR(INDEX('Hộ gia đình'!$B$2:$B$2000,MATCH(B131,'Hộ gia đình'!$A$2:$A$2000,0)),"Mã hộ không tồn tại"))</f>
        <v>13 ngõ 78 Lê Thanh Nghị</v>
      </c>
      <c r="K131" s="14" t="s">
        <v>739</v>
      </c>
      <c r="L131" s="14"/>
      <c r="M131" s="6" t="s">
        <v>459</v>
      </c>
      <c r="N131" s="6" t="s">
        <v>388</v>
      </c>
      <c r="O131" s="6" t="s">
        <v>389</v>
      </c>
      <c r="P131" s="6"/>
      <c r="Q131" s="6" t="s">
        <v>391</v>
      </c>
      <c r="R131" s="12" t="s">
        <v>740</v>
      </c>
    </row>
    <row r="132" customFormat="false" ht="15" hidden="false" customHeight="true" outlineLevel="0" collapsed="false">
      <c r="A132" s="6" t="s">
        <v>741</v>
      </c>
      <c r="B132" s="6" t="s">
        <v>114</v>
      </c>
      <c r="C132" s="6" t="s">
        <v>742</v>
      </c>
      <c r="D132" s="6"/>
      <c r="E132" s="13"/>
      <c r="F132" s="6" t="n">
        <v>1972</v>
      </c>
      <c r="G132" s="11" t="n">
        <f aca="true">IF(F132="","",YEAR(TODAY())-F132)</f>
        <v>54</v>
      </c>
      <c r="H132" s="11" t="str">
        <f aca="false">IF(C132="","",IF(G132="","Thiếu thông tin",IF(G132&lt;6,"Trẻ em",IF(G132&lt;23,"Học sinh / Sinh viên",IF(G132&lt;60,"Đang đi làm","Nghỉ hưu")))))</f>
        <v>Đang đi làm</v>
      </c>
      <c r="I132" s="6" t="s">
        <v>52</v>
      </c>
      <c r="J132" s="11" t="str">
        <f aca="false">IF(B132="","",IFERROR(INDEX('Hộ gia đình'!$B$2:$B$2000,MATCH(B132,'Hộ gia đình'!$A$2:$A$2000,0)),"Mã hộ không tồn tại"))</f>
        <v>15 ngõ 78 Lê Thanh Nghị</v>
      </c>
      <c r="K132" s="14"/>
      <c r="L132" s="14"/>
      <c r="M132" s="6"/>
      <c r="N132" s="6" t="s">
        <v>395</v>
      </c>
      <c r="O132" s="6" t="s">
        <v>389</v>
      </c>
      <c r="P132" s="6"/>
      <c r="Q132" s="6" t="s">
        <v>396</v>
      </c>
      <c r="R132" s="12"/>
    </row>
    <row r="133" customFormat="false" ht="15" hidden="false" customHeight="true" outlineLevel="0" collapsed="false">
      <c r="A133" s="6" t="s">
        <v>743</v>
      </c>
      <c r="B133" s="6" t="s">
        <v>114</v>
      </c>
      <c r="C133" s="6" t="s">
        <v>744</v>
      </c>
      <c r="D133" s="6"/>
      <c r="E133" s="13"/>
      <c r="F133" s="6" t="n">
        <v>1977</v>
      </c>
      <c r="G133" s="11" t="n">
        <f aca="true">IF(F133="","",YEAR(TODAY())-F133)</f>
        <v>49</v>
      </c>
      <c r="H133" s="11" t="str">
        <f aca="false">IF(C133="","",IF(G133="","Thiếu thông tin",IF(G133&lt;6,"Trẻ em",IF(G133&lt;23,"Học sinh / Sinh viên",IF(G133&lt;60,"Đang đi làm","Nghỉ hưu")))))</f>
        <v>Đang đi làm</v>
      </c>
      <c r="I133" s="6"/>
      <c r="J133" s="11" t="str">
        <f aca="false">IF(B133="","",IFERROR(INDEX('Hộ gia đình'!$B$2:$B$2000,MATCH(B133,'Hộ gia đình'!$A$2:$A$2000,0)),"Mã hộ không tồn tại"))</f>
        <v>15 ngõ 78 Lê Thanh Nghị</v>
      </c>
      <c r="K133" s="14"/>
      <c r="L133" s="14"/>
      <c r="M133" s="6"/>
      <c r="N133" s="6" t="s">
        <v>395</v>
      </c>
      <c r="O133" s="6" t="s">
        <v>389</v>
      </c>
      <c r="P133" s="6" t="s">
        <v>745</v>
      </c>
      <c r="Q133" s="6" t="s">
        <v>396</v>
      </c>
      <c r="R133" s="12"/>
    </row>
    <row r="134" customFormat="false" ht="15" hidden="false" customHeight="true" outlineLevel="0" collapsed="false">
      <c r="A134" s="6" t="s">
        <v>746</v>
      </c>
      <c r="B134" s="6" t="s">
        <v>114</v>
      </c>
      <c r="C134" s="6" t="s">
        <v>747</v>
      </c>
      <c r="D134" s="6"/>
      <c r="E134" s="13"/>
      <c r="F134" s="6" t="n">
        <v>2006</v>
      </c>
      <c r="G134" s="11" t="n">
        <f aca="true">IF(F134="","",YEAR(TODAY())-F134)</f>
        <v>20</v>
      </c>
      <c r="H134" s="11" t="str">
        <f aca="false">IF(C134="","",IF(G134="","Thiếu thông tin",IF(G134&lt;6,"Trẻ em",IF(G134&lt;23,"Học sinh / Sinh viên",IF(G134&lt;60,"Đang đi làm","Nghỉ hưu")))))</f>
        <v>Học sinh / Sinh viên</v>
      </c>
      <c r="I134" s="6"/>
      <c r="J134" s="11" t="str">
        <f aca="false">IF(B134="","",IFERROR(INDEX('Hộ gia đình'!$B$2:$B$2000,MATCH(B134,'Hộ gia đình'!$A$2:$A$2000,0)),"Mã hộ không tồn tại"))</f>
        <v>15 ngõ 78 Lê Thanh Nghị</v>
      </c>
      <c r="K134" s="14"/>
      <c r="L134" s="14"/>
      <c r="M134" s="6"/>
      <c r="N134" s="6" t="s">
        <v>395</v>
      </c>
      <c r="O134" s="6" t="s">
        <v>389</v>
      </c>
      <c r="P134" s="6" t="s">
        <v>748</v>
      </c>
      <c r="Q134" s="6" t="s">
        <v>396</v>
      </c>
      <c r="R134" s="12"/>
    </row>
    <row r="135" customFormat="false" ht="15" hidden="false" customHeight="true" outlineLevel="0" collapsed="false">
      <c r="A135" s="6" t="s">
        <v>749</v>
      </c>
      <c r="B135" s="6" t="s">
        <v>114</v>
      </c>
      <c r="C135" s="6" t="s">
        <v>750</v>
      </c>
      <c r="D135" s="6"/>
      <c r="E135" s="13"/>
      <c r="F135" s="6" t="n">
        <v>2009</v>
      </c>
      <c r="G135" s="11" t="n">
        <f aca="true">IF(F135="","",YEAR(TODAY())-F135)</f>
        <v>17</v>
      </c>
      <c r="H135" s="11" t="str">
        <f aca="false">IF(C135="","",IF(G135="","Thiếu thông tin",IF(G135&lt;6,"Trẻ em",IF(G135&lt;23,"Học sinh / Sinh viên",IF(G135&lt;60,"Đang đi làm","Nghỉ hưu")))))</f>
        <v>Học sinh / Sinh viên</v>
      </c>
      <c r="I135" s="6"/>
      <c r="J135" s="11" t="str">
        <f aca="false">IF(B135="","",IFERROR(INDEX('Hộ gia đình'!$B$2:$B$2000,MATCH(B135,'Hộ gia đình'!$A$2:$A$2000,0)),"Mã hộ không tồn tại"))</f>
        <v>15 ngõ 78 Lê Thanh Nghị</v>
      </c>
      <c r="K135" s="14"/>
      <c r="L135" s="14"/>
      <c r="M135" s="6"/>
      <c r="N135" s="6" t="s">
        <v>395</v>
      </c>
      <c r="O135" s="6" t="s">
        <v>389</v>
      </c>
      <c r="P135" s="6"/>
      <c r="Q135" s="6" t="s">
        <v>396</v>
      </c>
      <c r="R135" s="12"/>
    </row>
    <row r="136" customFormat="false" ht="15" hidden="false" customHeight="true" outlineLevel="0" collapsed="false">
      <c r="A136" s="6" t="s">
        <v>751</v>
      </c>
      <c r="B136" s="6" t="s">
        <v>114</v>
      </c>
      <c r="C136" s="6" t="s">
        <v>752</v>
      </c>
      <c r="D136" s="6" t="s">
        <v>385</v>
      </c>
      <c r="E136" s="13" t="n">
        <v>29857</v>
      </c>
      <c r="F136" s="6" t="n">
        <v>1981</v>
      </c>
      <c r="G136" s="11" t="n">
        <f aca="true">IF(F136="","",YEAR(TODAY())-F136)</f>
        <v>45</v>
      </c>
      <c r="H136" s="11" t="str">
        <f aca="false">IF(C136="","",IF(G136="","Thiếu thông tin",IF(G136&lt;6,"Trẻ em",IF(G136&lt;23,"Học sinh / Sinh viên",IF(G136&lt;60,"Đang đi làm","Nghỉ hưu")))))</f>
        <v>Đang đi làm</v>
      </c>
      <c r="I136" s="6"/>
      <c r="J136" s="11" t="str">
        <f aca="false">IF(B136="","",IFERROR(INDEX('Hộ gia đình'!$B$2:$B$2000,MATCH(B136,'Hộ gia đình'!$A$2:$A$2000,0)),"Mã hộ không tồn tại"))</f>
        <v>15 ngõ 78 Lê Thanh Nghị</v>
      </c>
      <c r="K136" s="14" t="s">
        <v>753</v>
      </c>
      <c r="L136" s="14"/>
      <c r="M136" s="6" t="s">
        <v>754</v>
      </c>
      <c r="N136" s="6" t="s">
        <v>388</v>
      </c>
      <c r="O136" s="6" t="s">
        <v>389</v>
      </c>
      <c r="P136" s="6"/>
      <c r="Q136" s="6" t="s">
        <v>410</v>
      </c>
      <c r="R136" s="12"/>
    </row>
    <row r="137" customFormat="false" ht="15" hidden="false" customHeight="true" outlineLevel="0" collapsed="false">
      <c r="A137" s="6" t="s">
        <v>755</v>
      </c>
      <c r="B137" s="6" t="s">
        <v>114</v>
      </c>
      <c r="C137" s="6" t="s">
        <v>756</v>
      </c>
      <c r="D137" s="6" t="s">
        <v>408</v>
      </c>
      <c r="E137" s="13" t="n">
        <v>39055</v>
      </c>
      <c r="F137" s="6" t="n">
        <v>2006</v>
      </c>
      <c r="G137" s="11" t="n">
        <f aca="true">IF(F137="","",YEAR(TODAY())-F137)</f>
        <v>20</v>
      </c>
      <c r="H137" s="11" t="str">
        <f aca="false">IF(C137="","",IF(G137="","Thiếu thông tin",IF(G137&lt;6,"Trẻ em",IF(G137&lt;23,"Học sinh / Sinh viên",IF(G137&lt;60,"Đang đi làm","Nghỉ hưu")))))</f>
        <v>Học sinh / Sinh viên</v>
      </c>
      <c r="I137" s="6"/>
      <c r="J137" s="11" t="str">
        <f aca="false">IF(B137="","",IFERROR(INDEX('Hộ gia đình'!$B$2:$B$2000,MATCH(B137,'Hộ gia đình'!$A$2:$A$2000,0)),"Mã hộ không tồn tại"))</f>
        <v>15 ngõ 78 Lê Thanh Nghị</v>
      </c>
      <c r="K137" s="14" t="s">
        <v>757</v>
      </c>
      <c r="L137" s="14"/>
      <c r="M137" s="6" t="s">
        <v>422</v>
      </c>
      <c r="N137" s="6" t="s">
        <v>388</v>
      </c>
      <c r="O137" s="6" t="s">
        <v>389</v>
      </c>
      <c r="P137" s="6"/>
      <c r="Q137" s="6" t="s">
        <v>758</v>
      </c>
      <c r="R137" s="12"/>
    </row>
    <row r="138" customFormat="false" ht="15" hidden="false" customHeight="true" outlineLevel="0" collapsed="false">
      <c r="A138" s="6" t="s">
        <v>759</v>
      </c>
      <c r="B138" s="6" t="s">
        <v>116</v>
      </c>
      <c r="C138" s="6" t="s">
        <v>760</v>
      </c>
      <c r="D138" s="6"/>
      <c r="E138" s="13"/>
      <c r="F138" s="6" t="n">
        <v>1943</v>
      </c>
      <c r="G138" s="11" t="n">
        <f aca="true">IF(F138="","",YEAR(TODAY())-F138)</f>
        <v>83</v>
      </c>
      <c r="H138" s="11" t="str">
        <f aca="false">IF(C138="","",IF(G138="","Thiếu thông tin",IF(G138&lt;6,"Trẻ em",IF(G138&lt;23,"Học sinh / Sinh viên",IF(G138&lt;60,"Đang đi làm","Nghỉ hưu")))))</f>
        <v>Nghỉ hưu</v>
      </c>
      <c r="I138" s="6" t="s">
        <v>52</v>
      </c>
      <c r="J138" s="11" t="str">
        <f aca="false">IF(B138="","",IFERROR(INDEX('Hộ gia đình'!$B$2:$B$2000,MATCH(B138,'Hộ gia đình'!$A$2:$A$2000,0)),"Mã hộ không tồn tại"))</f>
        <v>15 ngõ 78 Lê Thanh Nghị</v>
      </c>
      <c r="K138" s="14"/>
      <c r="L138" s="14"/>
      <c r="M138" s="6"/>
      <c r="N138" s="6" t="s">
        <v>395</v>
      </c>
      <c r="O138" s="6" t="s">
        <v>389</v>
      </c>
      <c r="P138" s="6" t="s">
        <v>572</v>
      </c>
      <c r="Q138" s="6" t="s">
        <v>396</v>
      </c>
      <c r="R138" s="12" t="s">
        <v>392</v>
      </c>
    </row>
    <row r="139" customFormat="false" ht="15" hidden="false" customHeight="true" outlineLevel="0" collapsed="false">
      <c r="A139" s="6" t="s">
        <v>761</v>
      </c>
      <c r="B139" s="6" t="s">
        <v>117</v>
      </c>
      <c r="C139" s="6" t="s">
        <v>762</v>
      </c>
      <c r="D139" s="6" t="s">
        <v>385</v>
      </c>
      <c r="E139" s="13" t="n">
        <v>26793</v>
      </c>
      <c r="F139" s="6" t="n">
        <v>1973</v>
      </c>
      <c r="G139" s="11" t="n">
        <f aca="true">IF(F139="","",YEAR(TODAY())-F139)</f>
        <v>53</v>
      </c>
      <c r="H139" s="11" t="str">
        <f aca="false">IF(C139="","",IF(G139="","Thiếu thông tin",IF(G139&lt;6,"Trẻ em",IF(G139&lt;23,"Học sinh / Sinh viên",IF(G139&lt;60,"Đang đi làm","Nghỉ hưu")))))</f>
        <v>Đang đi làm</v>
      </c>
      <c r="I139" s="6" t="s">
        <v>52</v>
      </c>
      <c r="J139" s="11" t="str">
        <f aca="false">IF(B139="","",IFERROR(INDEX('Hộ gia đình'!$B$2:$B$2000,MATCH(B139,'Hộ gia đình'!$A$2:$A$2000,0)),"Mã hộ không tồn tại"))</f>
        <v>17 ngõ 78 Lê Thanh Nghị</v>
      </c>
      <c r="K139" s="14" t="s">
        <v>763</v>
      </c>
      <c r="L139" s="14"/>
      <c r="M139" s="6" t="s">
        <v>459</v>
      </c>
      <c r="N139" s="6" t="s">
        <v>388</v>
      </c>
      <c r="O139" s="6" t="s">
        <v>389</v>
      </c>
      <c r="P139" s="6"/>
      <c r="Q139" s="6" t="s">
        <v>391</v>
      </c>
      <c r="R139" s="12"/>
    </row>
    <row r="140" customFormat="false" ht="15" hidden="false" customHeight="true" outlineLevel="0" collapsed="false">
      <c r="A140" s="6" t="s">
        <v>764</v>
      </c>
      <c r="B140" s="6" t="s">
        <v>117</v>
      </c>
      <c r="C140" s="6" t="s">
        <v>765</v>
      </c>
      <c r="D140" s="6" t="s">
        <v>408</v>
      </c>
      <c r="E140" s="13" t="n">
        <v>26650</v>
      </c>
      <c r="F140" s="6" t="n">
        <v>1972</v>
      </c>
      <c r="G140" s="11" t="n">
        <f aca="true">IF(F140="","",YEAR(TODAY())-F140)</f>
        <v>54</v>
      </c>
      <c r="H140" s="11" t="str">
        <f aca="false">IF(C140="","",IF(G140="","Thiếu thông tin",IF(G140&lt;6,"Trẻ em",IF(G140&lt;23,"Học sinh / Sinh viên",IF(G140&lt;60,"Đang đi làm","Nghỉ hưu")))))</f>
        <v>Đang đi làm</v>
      </c>
      <c r="I140" s="6"/>
      <c r="J140" s="11" t="str">
        <f aca="false">IF(B140="","",IFERROR(INDEX('Hộ gia đình'!$B$2:$B$2000,MATCH(B140,'Hộ gia đình'!$A$2:$A$2000,0)),"Mã hộ không tồn tại"))</f>
        <v>17 ngõ 78 Lê Thanh Nghị</v>
      </c>
      <c r="K140" s="14" t="s">
        <v>766</v>
      </c>
      <c r="L140" s="14"/>
      <c r="M140" s="6" t="s">
        <v>459</v>
      </c>
      <c r="N140" s="6" t="s">
        <v>388</v>
      </c>
      <c r="O140" s="6" t="s">
        <v>389</v>
      </c>
      <c r="P140" s="6"/>
      <c r="Q140" s="6" t="s">
        <v>391</v>
      </c>
      <c r="R140" s="12"/>
    </row>
    <row r="141" customFormat="false" ht="15" hidden="false" customHeight="true" outlineLevel="0" collapsed="false">
      <c r="A141" s="6" t="s">
        <v>767</v>
      </c>
      <c r="B141" s="6" t="s">
        <v>117</v>
      </c>
      <c r="C141" s="6" t="s">
        <v>768</v>
      </c>
      <c r="D141" s="6"/>
      <c r="E141" s="13" t="n">
        <v>35829</v>
      </c>
      <c r="F141" s="6" t="n">
        <v>1998</v>
      </c>
      <c r="G141" s="11" t="n">
        <f aca="true">IF(F141="","",YEAR(TODAY())-F141)</f>
        <v>28</v>
      </c>
      <c r="H141" s="11" t="str">
        <f aca="false">IF(C141="","",IF(G141="","Thiếu thông tin",IF(G141&lt;6,"Trẻ em",IF(G141&lt;23,"Học sinh / Sinh viên",IF(G141&lt;60,"Đang đi làm","Nghỉ hưu")))))</f>
        <v>Đang đi làm</v>
      </c>
      <c r="I141" s="6"/>
      <c r="J141" s="11" t="str">
        <f aca="false">IF(B141="","",IFERROR(INDEX('Hộ gia đình'!$B$2:$B$2000,MATCH(B141,'Hộ gia đình'!$A$2:$A$2000,0)),"Mã hộ không tồn tại"))</f>
        <v>17 ngõ 78 Lê Thanh Nghị</v>
      </c>
      <c r="K141" s="14"/>
      <c r="L141" s="14"/>
      <c r="M141" s="6"/>
      <c r="N141" s="6" t="s">
        <v>395</v>
      </c>
      <c r="O141" s="6" t="s">
        <v>389</v>
      </c>
      <c r="P141" s="6"/>
      <c r="Q141" s="6" t="s">
        <v>403</v>
      </c>
      <c r="R141" s="12"/>
    </row>
    <row r="142" customFormat="false" ht="15" hidden="false" customHeight="true" outlineLevel="0" collapsed="false">
      <c r="A142" s="6" t="s">
        <v>769</v>
      </c>
      <c r="B142" s="6" t="s">
        <v>117</v>
      </c>
      <c r="C142" s="6" t="s">
        <v>770</v>
      </c>
      <c r="D142" s="6" t="s">
        <v>385</v>
      </c>
      <c r="E142" s="13" t="n">
        <v>38663</v>
      </c>
      <c r="F142" s="6" t="n">
        <v>2005</v>
      </c>
      <c r="G142" s="11" t="n">
        <f aca="true">IF(F142="","",YEAR(TODAY())-F142)</f>
        <v>21</v>
      </c>
      <c r="H142" s="11" t="str">
        <f aca="false">IF(C142="","",IF(G142="","Thiếu thông tin",IF(G142&lt;6,"Trẻ em",IF(G142&lt;23,"Học sinh / Sinh viên",IF(G142&lt;60,"Đang đi làm","Nghỉ hưu")))))</f>
        <v>Học sinh / Sinh viên</v>
      </c>
      <c r="I142" s="6"/>
      <c r="J142" s="11" t="str">
        <f aca="false">IF(B142="","",IFERROR(INDEX('Hộ gia đình'!$B$2:$B$2000,MATCH(B142,'Hộ gia đình'!$A$2:$A$2000,0)),"Mã hộ không tồn tại"))</f>
        <v>17 ngõ 78 Lê Thanh Nghị</v>
      </c>
      <c r="K142" s="14" t="s">
        <v>771</v>
      </c>
      <c r="L142" s="14"/>
      <c r="M142" s="6" t="s">
        <v>422</v>
      </c>
      <c r="N142" s="6" t="s">
        <v>388</v>
      </c>
      <c r="O142" s="6" t="s">
        <v>389</v>
      </c>
      <c r="P142" s="6"/>
      <c r="Q142" s="6" t="s">
        <v>583</v>
      </c>
      <c r="R142" s="12" t="s">
        <v>772</v>
      </c>
    </row>
    <row r="143" customFormat="false" ht="15" hidden="false" customHeight="true" outlineLevel="0" collapsed="false">
      <c r="A143" s="6" t="s">
        <v>773</v>
      </c>
      <c r="B143" s="6" t="s">
        <v>117</v>
      </c>
      <c r="C143" s="6" t="s">
        <v>774</v>
      </c>
      <c r="D143" s="6" t="s">
        <v>385</v>
      </c>
      <c r="E143" s="13" t="n">
        <v>37246</v>
      </c>
      <c r="F143" s="6" t="n">
        <v>2001</v>
      </c>
      <c r="G143" s="11" t="n">
        <f aca="true">IF(F143="","",YEAR(TODAY())-F143)</f>
        <v>25</v>
      </c>
      <c r="H143" s="11" t="str">
        <f aca="false">IF(C143="","",IF(G143="","Thiếu thông tin",IF(G143&lt;6,"Trẻ em",IF(G143&lt;23,"Học sinh / Sinh viên",IF(G143&lt;60,"Đang đi làm","Nghỉ hưu")))))</f>
        <v>Đang đi làm</v>
      </c>
      <c r="I143" s="6"/>
      <c r="J143" s="11" t="str">
        <f aca="false">IF(B143="","",IFERROR(INDEX('Hộ gia đình'!$B$2:$B$2000,MATCH(B143,'Hộ gia đình'!$A$2:$A$2000,0)),"Mã hộ không tồn tại"))</f>
        <v>17 ngõ 78 Lê Thanh Nghị</v>
      </c>
      <c r="K143" s="14" t="s">
        <v>775</v>
      </c>
      <c r="L143" s="14"/>
      <c r="M143" s="6" t="s">
        <v>422</v>
      </c>
      <c r="N143" s="6" t="s">
        <v>388</v>
      </c>
      <c r="O143" s="6" t="s">
        <v>389</v>
      </c>
      <c r="P143" s="6"/>
      <c r="Q143" s="6" t="s">
        <v>391</v>
      </c>
      <c r="R143" s="12"/>
    </row>
    <row r="144" customFormat="false" ht="15" hidden="false" customHeight="true" outlineLevel="0" collapsed="false">
      <c r="A144" s="6" t="s">
        <v>776</v>
      </c>
      <c r="B144" s="6" t="s">
        <v>117</v>
      </c>
      <c r="C144" s="6" t="s">
        <v>777</v>
      </c>
      <c r="D144" s="6" t="s">
        <v>408</v>
      </c>
      <c r="E144" s="13" t="n">
        <v>32176</v>
      </c>
      <c r="F144" s="6" t="n">
        <v>1988</v>
      </c>
      <c r="G144" s="11" t="n">
        <f aca="true">IF(F144="","",YEAR(TODAY())-F144)</f>
        <v>38</v>
      </c>
      <c r="H144" s="11" t="str">
        <f aca="false">IF(C144="","",IF(G144="","Thiếu thông tin",IF(G144&lt;6,"Trẻ em",IF(G144&lt;23,"Học sinh / Sinh viên",IF(G144&lt;60,"Đang đi làm","Nghỉ hưu")))))</f>
        <v>Đang đi làm</v>
      </c>
      <c r="I144" s="6"/>
      <c r="J144" s="11" t="str">
        <f aca="false">IF(B144="","",IFERROR(INDEX('Hộ gia đình'!$B$2:$B$2000,MATCH(B144,'Hộ gia đình'!$A$2:$A$2000,0)),"Mã hộ không tồn tại"))</f>
        <v>17 ngõ 78 Lê Thanh Nghị</v>
      </c>
      <c r="K144" s="14" t="s">
        <v>778</v>
      </c>
      <c r="L144" s="14"/>
      <c r="M144" s="6" t="s">
        <v>459</v>
      </c>
      <c r="N144" s="6" t="s">
        <v>388</v>
      </c>
      <c r="O144" s="6" t="s">
        <v>389</v>
      </c>
      <c r="P144" s="6"/>
      <c r="Q144" s="6" t="s">
        <v>410</v>
      </c>
      <c r="R144" s="12"/>
    </row>
    <row r="145" customFormat="false" ht="15" hidden="false" customHeight="true" outlineLevel="0" collapsed="false">
      <c r="A145" s="6" t="s">
        <v>779</v>
      </c>
      <c r="B145" s="6" t="s">
        <v>119</v>
      </c>
      <c r="C145" s="6" t="s">
        <v>780</v>
      </c>
      <c r="D145" s="6"/>
      <c r="E145" s="13"/>
      <c r="F145" s="6" t="n">
        <v>1973</v>
      </c>
      <c r="G145" s="11" t="n">
        <f aca="true">IF(F145="","",YEAR(TODAY())-F145)</f>
        <v>53</v>
      </c>
      <c r="H145" s="11" t="str">
        <f aca="false">IF(C145="","",IF(G145="","Thiếu thông tin",IF(G145&lt;6,"Trẻ em",IF(G145&lt;23,"Học sinh / Sinh viên",IF(G145&lt;60,"Đang đi làm","Nghỉ hưu")))))</f>
        <v>Đang đi làm</v>
      </c>
      <c r="I145" s="6" t="s">
        <v>52</v>
      </c>
      <c r="J145" s="11" t="str">
        <f aca="false">IF(B145="","",IFERROR(INDEX('Hộ gia đình'!$B$2:$B$2000,MATCH(B145,'Hộ gia đình'!$A$2:$A$2000,0)),"Mã hộ không tồn tại"))</f>
        <v>19 ngõ 78 Lê Thanh Nghị</v>
      </c>
      <c r="K145" s="14"/>
      <c r="L145" s="14"/>
      <c r="M145" s="6"/>
      <c r="N145" s="6" t="s">
        <v>395</v>
      </c>
      <c r="O145" s="6" t="s">
        <v>389</v>
      </c>
      <c r="P145" s="6"/>
      <c r="Q145" s="6" t="s">
        <v>396</v>
      </c>
      <c r="R145" s="12" t="s">
        <v>781</v>
      </c>
    </row>
    <row r="146" customFormat="false" ht="15" hidden="false" customHeight="true" outlineLevel="0" collapsed="false">
      <c r="A146" s="6" t="s">
        <v>782</v>
      </c>
      <c r="B146" s="6" t="s">
        <v>119</v>
      </c>
      <c r="C146" s="6" t="s">
        <v>783</v>
      </c>
      <c r="D146" s="6"/>
      <c r="E146" s="13"/>
      <c r="F146" s="6" t="n">
        <v>1973</v>
      </c>
      <c r="G146" s="11" t="n">
        <f aca="true">IF(F146="","",YEAR(TODAY())-F146)</f>
        <v>53</v>
      </c>
      <c r="H146" s="11" t="str">
        <f aca="false">IF(C146="","",IF(G146="","Thiếu thông tin",IF(G146&lt;6,"Trẻ em",IF(G146&lt;23,"Học sinh / Sinh viên",IF(G146&lt;60,"Đang đi làm","Nghỉ hưu")))))</f>
        <v>Đang đi làm</v>
      </c>
      <c r="I146" s="6"/>
      <c r="J146" s="11" t="str">
        <f aca="false">IF(B146="","",IFERROR(INDEX('Hộ gia đình'!$B$2:$B$2000,MATCH(B146,'Hộ gia đình'!$A$2:$A$2000,0)),"Mã hộ không tồn tại"))</f>
        <v>19 ngõ 78 Lê Thanh Nghị</v>
      </c>
      <c r="K146" s="14"/>
      <c r="L146" s="14"/>
      <c r="M146" s="6"/>
      <c r="N146" s="6" t="s">
        <v>395</v>
      </c>
      <c r="O146" s="6" t="s">
        <v>389</v>
      </c>
      <c r="P146" s="6" t="s">
        <v>784</v>
      </c>
      <c r="Q146" s="6" t="s">
        <v>396</v>
      </c>
      <c r="R146" s="12"/>
    </row>
    <row r="147" customFormat="false" ht="15" hidden="false" customHeight="true" outlineLevel="0" collapsed="false">
      <c r="A147" s="6" t="s">
        <v>785</v>
      </c>
      <c r="B147" s="6" t="s">
        <v>119</v>
      </c>
      <c r="C147" s="6" t="s">
        <v>786</v>
      </c>
      <c r="D147" s="6"/>
      <c r="E147" s="13"/>
      <c r="F147" s="6" t="n">
        <v>2005</v>
      </c>
      <c r="G147" s="11" t="n">
        <f aca="true">IF(F147="","",YEAR(TODAY())-F147)</f>
        <v>21</v>
      </c>
      <c r="H147" s="11" t="str">
        <f aca="false">IF(C147="","",IF(G147="","Thiếu thông tin",IF(G147&lt;6,"Trẻ em",IF(G147&lt;23,"Học sinh / Sinh viên",IF(G147&lt;60,"Đang đi làm","Nghỉ hưu")))))</f>
        <v>Học sinh / Sinh viên</v>
      </c>
      <c r="I147" s="6"/>
      <c r="J147" s="11" t="str">
        <f aca="false">IF(B147="","",IFERROR(INDEX('Hộ gia đình'!$B$2:$B$2000,MATCH(B147,'Hộ gia đình'!$A$2:$A$2000,0)),"Mã hộ không tồn tại"))</f>
        <v>19 ngõ 78 Lê Thanh Nghị</v>
      </c>
      <c r="K147" s="14"/>
      <c r="L147" s="14"/>
      <c r="M147" s="6"/>
      <c r="N147" s="6" t="s">
        <v>395</v>
      </c>
      <c r="O147" s="6" t="s">
        <v>389</v>
      </c>
      <c r="P147" s="6"/>
      <c r="Q147" s="6" t="s">
        <v>396</v>
      </c>
      <c r="R147" s="12"/>
    </row>
    <row r="148" customFormat="false" ht="15" hidden="false" customHeight="true" outlineLevel="0" collapsed="false">
      <c r="A148" s="6" t="s">
        <v>787</v>
      </c>
      <c r="B148" s="6" t="s">
        <v>119</v>
      </c>
      <c r="C148" s="6" t="s">
        <v>788</v>
      </c>
      <c r="D148" s="6"/>
      <c r="E148" s="13"/>
      <c r="F148" s="6" t="n">
        <v>1998</v>
      </c>
      <c r="G148" s="11" t="n">
        <f aca="true">IF(F148="","",YEAR(TODAY())-F148)</f>
        <v>28</v>
      </c>
      <c r="H148" s="11" t="str">
        <f aca="false">IF(C148="","",IF(G148="","Thiếu thông tin",IF(G148&lt;6,"Trẻ em",IF(G148&lt;23,"Học sinh / Sinh viên",IF(G148&lt;60,"Đang đi làm","Nghỉ hưu")))))</f>
        <v>Đang đi làm</v>
      </c>
      <c r="I148" s="6"/>
      <c r="J148" s="11" t="str">
        <f aca="false">IF(B148="","",IFERROR(INDEX('Hộ gia đình'!$B$2:$B$2000,MATCH(B148,'Hộ gia đình'!$A$2:$A$2000,0)),"Mã hộ không tồn tại"))</f>
        <v>19 ngõ 78 Lê Thanh Nghị</v>
      </c>
      <c r="K148" s="14"/>
      <c r="L148" s="14"/>
      <c r="M148" s="6"/>
      <c r="N148" s="6" t="s">
        <v>395</v>
      </c>
      <c r="O148" s="6" t="s">
        <v>389</v>
      </c>
      <c r="P148" s="6"/>
      <c r="Q148" s="6" t="s">
        <v>396</v>
      </c>
      <c r="R148" s="12"/>
    </row>
    <row r="149" customFormat="false" ht="15" hidden="false" customHeight="true" outlineLevel="0" collapsed="false">
      <c r="A149" s="6" t="s">
        <v>789</v>
      </c>
      <c r="B149" s="6" t="s">
        <v>121</v>
      </c>
      <c r="C149" s="6" t="s">
        <v>790</v>
      </c>
      <c r="D149" s="6" t="s">
        <v>385</v>
      </c>
      <c r="E149" s="13" t="n">
        <v>18187</v>
      </c>
      <c r="F149" s="6" t="n">
        <v>1949</v>
      </c>
      <c r="G149" s="11" t="n">
        <f aca="true">IF(F149="","",YEAR(TODAY())-F149)</f>
        <v>77</v>
      </c>
      <c r="H149" s="11" t="str">
        <f aca="false">IF(C149="","",IF(G149="","Thiếu thông tin",IF(G149&lt;6,"Trẻ em",IF(G149&lt;23,"Học sinh / Sinh viên",IF(G149&lt;60,"Đang đi làm","Nghỉ hưu")))))</f>
        <v>Nghỉ hưu</v>
      </c>
      <c r="I149" s="6" t="s">
        <v>52</v>
      </c>
      <c r="J149" s="11" t="str">
        <f aca="false">IF(B149="","",IFERROR(INDEX('Hộ gia đình'!$B$2:$B$2000,MATCH(B149,'Hộ gia đình'!$A$2:$A$2000,0)),"Mã hộ không tồn tại"))</f>
        <v>21 ngõ 78 Lê Thanh Nghị</v>
      </c>
      <c r="K149" s="14" t="s">
        <v>791</v>
      </c>
      <c r="L149" s="14"/>
      <c r="M149" s="6" t="s">
        <v>451</v>
      </c>
      <c r="N149" s="6" t="s">
        <v>388</v>
      </c>
      <c r="O149" s="6" t="s">
        <v>389</v>
      </c>
      <c r="P149" s="6"/>
      <c r="Q149" s="6" t="s">
        <v>391</v>
      </c>
      <c r="R149" s="12"/>
    </row>
    <row r="150" customFormat="false" ht="15" hidden="false" customHeight="true" outlineLevel="0" collapsed="false">
      <c r="A150" s="6" t="s">
        <v>792</v>
      </c>
      <c r="B150" s="6" t="s">
        <v>121</v>
      </c>
      <c r="C150" s="6" t="s">
        <v>793</v>
      </c>
      <c r="D150" s="6" t="s">
        <v>408</v>
      </c>
      <c r="E150" s="13" t="n">
        <v>26847</v>
      </c>
      <c r="F150" s="6" t="n">
        <v>1973</v>
      </c>
      <c r="G150" s="11" t="n">
        <f aca="true">IF(F150="","",YEAR(TODAY())-F150)</f>
        <v>53</v>
      </c>
      <c r="H150" s="11" t="str">
        <f aca="false">IF(C150="","",IF(G150="","Thiếu thông tin",IF(G150&lt;6,"Trẻ em",IF(G150&lt;23,"Học sinh / Sinh viên",IF(G150&lt;60,"Đang đi làm","Nghỉ hưu")))))</f>
        <v>Đang đi làm</v>
      </c>
      <c r="I150" s="6"/>
      <c r="J150" s="11" t="str">
        <f aca="false">IF(B150="","",IFERROR(INDEX('Hộ gia đình'!$B$2:$B$2000,MATCH(B150,'Hộ gia đình'!$A$2:$A$2000,0)),"Mã hộ không tồn tại"))</f>
        <v>21 ngõ 78 Lê Thanh Nghị</v>
      </c>
      <c r="K150" s="14" t="s">
        <v>794</v>
      </c>
      <c r="L150" s="14"/>
      <c r="M150" s="6" t="s">
        <v>459</v>
      </c>
      <c r="N150" s="6" t="s">
        <v>388</v>
      </c>
      <c r="O150" s="6" t="s">
        <v>389</v>
      </c>
      <c r="P150" s="6"/>
      <c r="Q150" s="6" t="s">
        <v>391</v>
      </c>
      <c r="R150" s="12"/>
    </row>
    <row r="151" customFormat="false" ht="15" hidden="false" customHeight="true" outlineLevel="0" collapsed="false">
      <c r="A151" s="6" t="s">
        <v>795</v>
      </c>
      <c r="B151" s="6" t="s">
        <v>121</v>
      </c>
      <c r="C151" s="6" t="s">
        <v>796</v>
      </c>
      <c r="D151" s="6"/>
      <c r="E151" s="13"/>
      <c r="F151" s="6" t="n">
        <v>2005</v>
      </c>
      <c r="G151" s="11" t="n">
        <f aca="true">IF(F151="","",YEAR(TODAY())-F151)</f>
        <v>21</v>
      </c>
      <c r="H151" s="11" t="str">
        <f aca="false">IF(C151="","",IF(G151="","Thiếu thông tin",IF(G151&lt;6,"Trẻ em",IF(G151&lt;23,"Học sinh / Sinh viên",IF(G151&lt;60,"Đang đi làm","Nghỉ hưu")))))</f>
        <v>Học sinh / Sinh viên</v>
      </c>
      <c r="I151" s="6"/>
      <c r="J151" s="11" t="str">
        <f aca="false">IF(B151="","",IFERROR(INDEX('Hộ gia đình'!$B$2:$B$2000,MATCH(B151,'Hộ gia đình'!$A$2:$A$2000,0)),"Mã hộ không tồn tại"))</f>
        <v>21 ngõ 78 Lê Thanh Nghị</v>
      </c>
      <c r="K151" s="14"/>
      <c r="L151" s="14"/>
      <c r="M151" s="6"/>
      <c r="N151" s="6" t="s">
        <v>395</v>
      </c>
      <c r="O151" s="6" t="s">
        <v>389</v>
      </c>
      <c r="P151" s="6"/>
      <c r="Q151" s="6" t="s">
        <v>403</v>
      </c>
      <c r="R151" s="12"/>
    </row>
    <row r="152" customFormat="false" ht="15" hidden="false" customHeight="true" outlineLevel="0" collapsed="false">
      <c r="A152" s="6" t="s">
        <v>797</v>
      </c>
      <c r="B152" s="6" t="s">
        <v>121</v>
      </c>
      <c r="C152" s="6" t="s">
        <v>798</v>
      </c>
      <c r="D152" s="6" t="s">
        <v>385</v>
      </c>
      <c r="E152" s="13"/>
      <c r="F152" s="6" t="n">
        <v>1975</v>
      </c>
      <c r="G152" s="11" t="n">
        <f aca="true">IF(F152="","",YEAR(TODAY())-F152)</f>
        <v>51</v>
      </c>
      <c r="H152" s="11" t="str">
        <f aca="false">IF(C152="","",IF(G152="","Thiếu thông tin",IF(G152&lt;6,"Trẻ em",IF(G152&lt;23,"Học sinh / Sinh viên",IF(G152&lt;60,"Đang đi làm","Nghỉ hưu")))))</f>
        <v>Đang đi làm</v>
      </c>
      <c r="I152" s="6"/>
      <c r="J152" s="11" t="str">
        <f aca="false">IF(B152="","",IFERROR(INDEX('Hộ gia đình'!$B$2:$B$2000,MATCH(B152,'Hộ gia đình'!$A$2:$A$2000,0)),"Mã hộ không tồn tại"))</f>
        <v>21 ngõ 78 Lê Thanh Nghị</v>
      </c>
      <c r="K152" s="14" t="s">
        <v>799</v>
      </c>
      <c r="L152" s="14"/>
      <c r="M152" s="6" t="s">
        <v>459</v>
      </c>
      <c r="N152" s="6" t="s">
        <v>388</v>
      </c>
      <c r="O152" s="6" t="s">
        <v>389</v>
      </c>
      <c r="P152" s="6"/>
      <c r="Q152" s="6" t="s">
        <v>391</v>
      </c>
      <c r="R152" s="12" t="s">
        <v>800</v>
      </c>
    </row>
    <row r="153" customFormat="false" ht="15" hidden="false" customHeight="true" outlineLevel="0" collapsed="false">
      <c r="A153" s="6" t="s">
        <v>801</v>
      </c>
      <c r="B153" s="6" t="s">
        <v>121</v>
      </c>
      <c r="C153" s="6" t="s">
        <v>802</v>
      </c>
      <c r="D153" s="6" t="s">
        <v>408</v>
      </c>
      <c r="E153" s="13" t="n">
        <v>27861</v>
      </c>
      <c r="F153" s="6" t="n">
        <v>1976</v>
      </c>
      <c r="G153" s="11" t="n">
        <f aca="true">IF(F153="","",YEAR(TODAY())-F153)</f>
        <v>50</v>
      </c>
      <c r="H153" s="11" t="str">
        <f aca="false">IF(C153="","",IF(G153="","Thiếu thông tin",IF(G153&lt;6,"Trẻ em",IF(G153&lt;23,"Học sinh / Sinh viên",IF(G153&lt;60,"Đang đi làm","Nghỉ hưu")))))</f>
        <v>Đang đi làm</v>
      </c>
      <c r="I153" s="6"/>
      <c r="J153" s="11" t="str">
        <f aca="false">IF(B153="","",IFERROR(INDEX('Hộ gia đình'!$B$2:$B$2000,MATCH(B153,'Hộ gia đình'!$A$2:$A$2000,0)),"Mã hộ không tồn tại"))</f>
        <v>21 ngõ 78 Lê Thanh Nghị</v>
      </c>
      <c r="K153" s="14" t="s">
        <v>803</v>
      </c>
      <c r="L153" s="14"/>
      <c r="M153" s="6" t="s">
        <v>459</v>
      </c>
      <c r="N153" s="6" t="s">
        <v>388</v>
      </c>
      <c r="O153" s="6" t="s">
        <v>389</v>
      </c>
      <c r="P153" s="6"/>
      <c r="Q153" s="6" t="s">
        <v>410</v>
      </c>
      <c r="R153" s="12"/>
    </row>
    <row r="154" customFormat="false" ht="15" hidden="false" customHeight="true" outlineLevel="0" collapsed="false">
      <c r="A154" s="6" t="s">
        <v>804</v>
      </c>
      <c r="B154" s="6" t="s">
        <v>123</v>
      </c>
      <c r="C154" s="6" t="s">
        <v>805</v>
      </c>
      <c r="D154" s="6" t="s">
        <v>408</v>
      </c>
      <c r="E154" s="13"/>
      <c r="F154" s="6" t="n">
        <v>1947</v>
      </c>
      <c r="G154" s="11" t="n">
        <f aca="true">IF(F154="","",YEAR(TODAY())-F154)</f>
        <v>79</v>
      </c>
      <c r="H154" s="11" t="str">
        <f aca="false">IF(C154="","",IF(G154="","Thiếu thông tin",IF(G154&lt;6,"Trẻ em",IF(G154&lt;23,"Học sinh / Sinh viên",IF(G154&lt;60,"Đang đi làm","Nghỉ hưu")))))</f>
        <v>Nghỉ hưu</v>
      </c>
      <c r="I154" s="6" t="s">
        <v>52</v>
      </c>
      <c r="J154" s="11" t="str">
        <f aca="false">IF(B154="","",IFERROR(INDEX('Hộ gia đình'!$B$2:$B$2000,MATCH(B154,'Hộ gia đình'!$A$2:$A$2000,0)),"Mã hộ không tồn tại"))</f>
        <v>21 ngõ 78 Lê Thanh Nghị</v>
      </c>
      <c r="K154" s="14" t="s">
        <v>806</v>
      </c>
      <c r="L154" s="14"/>
      <c r="M154" s="6" t="s">
        <v>451</v>
      </c>
      <c r="N154" s="6" t="s">
        <v>388</v>
      </c>
      <c r="O154" s="6" t="s">
        <v>389</v>
      </c>
      <c r="P154" s="6"/>
      <c r="Q154" s="6" t="s">
        <v>391</v>
      </c>
      <c r="R154" s="12" t="s">
        <v>807</v>
      </c>
    </row>
    <row r="155" customFormat="false" ht="15" hidden="false" customHeight="true" outlineLevel="0" collapsed="false">
      <c r="A155" s="6" t="s">
        <v>808</v>
      </c>
      <c r="B155" s="6" t="s">
        <v>123</v>
      </c>
      <c r="C155" s="6" t="s">
        <v>809</v>
      </c>
      <c r="D155" s="6"/>
      <c r="E155" s="13"/>
      <c r="F155" s="6" t="n">
        <v>2009</v>
      </c>
      <c r="G155" s="11" t="n">
        <f aca="true">IF(F155="","",YEAR(TODAY())-F155)</f>
        <v>17</v>
      </c>
      <c r="H155" s="11" t="str">
        <f aca="false">IF(C155="","",IF(G155="","Thiếu thông tin",IF(G155&lt;6,"Trẻ em",IF(G155&lt;23,"Học sinh / Sinh viên",IF(G155&lt;60,"Đang đi làm","Nghỉ hưu")))))</f>
        <v>Học sinh / Sinh viên</v>
      </c>
      <c r="I155" s="6"/>
      <c r="J155" s="11" t="str">
        <f aca="false">IF(B155="","",IFERROR(INDEX('Hộ gia đình'!$B$2:$B$2000,MATCH(B155,'Hộ gia đình'!$A$2:$A$2000,0)),"Mã hộ không tồn tại"))</f>
        <v>21 ngõ 78 Lê Thanh Nghị</v>
      </c>
      <c r="K155" s="14"/>
      <c r="L155" s="14"/>
      <c r="M155" s="6"/>
      <c r="N155" s="6" t="s">
        <v>395</v>
      </c>
      <c r="O155" s="6" t="s">
        <v>389</v>
      </c>
      <c r="P155" s="6"/>
      <c r="Q155" s="6" t="s">
        <v>403</v>
      </c>
      <c r="R155" s="12"/>
    </row>
    <row r="156" customFormat="false" ht="15" hidden="false" customHeight="true" outlineLevel="0" collapsed="false">
      <c r="A156" s="6" t="s">
        <v>810</v>
      </c>
      <c r="B156" s="6" t="s">
        <v>123</v>
      </c>
      <c r="C156" s="6" t="s">
        <v>811</v>
      </c>
      <c r="D156" s="6"/>
      <c r="E156" s="13"/>
      <c r="F156" s="6" t="n">
        <v>2011</v>
      </c>
      <c r="G156" s="11" t="n">
        <f aca="true">IF(F156="","",YEAR(TODAY())-F156)</f>
        <v>15</v>
      </c>
      <c r="H156" s="11" t="str">
        <f aca="false">IF(C156="","",IF(G156="","Thiếu thông tin",IF(G156&lt;6,"Trẻ em",IF(G156&lt;23,"Học sinh / Sinh viên",IF(G156&lt;60,"Đang đi làm","Nghỉ hưu")))))</f>
        <v>Học sinh / Sinh viên</v>
      </c>
      <c r="I156" s="6"/>
      <c r="J156" s="11" t="str">
        <f aca="false">IF(B156="","",IFERROR(INDEX('Hộ gia đình'!$B$2:$B$2000,MATCH(B156,'Hộ gia đình'!$A$2:$A$2000,0)),"Mã hộ không tồn tại"))</f>
        <v>21 ngõ 78 Lê Thanh Nghị</v>
      </c>
      <c r="K156" s="14"/>
      <c r="L156" s="14"/>
      <c r="M156" s="6"/>
      <c r="N156" s="6" t="s">
        <v>395</v>
      </c>
      <c r="O156" s="6" t="s">
        <v>389</v>
      </c>
      <c r="P156" s="6"/>
      <c r="Q156" s="6" t="s">
        <v>403</v>
      </c>
      <c r="R156" s="12"/>
    </row>
    <row r="157" customFormat="false" ht="15" hidden="false" customHeight="true" outlineLevel="0" collapsed="false">
      <c r="A157" s="6" t="s">
        <v>812</v>
      </c>
      <c r="B157" s="6" t="s">
        <v>123</v>
      </c>
      <c r="C157" s="6" t="s">
        <v>796</v>
      </c>
      <c r="D157" s="6" t="s">
        <v>408</v>
      </c>
      <c r="E157" s="13" t="n">
        <v>37671</v>
      </c>
      <c r="F157" s="6" t="n">
        <v>2003</v>
      </c>
      <c r="G157" s="11" t="n">
        <f aca="true">IF(F157="","",YEAR(TODAY())-F157)</f>
        <v>23</v>
      </c>
      <c r="H157" s="11" t="str">
        <f aca="false">IF(C157="","",IF(G157="","Thiếu thông tin",IF(G157&lt;6,"Trẻ em",IF(G157&lt;23,"Học sinh / Sinh viên",IF(G157&lt;60,"Đang đi làm","Nghỉ hưu")))))</f>
        <v>Đang đi làm</v>
      </c>
      <c r="I157" s="6"/>
      <c r="J157" s="11" t="str">
        <f aca="false">IF(B157="","",IFERROR(INDEX('Hộ gia đình'!$B$2:$B$2000,MATCH(B157,'Hộ gia đình'!$A$2:$A$2000,0)),"Mã hộ không tồn tại"))</f>
        <v>21 ngõ 78 Lê Thanh Nghị</v>
      </c>
      <c r="K157" s="14" t="s">
        <v>813</v>
      </c>
      <c r="L157" s="14"/>
      <c r="M157" s="6" t="s">
        <v>422</v>
      </c>
      <c r="N157" s="6" t="s">
        <v>388</v>
      </c>
      <c r="O157" s="6" t="s">
        <v>389</v>
      </c>
      <c r="P157" s="6"/>
      <c r="Q157" s="6" t="s">
        <v>583</v>
      </c>
      <c r="R157" s="12"/>
    </row>
    <row r="158" customFormat="false" ht="15" hidden="false" customHeight="true" outlineLevel="0" collapsed="false">
      <c r="A158" s="6" t="s">
        <v>814</v>
      </c>
      <c r="B158" s="6" t="s">
        <v>124</v>
      </c>
      <c r="C158" s="6" t="s">
        <v>815</v>
      </c>
      <c r="D158" s="6"/>
      <c r="E158" s="13"/>
      <c r="F158" s="6" t="n">
        <v>1986</v>
      </c>
      <c r="G158" s="11" t="n">
        <f aca="true">IF(F158="","",YEAR(TODAY())-F158)</f>
        <v>40</v>
      </c>
      <c r="H158" s="11" t="str">
        <f aca="false">IF(C158="","",IF(G158="","Thiếu thông tin",IF(G158&lt;6,"Trẻ em",IF(G158&lt;23,"Học sinh / Sinh viên",IF(G158&lt;60,"Đang đi làm","Nghỉ hưu")))))</f>
        <v>Đang đi làm</v>
      </c>
      <c r="I158" s="6" t="s">
        <v>52</v>
      </c>
      <c r="J158" s="11" t="str">
        <f aca="false">IF(B158="","",IFERROR(INDEX('Hộ gia đình'!$B$2:$B$2000,MATCH(B158,'Hộ gia đình'!$A$2:$A$2000,0)),"Mã hộ không tồn tại"))</f>
        <v>3 ngõ 17 Lê Thanh Nghị</v>
      </c>
      <c r="K158" s="14"/>
      <c r="L158" s="14"/>
      <c r="M158" s="6"/>
      <c r="N158" s="6" t="s">
        <v>395</v>
      </c>
      <c r="O158" s="6" t="s">
        <v>389</v>
      </c>
      <c r="P158" s="6"/>
      <c r="Q158" s="6" t="s">
        <v>396</v>
      </c>
      <c r="R158" s="12"/>
    </row>
    <row r="159" customFormat="false" ht="15" hidden="false" customHeight="true" outlineLevel="0" collapsed="false">
      <c r="A159" s="6" t="s">
        <v>816</v>
      </c>
      <c r="B159" s="6" t="s">
        <v>124</v>
      </c>
      <c r="C159" s="6" t="s">
        <v>817</v>
      </c>
      <c r="D159" s="6"/>
      <c r="E159" s="13"/>
      <c r="F159" s="6" t="n">
        <v>1986</v>
      </c>
      <c r="G159" s="11" t="n">
        <f aca="true">IF(F159="","",YEAR(TODAY())-F159)</f>
        <v>40</v>
      </c>
      <c r="H159" s="11" t="str">
        <f aca="false">IF(C159="","",IF(G159="","Thiếu thông tin",IF(G159&lt;6,"Trẻ em",IF(G159&lt;23,"Học sinh / Sinh viên",IF(G159&lt;60,"Đang đi làm","Nghỉ hưu")))))</f>
        <v>Đang đi làm</v>
      </c>
      <c r="I159" s="6"/>
      <c r="J159" s="11" t="str">
        <f aca="false">IF(B159="","",IFERROR(INDEX('Hộ gia đình'!$B$2:$B$2000,MATCH(B159,'Hộ gia đình'!$A$2:$A$2000,0)),"Mã hộ không tồn tại"))</f>
        <v>3 ngõ 17 Lê Thanh Nghị</v>
      </c>
      <c r="K159" s="14"/>
      <c r="L159" s="14"/>
      <c r="M159" s="6"/>
      <c r="N159" s="6" t="s">
        <v>395</v>
      </c>
      <c r="O159" s="6" t="s">
        <v>389</v>
      </c>
      <c r="P159" s="6"/>
      <c r="Q159" s="6" t="s">
        <v>818</v>
      </c>
      <c r="R159" s="12"/>
    </row>
    <row r="160" customFormat="false" ht="15" hidden="false" customHeight="true" outlineLevel="0" collapsed="false">
      <c r="A160" s="6" t="s">
        <v>819</v>
      </c>
      <c r="B160" s="6" t="s">
        <v>124</v>
      </c>
      <c r="C160" s="6" t="s">
        <v>820</v>
      </c>
      <c r="D160" s="6"/>
      <c r="E160" s="13" t="n">
        <v>40026</v>
      </c>
      <c r="F160" s="6" t="n">
        <v>2009</v>
      </c>
      <c r="G160" s="11" t="n">
        <f aca="true">IF(F160="","",YEAR(TODAY())-F160)</f>
        <v>17</v>
      </c>
      <c r="H160" s="11" t="str">
        <f aca="false">IF(C160="","",IF(G160="","Thiếu thông tin",IF(G160&lt;6,"Trẻ em",IF(G160&lt;23,"Học sinh / Sinh viên",IF(G160&lt;60,"Đang đi làm","Nghỉ hưu")))))</f>
        <v>Học sinh / Sinh viên</v>
      </c>
      <c r="I160" s="6"/>
      <c r="J160" s="11" t="str">
        <f aca="false">IF(B160="","",IFERROR(INDEX('Hộ gia đình'!$B$2:$B$2000,MATCH(B160,'Hộ gia đình'!$A$2:$A$2000,0)),"Mã hộ không tồn tại"))</f>
        <v>3 ngõ 17 Lê Thanh Nghị</v>
      </c>
      <c r="K160" s="14"/>
      <c r="L160" s="14"/>
      <c r="M160" s="6"/>
      <c r="N160" s="6" t="s">
        <v>395</v>
      </c>
      <c r="O160" s="6" t="s">
        <v>389</v>
      </c>
      <c r="P160" s="6"/>
      <c r="Q160" s="6" t="s">
        <v>396</v>
      </c>
      <c r="R160" s="12"/>
    </row>
    <row r="161" customFormat="false" ht="15" hidden="false" customHeight="true" outlineLevel="0" collapsed="false">
      <c r="A161" s="6" t="s">
        <v>821</v>
      </c>
      <c r="B161" s="6" t="s">
        <v>124</v>
      </c>
      <c r="C161" s="6" t="s">
        <v>822</v>
      </c>
      <c r="D161" s="6"/>
      <c r="E161" s="13" t="n">
        <v>42161</v>
      </c>
      <c r="F161" s="6" t="n">
        <v>2015</v>
      </c>
      <c r="G161" s="11" t="n">
        <f aca="true">IF(F161="","",YEAR(TODAY())-F161)</f>
        <v>11</v>
      </c>
      <c r="H161" s="11" t="str">
        <f aca="false">IF(C161="","",IF(G161="","Thiếu thông tin",IF(G161&lt;6,"Trẻ em",IF(G161&lt;23,"Học sinh / Sinh viên",IF(G161&lt;60,"Đang đi làm","Nghỉ hưu")))))</f>
        <v>Học sinh / Sinh viên</v>
      </c>
      <c r="I161" s="6"/>
      <c r="J161" s="11" t="str">
        <f aca="false">IF(B161="","",IFERROR(INDEX('Hộ gia đình'!$B$2:$B$2000,MATCH(B161,'Hộ gia đình'!$A$2:$A$2000,0)),"Mã hộ không tồn tại"))</f>
        <v>3 ngõ 17 Lê Thanh Nghị</v>
      </c>
      <c r="K161" s="14"/>
      <c r="L161" s="14"/>
      <c r="M161" s="6"/>
      <c r="N161" s="6" t="s">
        <v>395</v>
      </c>
      <c r="O161" s="6" t="s">
        <v>389</v>
      </c>
      <c r="P161" s="6"/>
      <c r="Q161" s="6" t="s">
        <v>396</v>
      </c>
      <c r="R161" s="12"/>
    </row>
    <row r="162" customFormat="false" ht="15" hidden="false" customHeight="true" outlineLevel="0" collapsed="false">
      <c r="A162" s="6" t="s">
        <v>823</v>
      </c>
      <c r="B162" s="6" t="s">
        <v>126</v>
      </c>
      <c r="C162" s="6" t="s">
        <v>824</v>
      </c>
      <c r="D162" s="6" t="s">
        <v>408</v>
      </c>
      <c r="E162" s="13" t="n">
        <v>19269</v>
      </c>
      <c r="F162" s="6" t="n">
        <v>1952</v>
      </c>
      <c r="G162" s="11" t="n">
        <f aca="true">IF(F162="","",YEAR(TODAY())-F162)</f>
        <v>74</v>
      </c>
      <c r="H162" s="11" t="str">
        <f aca="false">IF(C162="","",IF(G162="","Thiếu thông tin",IF(G162&lt;6,"Trẻ em",IF(G162&lt;23,"Học sinh / Sinh viên",IF(G162&lt;60,"Đang đi làm","Nghỉ hưu")))))</f>
        <v>Nghỉ hưu</v>
      </c>
      <c r="I162" s="6" t="s">
        <v>52</v>
      </c>
      <c r="J162" s="11" t="str">
        <f aca="false">IF(B162="","",IFERROR(INDEX('Hộ gia đình'!$B$2:$B$2000,MATCH(B162,'Hộ gia đình'!$A$2:$A$2000,0)),"Mã hộ không tồn tại"))</f>
        <v>4 ngõ 17 Tạ Quang Bửu</v>
      </c>
      <c r="K162" s="14" t="s">
        <v>825</v>
      </c>
      <c r="L162" s="14"/>
      <c r="M162" s="6" t="s">
        <v>451</v>
      </c>
      <c r="N162" s="6" t="s">
        <v>388</v>
      </c>
      <c r="O162" s="6" t="s">
        <v>389</v>
      </c>
      <c r="P162" s="6"/>
      <c r="Q162" s="6" t="s">
        <v>391</v>
      </c>
      <c r="R162" s="12"/>
    </row>
    <row r="163" customFormat="false" ht="15" hidden="false" customHeight="true" outlineLevel="0" collapsed="false">
      <c r="A163" s="6" t="s">
        <v>826</v>
      </c>
      <c r="B163" s="6" t="s">
        <v>126</v>
      </c>
      <c r="C163" s="6" t="s">
        <v>827</v>
      </c>
      <c r="D163" s="6" t="s">
        <v>385</v>
      </c>
      <c r="E163" s="13" t="n">
        <v>20315</v>
      </c>
      <c r="F163" s="6" t="n">
        <v>1955</v>
      </c>
      <c r="G163" s="11" t="n">
        <f aca="true">IF(F163="","",YEAR(TODAY())-F163)</f>
        <v>71</v>
      </c>
      <c r="H163" s="11" t="str">
        <f aca="false">IF(C163="","",IF(G163="","Thiếu thông tin",IF(G163&lt;6,"Trẻ em",IF(G163&lt;23,"Học sinh / Sinh viên",IF(G163&lt;60,"Đang đi làm","Nghỉ hưu")))))</f>
        <v>Nghỉ hưu</v>
      </c>
      <c r="I163" s="6"/>
      <c r="J163" s="11" t="str">
        <f aca="false">IF(B163="","",IFERROR(INDEX('Hộ gia đình'!$B$2:$B$2000,MATCH(B163,'Hộ gia đình'!$A$2:$A$2000,0)),"Mã hộ không tồn tại"))</f>
        <v>4 ngõ 17 Tạ Quang Bửu</v>
      </c>
      <c r="K163" s="14" t="s">
        <v>828</v>
      </c>
      <c r="L163" s="14"/>
      <c r="M163" s="6" t="s">
        <v>459</v>
      </c>
      <c r="N163" s="6" t="s">
        <v>388</v>
      </c>
      <c r="O163" s="6" t="s">
        <v>389</v>
      </c>
      <c r="P163" s="6"/>
      <c r="Q163" s="6" t="s">
        <v>391</v>
      </c>
      <c r="R163" s="12"/>
    </row>
    <row r="164" customFormat="false" ht="15" hidden="false" customHeight="true" outlineLevel="0" collapsed="false">
      <c r="A164" s="6" t="s">
        <v>829</v>
      </c>
      <c r="B164" s="6" t="s">
        <v>126</v>
      </c>
      <c r="C164" s="6" t="s">
        <v>830</v>
      </c>
      <c r="D164" s="6" t="s">
        <v>385</v>
      </c>
      <c r="E164" s="13"/>
      <c r="F164" s="6" t="n">
        <v>1982</v>
      </c>
      <c r="G164" s="11" t="n">
        <f aca="true">IF(F164="","",YEAR(TODAY())-F164)</f>
        <v>44</v>
      </c>
      <c r="H164" s="11" t="str">
        <f aca="false">IF(C164="","",IF(G164="","Thiếu thông tin",IF(G164&lt;6,"Trẻ em",IF(G164&lt;23,"Học sinh / Sinh viên",IF(G164&lt;60,"Đang đi làm","Nghỉ hưu")))))</f>
        <v>Đang đi làm</v>
      </c>
      <c r="I164" s="6"/>
      <c r="J164" s="11" t="str">
        <f aca="false">IF(B164="","",IFERROR(INDEX('Hộ gia đình'!$B$2:$B$2000,MATCH(B164,'Hộ gia đình'!$A$2:$A$2000,0)),"Mã hộ không tồn tại"))</f>
        <v>4 ngõ 17 Tạ Quang Bửu</v>
      </c>
      <c r="K164" s="14" t="s">
        <v>831</v>
      </c>
      <c r="L164" s="14"/>
      <c r="M164" s="6" t="s">
        <v>451</v>
      </c>
      <c r="N164" s="6" t="s">
        <v>388</v>
      </c>
      <c r="O164" s="6" t="s">
        <v>389</v>
      </c>
      <c r="P164" s="6"/>
      <c r="Q164" s="6" t="s">
        <v>391</v>
      </c>
      <c r="R164" s="12" t="s">
        <v>832</v>
      </c>
    </row>
    <row r="165" customFormat="false" ht="15" hidden="false" customHeight="true" outlineLevel="0" collapsed="false">
      <c r="A165" s="6" t="s">
        <v>833</v>
      </c>
      <c r="B165" s="6" t="s">
        <v>128</v>
      </c>
      <c r="C165" s="6" t="s">
        <v>834</v>
      </c>
      <c r="D165" s="6"/>
      <c r="E165" s="13"/>
      <c r="F165" s="6" t="n">
        <v>1951</v>
      </c>
      <c r="G165" s="11" t="n">
        <f aca="true">IF(F165="","",YEAR(TODAY())-F165)</f>
        <v>75</v>
      </c>
      <c r="H165" s="11" t="str">
        <f aca="false">IF(C165="","",IF(G165="","Thiếu thông tin",IF(G165&lt;6,"Trẻ em",IF(G165&lt;23,"Học sinh / Sinh viên",IF(G165&lt;60,"Đang đi làm","Nghỉ hưu")))))</f>
        <v>Nghỉ hưu</v>
      </c>
      <c r="I165" s="6" t="s">
        <v>52</v>
      </c>
      <c r="J165" s="11" t="str">
        <f aca="false">IF(B165="","",IFERROR(INDEX('Hộ gia đình'!$B$2:$B$2000,MATCH(B165,'Hộ gia đình'!$A$2:$A$2000,0)),"Mã hộ không tồn tại"))</f>
        <v>6 ngõ 17 Tạ Quang Bửu</v>
      </c>
      <c r="K165" s="14"/>
      <c r="L165" s="14"/>
      <c r="M165" s="6"/>
      <c r="N165" s="6" t="s">
        <v>395</v>
      </c>
      <c r="O165" s="6" t="s">
        <v>389</v>
      </c>
      <c r="P165" s="6"/>
      <c r="Q165" s="6" t="s">
        <v>396</v>
      </c>
      <c r="R165" s="12"/>
    </row>
    <row r="166" customFormat="false" ht="15" hidden="false" customHeight="true" outlineLevel="0" collapsed="false">
      <c r="A166" s="6" t="s">
        <v>835</v>
      </c>
      <c r="B166" s="6" t="s">
        <v>128</v>
      </c>
      <c r="C166" s="6" t="s">
        <v>836</v>
      </c>
      <c r="D166" s="6"/>
      <c r="E166" s="13"/>
      <c r="F166" s="6" t="n">
        <v>1948</v>
      </c>
      <c r="G166" s="11" t="n">
        <f aca="true">IF(F166="","",YEAR(TODAY())-F166)</f>
        <v>78</v>
      </c>
      <c r="H166" s="11" t="str">
        <f aca="false">IF(C166="","",IF(G166="","Thiếu thông tin",IF(G166&lt;6,"Trẻ em",IF(G166&lt;23,"Học sinh / Sinh viên",IF(G166&lt;60,"Đang đi làm","Nghỉ hưu")))))</f>
        <v>Nghỉ hưu</v>
      </c>
      <c r="I166" s="6"/>
      <c r="J166" s="11" t="str">
        <f aca="false">IF(B166="","",IFERROR(INDEX('Hộ gia đình'!$B$2:$B$2000,MATCH(B166,'Hộ gia đình'!$A$2:$A$2000,0)),"Mã hộ không tồn tại"))</f>
        <v>6 ngõ 17 Tạ Quang Bửu</v>
      </c>
      <c r="K166" s="14"/>
      <c r="L166" s="14"/>
      <c r="M166" s="6"/>
      <c r="N166" s="6" t="s">
        <v>395</v>
      </c>
      <c r="O166" s="6" t="s">
        <v>389</v>
      </c>
      <c r="P166" s="6"/>
      <c r="Q166" s="6" t="s">
        <v>396</v>
      </c>
      <c r="R166" s="12"/>
    </row>
    <row r="167" customFormat="false" ht="15" hidden="false" customHeight="true" outlineLevel="0" collapsed="false">
      <c r="A167" s="6" t="s">
        <v>837</v>
      </c>
      <c r="B167" s="6" t="s">
        <v>128</v>
      </c>
      <c r="C167" s="6" t="s">
        <v>838</v>
      </c>
      <c r="D167" s="6"/>
      <c r="E167" s="13"/>
      <c r="F167" s="6" t="n">
        <v>1977</v>
      </c>
      <c r="G167" s="11" t="n">
        <f aca="true">IF(F167="","",YEAR(TODAY())-F167)</f>
        <v>49</v>
      </c>
      <c r="H167" s="11" t="str">
        <f aca="false">IF(C167="","",IF(G167="","Thiếu thông tin",IF(G167&lt;6,"Trẻ em",IF(G167&lt;23,"Học sinh / Sinh viên",IF(G167&lt;60,"Đang đi làm","Nghỉ hưu")))))</f>
        <v>Đang đi làm</v>
      </c>
      <c r="I167" s="6"/>
      <c r="J167" s="11" t="str">
        <f aca="false">IF(B167="","",IFERROR(INDEX('Hộ gia đình'!$B$2:$B$2000,MATCH(B167,'Hộ gia đình'!$A$2:$A$2000,0)),"Mã hộ không tồn tại"))</f>
        <v>6 ngõ 17 Tạ Quang Bửu</v>
      </c>
      <c r="K167" s="14"/>
      <c r="L167" s="14"/>
      <c r="M167" s="6"/>
      <c r="N167" s="6" t="s">
        <v>395</v>
      </c>
      <c r="O167" s="6" t="s">
        <v>389</v>
      </c>
      <c r="P167" s="6"/>
      <c r="Q167" s="6" t="s">
        <v>396</v>
      </c>
      <c r="R167" s="12"/>
    </row>
    <row r="168" customFormat="false" ht="15" hidden="false" customHeight="true" outlineLevel="0" collapsed="false">
      <c r="A168" s="6" t="s">
        <v>839</v>
      </c>
      <c r="B168" s="6" t="s">
        <v>128</v>
      </c>
      <c r="C168" s="6" t="s">
        <v>840</v>
      </c>
      <c r="D168" s="6"/>
      <c r="E168" s="13"/>
      <c r="F168" s="6" t="n">
        <v>2011</v>
      </c>
      <c r="G168" s="11" t="n">
        <f aca="true">IF(F168="","",YEAR(TODAY())-F168)</f>
        <v>15</v>
      </c>
      <c r="H168" s="11" t="str">
        <f aca="false">IF(C168="","",IF(G168="","Thiếu thông tin",IF(G168&lt;6,"Trẻ em",IF(G168&lt;23,"Học sinh / Sinh viên",IF(G168&lt;60,"Đang đi làm","Nghỉ hưu")))))</f>
        <v>Học sinh / Sinh viên</v>
      </c>
      <c r="I168" s="6"/>
      <c r="J168" s="11" t="str">
        <f aca="false">IF(B168="","",IFERROR(INDEX('Hộ gia đình'!$B$2:$B$2000,MATCH(B168,'Hộ gia đình'!$A$2:$A$2000,0)),"Mã hộ không tồn tại"))</f>
        <v>6 ngõ 17 Tạ Quang Bửu</v>
      </c>
      <c r="K168" s="14"/>
      <c r="L168" s="14"/>
      <c r="M168" s="6"/>
      <c r="N168" s="6" t="s">
        <v>395</v>
      </c>
      <c r="O168" s="6" t="s">
        <v>389</v>
      </c>
      <c r="P168" s="6"/>
      <c r="Q168" s="6" t="s">
        <v>403</v>
      </c>
      <c r="R168" s="12"/>
    </row>
    <row r="169" customFormat="false" ht="15" hidden="false" customHeight="true" outlineLevel="0" collapsed="false">
      <c r="A169" s="6" t="s">
        <v>841</v>
      </c>
      <c r="B169" s="6" t="s">
        <v>128</v>
      </c>
      <c r="C169" s="6" t="s">
        <v>842</v>
      </c>
      <c r="D169" s="6"/>
      <c r="E169" s="13"/>
      <c r="F169" s="6" t="n">
        <v>2014</v>
      </c>
      <c r="G169" s="11" t="n">
        <f aca="true">IF(F169="","",YEAR(TODAY())-F169)</f>
        <v>12</v>
      </c>
      <c r="H169" s="11" t="str">
        <f aca="false">IF(C169="","",IF(G169="","Thiếu thông tin",IF(G169&lt;6,"Trẻ em",IF(G169&lt;23,"Học sinh / Sinh viên",IF(G169&lt;60,"Đang đi làm","Nghỉ hưu")))))</f>
        <v>Học sinh / Sinh viên</v>
      </c>
      <c r="I169" s="6"/>
      <c r="J169" s="11" t="str">
        <f aca="false">IF(B169="","",IFERROR(INDEX('Hộ gia đình'!$B$2:$B$2000,MATCH(B169,'Hộ gia đình'!$A$2:$A$2000,0)),"Mã hộ không tồn tại"))</f>
        <v>6 ngõ 17 Tạ Quang Bửu</v>
      </c>
      <c r="K169" s="14"/>
      <c r="L169" s="14"/>
      <c r="M169" s="6"/>
      <c r="N169" s="6" t="s">
        <v>395</v>
      </c>
      <c r="O169" s="6" t="s">
        <v>389</v>
      </c>
      <c r="P169" s="6"/>
      <c r="Q169" s="6" t="s">
        <v>403</v>
      </c>
      <c r="R169" s="12"/>
    </row>
    <row r="170" customFormat="false" ht="15" hidden="false" customHeight="true" outlineLevel="0" collapsed="false">
      <c r="A170" s="6" t="s">
        <v>843</v>
      </c>
      <c r="B170" s="6" t="s">
        <v>130</v>
      </c>
      <c r="C170" s="6" t="s">
        <v>844</v>
      </c>
      <c r="D170" s="6" t="s">
        <v>408</v>
      </c>
      <c r="E170" s="13" t="n">
        <v>26933</v>
      </c>
      <c r="F170" s="6" t="n">
        <v>1973</v>
      </c>
      <c r="G170" s="11" t="n">
        <f aca="true">IF(F170="","",YEAR(TODAY())-F170)</f>
        <v>53</v>
      </c>
      <c r="H170" s="11" t="str">
        <f aca="false">IF(C170="","",IF(G170="","Thiếu thông tin",IF(G170&lt;6,"Trẻ em",IF(G170&lt;23,"Học sinh / Sinh viên",IF(G170&lt;60,"Đang đi làm","Nghỉ hưu")))))</f>
        <v>Đang đi làm</v>
      </c>
      <c r="I170" s="6" t="s">
        <v>52</v>
      </c>
      <c r="J170" s="11" t="str">
        <f aca="false">IF(B170="","",IFERROR(INDEX('Hộ gia đình'!$B$2:$B$2000,MATCH(B170,'Hộ gia đình'!$A$2:$A$2000,0)),"Mã hộ không tồn tại"))</f>
        <v>8+10 ngõ 17 Tạ Quang Bửu</v>
      </c>
      <c r="K170" s="14" t="s">
        <v>845</v>
      </c>
      <c r="L170" s="14"/>
      <c r="M170" s="6" t="s">
        <v>732</v>
      </c>
      <c r="N170" s="6" t="s">
        <v>388</v>
      </c>
      <c r="O170" s="6" t="s">
        <v>389</v>
      </c>
      <c r="P170" s="6"/>
      <c r="Q170" s="6" t="s">
        <v>391</v>
      </c>
      <c r="R170" s="12"/>
    </row>
    <row r="171" customFormat="false" ht="15" hidden="false" customHeight="true" outlineLevel="0" collapsed="false">
      <c r="A171" s="6" t="s">
        <v>846</v>
      </c>
      <c r="B171" s="6" t="s">
        <v>130</v>
      </c>
      <c r="C171" s="6" t="s">
        <v>847</v>
      </c>
      <c r="D171" s="6" t="s">
        <v>385</v>
      </c>
      <c r="E171" s="13"/>
      <c r="F171" s="6" t="n">
        <v>1973</v>
      </c>
      <c r="G171" s="11" t="n">
        <f aca="true">IF(F171="","",YEAR(TODAY())-F171)</f>
        <v>53</v>
      </c>
      <c r="H171" s="11" t="str">
        <f aca="false">IF(C171="","",IF(G171="","Thiếu thông tin",IF(G171&lt;6,"Trẻ em",IF(G171&lt;23,"Học sinh / Sinh viên",IF(G171&lt;60,"Đang đi làm","Nghỉ hưu")))))</f>
        <v>Đang đi làm</v>
      </c>
      <c r="I171" s="6"/>
      <c r="J171" s="11" t="str">
        <f aca="false">IF(B171="","",IFERROR(INDEX('Hộ gia đình'!$B$2:$B$2000,MATCH(B171,'Hộ gia đình'!$A$2:$A$2000,0)),"Mã hộ không tồn tại"))</f>
        <v>8+10 ngõ 17 Tạ Quang Bửu</v>
      </c>
      <c r="K171" s="14" t="s">
        <v>848</v>
      </c>
      <c r="L171" s="14"/>
      <c r="M171" s="6" t="s">
        <v>732</v>
      </c>
      <c r="N171" s="6" t="s">
        <v>388</v>
      </c>
      <c r="O171" s="6" t="s">
        <v>389</v>
      </c>
      <c r="P171" s="6"/>
      <c r="Q171" s="6" t="s">
        <v>391</v>
      </c>
      <c r="R171" s="12" t="s">
        <v>849</v>
      </c>
    </row>
    <row r="172" customFormat="false" ht="15" hidden="false" customHeight="true" outlineLevel="0" collapsed="false">
      <c r="A172" s="6" t="s">
        <v>850</v>
      </c>
      <c r="B172" s="6" t="s">
        <v>130</v>
      </c>
      <c r="C172" s="6" t="s">
        <v>851</v>
      </c>
      <c r="D172" s="6"/>
      <c r="E172" s="13" t="n">
        <v>38615</v>
      </c>
      <c r="F172" s="6" t="n">
        <v>2005</v>
      </c>
      <c r="G172" s="11" t="n">
        <f aca="true">IF(F172="","",YEAR(TODAY())-F172)</f>
        <v>21</v>
      </c>
      <c r="H172" s="11" t="str">
        <f aca="false">IF(C172="","",IF(G172="","Thiếu thông tin",IF(G172&lt;6,"Trẻ em",IF(G172&lt;23,"Học sinh / Sinh viên",IF(G172&lt;60,"Đang đi làm","Nghỉ hưu")))))</f>
        <v>Học sinh / Sinh viên</v>
      </c>
      <c r="I172" s="6"/>
      <c r="J172" s="11" t="str">
        <f aca="false">IF(B172="","",IFERROR(INDEX('Hộ gia đình'!$B$2:$B$2000,MATCH(B172,'Hộ gia đình'!$A$2:$A$2000,0)),"Mã hộ không tồn tại"))</f>
        <v>8+10 ngõ 17 Tạ Quang Bửu</v>
      </c>
      <c r="K172" s="14" t="s">
        <v>852</v>
      </c>
      <c r="L172" s="14"/>
      <c r="M172" s="6" t="s">
        <v>422</v>
      </c>
      <c r="N172" s="6" t="s">
        <v>388</v>
      </c>
      <c r="O172" s="6" t="s">
        <v>389</v>
      </c>
      <c r="P172" s="6"/>
      <c r="Q172" s="6" t="s">
        <v>583</v>
      </c>
      <c r="R172" s="12"/>
    </row>
    <row r="173" customFormat="false" ht="15" hidden="false" customHeight="true" outlineLevel="0" collapsed="false">
      <c r="A173" s="6" t="s">
        <v>853</v>
      </c>
      <c r="B173" s="6" t="s">
        <v>130</v>
      </c>
      <c r="C173" s="6" t="s">
        <v>854</v>
      </c>
      <c r="D173" s="6"/>
      <c r="E173" s="13"/>
      <c r="F173" s="6" t="n">
        <v>2009</v>
      </c>
      <c r="G173" s="11" t="n">
        <f aca="true">IF(F173="","",YEAR(TODAY())-F173)</f>
        <v>17</v>
      </c>
      <c r="H173" s="11" t="str">
        <f aca="false">IF(C173="","",IF(G173="","Thiếu thông tin",IF(G173&lt;6,"Trẻ em",IF(G173&lt;23,"Học sinh / Sinh viên",IF(G173&lt;60,"Đang đi làm","Nghỉ hưu")))))</f>
        <v>Học sinh / Sinh viên</v>
      </c>
      <c r="I173" s="6"/>
      <c r="J173" s="11" t="str">
        <f aca="false">IF(B173="","",IFERROR(INDEX('Hộ gia đình'!$B$2:$B$2000,MATCH(B173,'Hộ gia đình'!$A$2:$A$2000,0)),"Mã hộ không tồn tại"))</f>
        <v>8+10 ngõ 17 Tạ Quang Bửu</v>
      </c>
      <c r="K173" s="14"/>
      <c r="L173" s="14"/>
      <c r="M173" s="6"/>
      <c r="N173" s="6" t="s">
        <v>395</v>
      </c>
      <c r="O173" s="6" t="s">
        <v>389</v>
      </c>
      <c r="P173" s="6"/>
      <c r="Q173" s="6" t="s">
        <v>403</v>
      </c>
      <c r="R173" s="12"/>
    </row>
    <row r="174" customFormat="false" ht="15" hidden="false" customHeight="true" outlineLevel="0" collapsed="false">
      <c r="A174" s="6" t="s">
        <v>855</v>
      </c>
      <c r="B174" s="6" t="s">
        <v>132</v>
      </c>
      <c r="C174" s="6" t="s">
        <v>856</v>
      </c>
      <c r="D174" s="6"/>
      <c r="E174" s="13"/>
      <c r="F174" s="6" t="n">
        <v>1996</v>
      </c>
      <c r="G174" s="11" t="n">
        <f aca="true">IF(F174="","",YEAR(TODAY())-F174)</f>
        <v>30</v>
      </c>
      <c r="H174" s="11" t="str">
        <f aca="false">IF(C174="","",IF(G174="","Thiếu thông tin",IF(G174&lt;6,"Trẻ em",IF(G174&lt;23,"Học sinh / Sinh viên",IF(G174&lt;60,"Đang đi làm","Nghỉ hưu")))))</f>
        <v>Đang đi làm</v>
      </c>
      <c r="I174" s="6" t="s">
        <v>52</v>
      </c>
      <c r="J174" s="11" t="str">
        <f aca="false">IF(B174="","",IFERROR(INDEX('Hộ gia đình'!$B$2:$B$2000,MATCH(B174,'Hộ gia đình'!$A$2:$A$2000,0)),"Mã hộ không tồn tại"))</f>
        <v>12 ngõ 17 Tạ Quang Bửu</v>
      </c>
      <c r="K174" s="14"/>
      <c r="L174" s="14"/>
      <c r="M174" s="6"/>
      <c r="N174" s="6" t="s">
        <v>395</v>
      </c>
      <c r="O174" s="6" t="s">
        <v>389</v>
      </c>
      <c r="P174" s="6"/>
      <c r="Q174" s="6" t="s">
        <v>403</v>
      </c>
      <c r="R174" s="12"/>
    </row>
    <row r="175" customFormat="false" ht="15" hidden="false" customHeight="true" outlineLevel="0" collapsed="false">
      <c r="A175" s="6" t="s">
        <v>857</v>
      </c>
      <c r="B175" s="6" t="s">
        <v>132</v>
      </c>
      <c r="C175" s="6" t="s">
        <v>858</v>
      </c>
      <c r="D175" s="6" t="s">
        <v>385</v>
      </c>
      <c r="E175" s="13" t="n">
        <v>29889</v>
      </c>
      <c r="F175" s="6" t="n">
        <v>1981</v>
      </c>
      <c r="G175" s="11" t="n">
        <f aca="true">IF(F175="","",YEAR(TODAY())-F175)</f>
        <v>45</v>
      </c>
      <c r="H175" s="11" t="str">
        <f aca="false">IF(C175="","",IF(G175="","Thiếu thông tin",IF(G175&lt;6,"Trẻ em",IF(G175&lt;23,"Học sinh / Sinh viên",IF(G175&lt;60,"Đang đi làm","Nghỉ hưu")))))</f>
        <v>Đang đi làm</v>
      </c>
      <c r="I175" s="6"/>
      <c r="J175" s="11" t="str">
        <f aca="false">IF(B175="","",IFERROR(INDEX('Hộ gia đình'!$B$2:$B$2000,MATCH(B175,'Hộ gia đình'!$A$2:$A$2000,0)),"Mã hộ không tồn tại"))</f>
        <v>12 ngõ 17 Tạ Quang Bửu</v>
      </c>
      <c r="K175" s="14" t="s">
        <v>859</v>
      </c>
      <c r="L175" s="14"/>
      <c r="M175" s="6" t="s">
        <v>459</v>
      </c>
      <c r="N175" s="6" t="s">
        <v>388</v>
      </c>
      <c r="O175" s="6" t="s">
        <v>389</v>
      </c>
      <c r="P175" s="6"/>
      <c r="Q175" s="6" t="s">
        <v>391</v>
      </c>
      <c r="R175" s="12"/>
    </row>
    <row r="176" customFormat="false" ht="15" hidden="false" customHeight="true" outlineLevel="0" collapsed="false">
      <c r="A176" s="6" t="s">
        <v>860</v>
      </c>
      <c r="B176" s="6" t="s">
        <v>132</v>
      </c>
      <c r="C176" s="6" t="s">
        <v>861</v>
      </c>
      <c r="D176" s="6"/>
      <c r="E176" s="13"/>
      <c r="F176" s="6" t="n">
        <v>2005</v>
      </c>
      <c r="G176" s="11" t="n">
        <f aca="true">IF(F176="","",YEAR(TODAY())-F176)</f>
        <v>21</v>
      </c>
      <c r="H176" s="11" t="str">
        <f aca="false">IF(C176="","",IF(G176="","Thiếu thông tin",IF(G176&lt;6,"Trẻ em",IF(G176&lt;23,"Học sinh / Sinh viên",IF(G176&lt;60,"Đang đi làm","Nghỉ hưu")))))</f>
        <v>Học sinh / Sinh viên</v>
      </c>
      <c r="I176" s="6"/>
      <c r="J176" s="11" t="str">
        <f aca="false">IF(B176="","",IFERROR(INDEX('Hộ gia đình'!$B$2:$B$2000,MATCH(B176,'Hộ gia đình'!$A$2:$A$2000,0)),"Mã hộ không tồn tại"))</f>
        <v>12 ngõ 17 Tạ Quang Bửu</v>
      </c>
      <c r="K176" s="14"/>
      <c r="L176" s="14"/>
      <c r="M176" s="6"/>
      <c r="N176" s="6" t="s">
        <v>395</v>
      </c>
      <c r="O176" s="6" t="s">
        <v>389</v>
      </c>
      <c r="P176" s="6"/>
      <c r="Q176" s="6" t="s">
        <v>403</v>
      </c>
      <c r="R176" s="12"/>
    </row>
    <row r="177" customFormat="false" ht="15" hidden="false" customHeight="true" outlineLevel="0" collapsed="false">
      <c r="A177" s="6" t="s">
        <v>862</v>
      </c>
      <c r="B177" s="6" t="s">
        <v>132</v>
      </c>
      <c r="C177" s="6" t="s">
        <v>863</v>
      </c>
      <c r="D177" s="6"/>
      <c r="E177" s="13"/>
      <c r="F177" s="6" t="n">
        <v>2010</v>
      </c>
      <c r="G177" s="11" t="n">
        <f aca="true">IF(F177="","",YEAR(TODAY())-F177)</f>
        <v>16</v>
      </c>
      <c r="H177" s="11" t="str">
        <f aca="false">IF(C177="","",IF(G177="","Thiếu thông tin",IF(G177&lt;6,"Trẻ em",IF(G177&lt;23,"Học sinh / Sinh viên",IF(G177&lt;60,"Đang đi làm","Nghỉ hưu")))))</f>
        <v>Học sinh / Sinh viên</v>
      </c>
      <c r="I177" s="6"/>
      <c r="J177" s="11" t="str">
        <f aca="false">IF(B177="","",IFERROR(INDEX('Hộ gia đình'!$B$2:$B$2000,MATCH(B177,'Hộ gia đình'!$A$2:$A$2000,0)),"Mã hộ không tồn tại"))</f>
        <v>12 ngõ 17 Tạ Quang Bửu</v>
      </c>
      <c r="K177" s="14"/>
      <c r="L177" s="14"/>
      <c r="M177" s="6"/>
      <c r="N177" s="6" t="s">
        <v>395</v>
      </c>
      <c r="O177" s="6" t="s">
        <v>389</v>
      </c>
      <c r="P177" s="6"/>
      <c r="Q177" s="6" t="s">
        <v>403</v>
      </c>
      <c r="R177" s="12"/>
    </row>
    <row r="178" customFormat="false" ht="15" hidden="false" customHeight="true" outlineLevel="0" collapsed="false">
      <c r="A178" s="6" t="s">
        <v>864</v>
      </c>
      <c r="B178" s="6" t="s">
        <v>134</v>
      </c>
      <c r="C178" s="6" t="s">
        <v>865</v>
      </c>
      <c r="D178" s="6" t="s">
        <v>385</v>
      </c>
      <c r="E178" s="13" t="n">
        <v>18329</v>
      </c>
      <c r="F178" s="6" t="n">
        <v>1950</v>
      </c>
      <c r="G178" s="11" t="n">
        <f aca="true">IF(F178="","",YEAR(TODAY())-F178)</f>
        <v>76</v>
      </c>
      <c r="H178" s="11" t="str">
        <f aca="false">IF(C178="","",IF(G178="","Thiếu thông tin",IF(G178&lt;6,"Trẻ em",IF(G178&lt;23,"Học sinh / Sinh viên",IF(G178&lt;60,"Đang đi làm","Nghỉ hưu")))))</f>
        <v>Nghỉ hưu</v>
      </c>
      <c r="I178" s="6" t="s">
        <v>52</v>
      </c>
      <c r="J178" s="11" t="str">
        <f aca="false">IF(B178="","",IFERROR(INDEX('Hộ gia đình'!$B$2:$B$2000,MATCH(B178,'Hộ gia đình'!$A$2:$A$2000,0)),"Mã hộ không tồn tại"))</f>
        <v>14 ngõ 17 Tạ Quang Bửu</v>
      </c>
      <c r="K178" s="14" t="s">
        <v>866</v>
      </c>
      <c r="L178" s="14"/>
      <c r="M178" s="6" t="s">
        <v>451</v>
      </c>
      <c r="N178" s="6" t="s">
        <v>388</v>
      </c>
      <c r="O178" s="6" t="s">
        <v>389</v>
      </c>
      <c r="P178" s="6"/>
      <c r="Q178" s="6" t="s">
        <v>391</v>
      </c>
      <c r="R178" s="12"/>
    </row>
    <row r="179" customFormat="false" ht="15" hidden="false" customHeight="true" outlineLevel="0" collapsed="false">
      <c r="A179" s="6" t="s">
        <v>867</v>
      </c>
      <c r="B179" s="6" t="s">
        <v>134</v>
      </c>
      <c r="C179" s="6" t="s">
        <v>868</v>
      </c>
      <c r="D179" s="6" t="s">
        <v>408</v>
      </c>
      <c r="E179" s="13" t="n">
        <v>14910</v>
      </c>
      <c r="F179" s="6" t="n">
        <v>1940</v>
      </c>
      <c r="G179" s="11" t="n">
        <f aca="true">IF(F179="","",YEAR(TODAY())-F179)</f>
        <v>86</v>
      </c>
      <c r="H179" s="11" t="str">
        <f aca="false">IF(C179="","",IF(G179="","Thiếu thông tin",IF(G179&lt;6,"Trẻ em",IF(G179&lt;23,"Học sinh / Sinh viên",IF(G179&lt;60,"Đang đi làm","Nghỉ hưu")))))</f>
        <v>Nghỉ hưu</v>
      </c>
      <c r="I179" s="6"/>
      <c r="J179" s="11" t="str">
        <f aca="false">IF(B179="","",IFERROR(INDEX('Hộ gia đình'!$B$2:$B$2000,MATCH(B179,'Hộ gia đình'!$A$2:$A$2000,0)),"Mã hộ không tồn tại"))</f>
        <v>14 ngõ 17 Tạ Quang Bửu</v>
      </c>
      <c r="K179" s="14" t="s">
        <v>869</v>
      </c>
      <c r="L179" s="14"/>
      <c r="M179" s="6" t="s">
        <v>451</v>
      </c>
      <c r="N179" s="6" t="s">
        <v>388</v>
      </c>
      <c r="O179" s="6" t="s">
        <v>389</v>
      </c>
      <c r="P179" s="6"/>
      <c r="Q179" s="6" t="s">
        <v>391</v>
      </c>
      <c r="R179" s="12"/>
    </row>
    <row r="180" customFormat="false" ht="15" hidden="false" customHeight="true" outlineLevel="0" collapsed="false">
      <c r="A180" s="6" t="s">
        <v>870</v>
      </c>
      <c r="B180" s="6" t="s">
        <v>134</v>
      </c>
      <c r="C180" s="6" t="s">
        <v>871</v>
      </c>
      <c r="D180" s="6" t="s">
        <v>408</v>
      </c>
      <c r="E180" s="13" t="n">
        <v>28939</v>
      </c>
      <c r="F180" s="6" t="n">
        <v>1979</v>
      </c>
      <c r="G180" s="11" t="n">
        <f aca="true">IF(F180="","",YEAR(TODAY())-F180)</f>
        <v>47</v>
      </c>
      <c r="H180" s="11" t="str">
        <f aca="false">IF(C180="","",IF(G180="","Thiếu thông tin",IF(G180&lt;6,"Trẻ em",IF(G180&lt;23,"Học sinh / Sinh viên",IF(G180&lt;60,"Đang đi làm","Nghỉ hưu")))))</f>
        <v>Đang đi làm</v>
      </c>
      <c r="I180" s="6"/>
      <c r="J180" s="11" t="str">
        <f aca="false">IF(B180="","",IFERROR(INDEX('Hộ gia đình'!$B$2:$B$2000,MATCH(B180,'Hộ gia đình'!$A$2:$A$2000,0)),"Mã hộ không tồn tại"))</f>
        <v>14 ngõ 17 Tạ Quang Bửu</v>
      </c>
      <c r="K180" s="14"/>
      <c r="L180" s="14"/>
      <c r="M180" s="6"/>
      <c r="N180" s="6" t="s">
        <v>388</v>
      </c>
      <c r="O180" s="6" t="s">
        <v>389</v>
      </c>
      <c r="P180" s="6"/>
      <c r="Q180" s="6" t="s">
        <v>391</v>
      </c>
      <c r="R180" s="12"/>
    </row>
    <row r="181" customFormat="false" ht="15" hidden="false" customHeight="true" outlineLevel="0" collapsed="false">
      <c r="A181" s="6" t="s">
        <v>872</v>
      </c>
      <c r="B181" s="6" t="s">
        <v>134</v>
      </c>
      <c r="C181" s="6" t="s">
        <v>873</v>
      </c>
      <c r="D181" s="6"/>
      <c r="E181" s="13" t="n">
        <v>40808</v>
      </c>
      <c r="F181" s="6" t="n">
        <v>2011</v>
      </c>
      <c r="G181" s="11" t="n">
        <f aca="true">IF(F181="","",YEAR(TODAY())-F181)</f>
        <v>15</v>
      </c>
      <c r="H181" s="11" t="str">
        <f aca="false">IF(C181="","",IF(G181="","Thiếu thông tin",IF(G181&lt;6,"Trẻ em",IF(G181&lt;23,"Học sinh / Sinh viên",IF(G181&lt;60,"Đang đi làm","Nghỉ hưu")))))</f>
        <v>Học sinh / Sinh viên</v>
      </c>
      <c r="I181" s="6"/>
      <c r="J181" s="11" t="str">
        <f aca="false">IF(B181="","",IFERROR(INDEX('Hộ gia đình'!$B$2:$B$2000,MATCH(B181,'Hộ gia đình'!$A$2:$A$2000,0)),"Mã hộ không tồn tại"))</f>
        <v>14 ngõ 17 Tạ Quang Bửu</v>
      </c>
      <c r="K181" s="14"/>
      <c r="L181" s="14"/>
      <c r="M181" s="6"/>
      <c r="N181" s="6" t="s">
        <v>395</v>
      </c>
      <c r="O181" s="6" t="s">
        <v>389</v>
      </c>
      <c r="P181" s="6"/>
      <c r="Q181" s="6" t="s">
        <v>403</v>
      </c>
      <c r="R181" s="12"/>
    </row>
    <row r="182" customFormat="false" ht="15" hidden="false" customHeight="true" outlineLevel="0" collapsed="false">
      <c r="A182" s="6" t="s">
        <v>874</v>
      </c>
      <c r="B182" s="6" t="s">
        <v>134</v>
      </c>
      <c r="C182" s="6" t="s">
        <v>875</v>
      </c>
      <c r="D182" s="6" t="s">
        <v>385</v>
      </c>
      <c r="E182" s="13" t="n">
        <v>26674</v>
      </c>
      <c r="F182" s="6" t="n">
        <v>1973</v>
      </c>
      <c r="G182" s="11" t="n">
        <f aca="true">IF(F182="","",YEAR(TODAY())-F182)</f>
        <v>53</v>
      </c>
      <c r="H182" s="11" t="str">
        <f aca="false">IF(C182="","",IF(G182="","Thiếu thông tin",IF(G182&lt;6,"Trẻ em",IF(G182&lt;23,"Học sinh / Sinh viên",IF(G182&lt;60,"Đang đi làm","Nghỉ hưu")))))</f>
        <v>Đang đi làm</v>
      </c>
      <c r="I182" s="6"/>
      <c r="J182" s="11" t="str">
        <f aca="false">IF(B182="","",IFERROR(INDEX('Hộ gia đình'!$B$2:$B$2000,MATCH(B182,'Hộ gia đình'!$A$2:$A$2000,0)),"Mã hộ không tồn tại"))</f>
        <v>14 ngõ 17 Tạ Quang Bửu</v>
      </c>
      <c r="K182" s="14" t="s">
        <v>876</v>
      </c>
      <c r="L182" s="14"/>
      <c r="M182" s="6" t="s">
        <v>877</v>
      </c>
      <c r="N182" s="6" t="s">
        <v>388</v>
      </c>
      <c r="O182" s="6" t="s">
        <v>389</v>
      </c>
      <c r="P182" s="6"/>
      <c r="Q182" s="6" t="s">
        <v>410</v>
      </c>
      <c r="R182" s="12"/>
    </row>
    <row r="183" customFormat="false" ht="15" hidden="false" customHeight="true" outlineLevel="0" collapsed="false">
      <c r="A183" s="6" t="s">
        <v>878</v>
      </c>
      <c r="B183" s="6" t="s">
        <v>136</v>
      </c>
      <c r="C183" s="6" t="s">
        <v>879</v>
      </c>
      <c r="D183" s="6" t="s">
        <v>385</v>
      </c>
      <c r="E183" s="13" t="n">
        <v>18270</v>
      </c>
      <c r="F183" s="6" t="n">
        <v>1950</v>
      </c>
      <c r="G183" s="11" t="n">
        <f aca="true">IF(F183="","",YEAR(TODAY())-F183)</f>
        <v>76</v>
      </c>
      <c r="H183" s="11" t="str">
        <f aca="false">IF(C183="","",IF(G183="","Thiếu thông tin",IF(G183&lt;6,"Trẻ em",IF(G183&lt;23,"Học sinh / Sinh viên",IF(G183&lt;60,"Đang đi làm","Nghỉ hưu")))))</f>
        <v>Nghỉ hưu</v>
      </c>
      <c r="I183" s="6" t="s">
        <v>52</v>
      </c>
      <c r="J183" s="11" t="str">
        <f aca="false">IF(B183="","",IFERROR(INDEX('Hộ gia đình'!$B$2:$B$2000,MATCH(B183,'Hộ gia đình'!$A$2:$A$2000,0)),"Mã hộ không tồn tại"))</f>
        <v>18 ngõ 17 Tạ Quang Bửu</v>
      </c>
      <c r="K183" s="14" t="s">
        <v>880</v>
      </c>
      <c r="L183" s="14"/>
      <c r="M183" s="6" t="s">
        <v>451</v>
      </c>
      <c r="N183" s="6" t="s">
        <v>388</v>
      </c>
      <c r="O183" s="6" t="s">
        <v>389</v>
      </c>
      <c r="P183" s="6"/>
      <c r="Q183" s="6" t="s">
        <v>391</v>
      </c>
      <c r="R183" s="12"/>
    </row>
    <row r="184" customFormat="false" ht="15" hidden="false" customHeight="true" outlineLevel="0" collapsed="false">
      <c r="A184" s="6" t="s">
        <v>881</v>
      </c>
      <c r="B184" s="6" t="s">
        <v>136</v>
      </c>
      <c r="C184" s="6" t="s">
        <v>882</v>
      </c>
      <c r="D184" s="6" t="s">
        <v>408</v>
      </c>
      <c r="E184" s="13" t="n">
        <v>15617</v>
      </c>
      <c r="F184" s="6" t="n">
        <v>1942</v>
      </c>
      <c r="G184" s="11" t="n">
        <f aca="true">IF(F184="","",YEAR(TODAY())-F184)</f>
        <v>84</v>
      </c>
      <c r="H184" s="11" t="str">
        <f aca="false">IF(C184="","",IF(G184="","Thiếu thông tin",IF(G184&lt;6,"Trẻ em",IF(G184&lt;23,"Học sinh / Sinh viên",IF(G184&lt;60,"Đang đi làm","Nghỉ hưu")))))</f>
        <v>Nghỉ hưu</v>
      </c>
      <c r="I184" s="6"/>
      <c r="J184" s="11" t="str">
        <f aca="false">IF(B184="","",IFERROR(INDEX('Hộ gia đình'!$B$2:$B$2000,MATCH(B184,'Hộ gia đình'!$A$2:$A$2000,0)),"Mã hộ không tồn tại"))</f>
        <v>18 ngõ 17 Tạ Quang Bửu</v>
      </c>
      <c r="K184" s="14" t="s">
        <v>883</v>
      </c>
      <c r="L184" s="14"/>
      <c r="M184" s="6" t="s">
        <v>451</v>
      </c>
      <c r="N184" s="6" t="s">
        <v>388</v>
      </c>
      <c r="O184" s="6" t="s">
        <v>389</v>
      </c>
      <c r="P184" s="6"/>
      <c r="Q184" s="6" t="s">
        <v>391</v>
      </c>
      <c r="R184" s="12" t="s">
        <v>884</v>
      </c>
    </row>
    <row r="185" customFormat="false" ht="15" hidden="false" customHeight="true" outlineLevel="0" collapsed="false">
      <c r="A185" s="6" t="s">
        <v>885</v>
      </c>
      <c r="B185" s="6" t="s">
        <v>136</v>
      </c>
      <c r="C185" s="6" t="s">
        <v>886</v>
      </c>
      <c r="D185" s="6" t="s">
        <v>408</v>
      </c>
      <c r="E185" s="13" t="n">
        <v>29626</v>
      </c>
      <c r="F185" s="6" t="n">
        <v>1981</v>
      </c>
      <c r="G185" s="11" t="n">
        <f aca="true">IF(F185="","",YEAR(TODAY())-F185)</f>
        <v>45</v>
      </c>
      <c r="H185" s="11" t="str">
        <f aca="false">IF(C185="","",IF(G185="","Thiếu thông tin",IF(G185&lt;6,"Trẻ em",IF(G185&lt;23,"Học sinh / Sinh viên",IF(G185&lt;60,"Đang đi làm","Nghỉ hưu")))))</f>
        <v>Đang đi làm</v>
      </c>
      <c r="I185" s="6"/>
      <c r="J185" s="11" t="str">
        <f aca="false">IF(B185="","",IFERROR(INDEX('Hộ gia đình'!$B$2:$B$2000,MATCH(B185,'Hộ gia đình'!$A$2:$A$2000,0)),"Mã hộ không tồn tại"))</f>
        <v>18 ngõ 17 Tạ Quang Bửu</v>
      </c>
      <c r="K185" s="14" t="s">
        <v>887</v>
      </c>
      <c r="L185" s="14"/>
      <c r="M185" s="6" t="s">
        <v>459</v>
      </c>
      <c r="N185" s="6" t="s">
        <v>388</v>
      </c>
      <c r="O185" s="6" t="s">
        <v>389</v>
      </c>
      <c r="P185" s="6"/>
      <c r="Q185" s="6" t="s">
        <v>391</v>
      </c>
      <c r="R185" s="12"/>
    </row>
    <row r="186" customFormat="false" ht="15" hidden="false" customHeight="true" outlineLevel="0" collapsed="false">
      <c r="A186" s="6" t="s">
        <v>888</v>
      </c>
      <c r="B186" s="6" t="s">
        <v>136</v>
      </c>
      <c r="C186" s="6" t="s">
        <v>889</v>
      </c>
      <c r="D186" s="6" t="s">
        <v>385</v>
      </c>
      <c r="E186" s="13" t="n">
        <v>33145</v>
      </c>
      <c r="F186" s="6" t="n">
        <v>1990</v>
      </c>
      <c r="G186" s="11" t="n">
        <f aca="true">IF(F186="","",YEAR(TODAY())-F186)</f>
        <v>36</v>
      </c>
      <c r="H186" s="11" t="str">
        <f aca="false">IF(C186="","",IF(G186="","Thiếu thông tin",IF(G186&lt;6,"Trẻ em",IF(G186&lt;23,"Học sinh / Sinh viên",IF(G186&lt;60,"Đang đi làm","Nghỉ hưu")))))</f>
        <v>Đang đi làm</v>
      </c>
      <c r="I186" s="6"/>
      <c r="J186" s="11" t="str">
        <f aca="false">IF(B186="","",IFERROR(INDEX('Hộ gia đình'!$B$2:$B$2000,MATCH(B186,'Hộ gia đình'!$A$2:$A$2000,0)),"Mã hộ không tồn tại"))</f>
        <v>18 ngõ 17 Tạ Quang Bửu</v>
      </c>
      <c r="K186" s="14" t="s">
        <v>890</v>
      </c>
      <c r="L186" s="14"/>
      <c r="M186" s="6" t="s">
        <v>459</v>
      </c>
      <c r="N186" s="6" t="s">
        <v>388</v>
      </c>
      <c r="O186" s="6" t="s">
        <v>389</v>
      </c>
      <c r="P186" s="6"/>
      <c r="Q186" s="6" t="s">
        <v>391</v>
      </c>
      <c r="R186" s="12"/>
    </row>
    <row r="187" customFormat="false" ht="15" hidden="false" customHeight="true" outlineLevel="0" collapsed="false">
      <c r="A187" s="6" t="s">
        <v>891</v>
      </c>
      <c r="B187" s="6" t="s">
        <v>136</v>
      </c>
      <c r="C187" s="6" t="s">
        <v>892</v>
      </c>
      <c r="D187" s="6"/>
      <c r="E187" s="13"/>
      <c r="F187" s="6" t="n">
        <v>2020</v>
      </c>
      <c r="G187" s="11" t="n">
        <f aca="true">IF(F187="","",YEAR(TODAY())-F187)</f>
        <v>6</v>
      </c>
      <c r="H187" s="11" t="str">
        <f aca="false">IF(C187="","",IF(G187="","Thiếu thông tin",IF(G187&lt;6,"Trẻ em",IF(G187&lt;23,"Học sinh / Sinh viên",IF(G187&lt;60,"Đang đi làm","Nghỉ hưu")))))</f>
        <v>Học sinh / Sinh viên</v>
      </c>
      <c r="I187" s="6"/>
      <c r="J187" s="11" t="str">
        <f aca="false">IF(B187="","",IFERROR(INDEX('Hộ gia đình'!$B$2:$B$2000,MATCH(B187,'Hộ gia đình'!$A$2:$A$2000,0)),"Mã hộ không tồn tại"))</f>
        <v>18 ngõ 17 Tạ Quang Bửu</v>
      </c>
      <c r="K187" s="14"/>
      <c r="L187" s="14"/>
      <c r="M187" s="6"/>
      <c r="N187" s="6" t="s">
        <v>395</v>
      </c>
      <c r="O187" s="6" t="s">
        <v>389</v>
      </c>
      <c r="P187" s="6"/>
      <c r="Q187" s="6" t="s">
        <v>403</v>
      </c>
      <c r="R187" s="12"/>
    </row>
    <row r="188" customFormat="false" ht="15" hidden="false" customHeight="true" outlineLevel="0" collapsed="false">
      <c r="A188" s="6" t="s">
        <v>893</v>
      </c>
      <c r="B188" s="6" t="s">
        <v>136</v>
      </c>
      <c r="C188" s="6" t="s">
        <v>894</v>
      </c>
      <c r="D188" s="6"/>
      <c r="E188" s="13"/>
      <c r="F188" s="6" t="n">
        <v>2023</v>
      </c>
      <c r="G188" s="11" t="n">
        <f aca="true">IF(F188="","",YEAR(TODAY())-F188)</f>
        <v>3</v>
      </c>
      <c r="H188" s="11" t="str">
        <f aca="false">IF(C188="","",IF(G188="","Thiếu thông tin",IF(G188&lt;6,"Trẻ em",IF(G188&lt;23,"Học sinh / Sinh viên",IF(G188&lt;60,"Đang đi làm","Nghỉ hưu")))))</f>
        <v>Trẻ em</v>
      </c>
      <c r="I188" s="6"/>
      <c r="J188" s="11" t="str">
        <f aca="false">IF(B188="","",IFERROR(INDEX('Hộ gia đình'!$B$2:$B$2000,MATCH(B188,'Hộ gia đình'!$A$2:$A$2000,0)),"Mã hộ không tồn tại"))</f>
        <v>18 ngõ 17 Tạ Quang Bửu</v>
      </c>
      <c r="K188" s="14"/>
      <c r="L188" s="14"/>
      <c r="M188" s="6"/>
      <c r="N188" s="6" t="s">
        <v>395</v>
      </c>
      <c r="O188" s="6" t="s">
        <v>389</v>
      </c>
      <c r="P188" s="6"/>
      <c r="Q188" s="6" t="s">
        <v>403</v>
      </c>
      <c r="R188" s="12"/>
    </row>
    <row r="189" customFormat="false" ht="15" hidden="false" customHeight="true" outlineLevel="0" collapsed="false">
      <c r="A189" s="6" t="s">
        <v>895</v>
      </c>
      <c r="B189" s="6" t="s">
        <v>136</v>
      </c>
      <c r="C189" s="6" t="s">
        <v>856</v>
      </c>
      <c r="D189" s="6" t="s">
        <v>408</v>
      </c>
      <c r="E189" s="13" t="n">
        <v>27785</v>
      </c>
      <c r="F189" s="6" t="n">
        <v>1976</v>
      </c>
      <c r="G189" s="11" t="n">
        <f aca="true">IF(F189="","",YEAR(TODAY())-F189)</f>
        <v>50</v>
      </c>
      <c r="H189" s="11" t="str">
        <f aca="false">IF(C189="","",IF(G189="","Thiếu thông tin",IF(G189&lt;6,"Trẻ em",IF(G189&lt;23,"Học sinh / Sinh viên",IF(G189&lt;60,"Đang đi làm","Nghỉ hưu")))))</f>
        <v>Đang đi làm</v>
      </c>
      <c r="I189" s="6"/>
      <c r="J189" s="11" t="str">
        <f aca="false">IF(B189="","",IFERROR(INDEX('Hộ gia đình'!$B$2:$B$2000,MATCH(B189,'Hộ gia đình'!$A$2:$A$2000,0)),"Mã hộ không tồn tại"))</f>
        <v>18 ngõ 17 Tạ Quang Bửu</v>
      </c>
      <c r="K189" s="14" t="s">
        <v>896</v>
      </c>
      <c r="L189" s="14"/>
      <c r="M189" s="6" t="s">
        <v>459</v>
      </c>
      <c r="N189" s="6" t="s">
        <v>388</v>
      </c>
      <c r="O189" s="6" t="s">
        <v>389</v>
      </c>
      <c r="P189" s="6"/>
      <c r="Q189" s="6" t="s">
        <v>410</v>
      </c>
      <c r="R189" s="12"/>
    </row>
    <row r="190" customFormat="false" ht="15" hidden="false" customHeight="true" outlineLevel="0" collapsed="false">
      <c r="A190" s="6" t="s">
        <v>897</v>
      </c>
      <c r="B190" s="6" t="s">
        <v>138</v>
      </c>
      <c r="C190" s="6" t="s">
        <v>898</v>
      </c>
      <c r="D190" s="6" t="s">
        <v>385</v>
      </c>
      <c r="E190" s="13" t="n">
        <v>17886</v>
      </c>
      <c r="F190" s="6" t="n">
        <v>1948</v>
      </c>
      <c r="G190" s="11" t="n">
        <f aca="true">IF(F190="","",YEAR(TODAY())-F190)</f>
        <v>78</v>
      </c>
      <c r="H190" s="11" t="str">
        <f aca="false">IF(C190="","",IF(G190="","Thiếu thông tin",IF(G190&lt;6,"Trẻ em",IF(G190&lt;23,"Học sinh / Sinh viên",IF(G190&lt;60,"Đang đi làm","Nghỉ hưu")))))</f>
        <v>Nghỉ hưu</v>
      </c>
      <c r="I190" s="6" t="s">
        <v>52</v>
      </c>
      <c r="J190" s="11" t="str">
        <f aca="false">IF(B190="","",IFERROR(INDEX('Hộ gia đình'!$B$2:$B$2000,MATCH(B190,'Hộ gia đình'!$A$2:$A$2000,0)),"Mã hộ không tồn tại"))</f>
        <v>20 ngõ 17 Tạ Quang Bửu</v>
      </c>
      <c r="K190" s="14" t="s">
        <v>899</v>
      </c>
      <c r="L190" s="14"/>
      <c r="M190" s="6" t="s">
        <v>451</v>
      </c>
      <c r="N190" s="6" t="s">
        <v>388</v>
      </c>
      <c r="O190" s="6" t="s">
        <v>389</v>
      </c>
      <c r="P190" s="6"/>
      <c r="Q190" s="6" t="s">
        <v>391</v>
      </c>
      <c r="R190" s="12"/>
    </row>
    <row r="191" customFormat="false" ht="15" hidden="false" customHeight="true" outlineLevel="0" collapsed="false">
      <c r="A191" s="6" t="s">
        <v>900</v>
      </c>
      <c r="B191" s="6" t="s">
        <v>140</v>
      </c>
      <c r="C191" s="6" t="s">
        <v>901</v>
      </c>
      <c r="D191" s="6" t="s">
        <v>385</v>
      </c>
      <c r="E191" s="13" t="n">
        <v>17717</v>
      </c>
      <c r="F191" s="6" t="n">
        <v>1948</v>
      </c>
      <c r="G191" s="11" t="n">
        <f aca="true">IF(F191="","",YEAR(TODAY())-F191)</f>
        <v>78</v>
      </c>
      <c r="H191" s="11" t="str">
        <f aca="false">IF(C191="","",IF(G191="","Thiếu thông tin",IF(G191&lt;6,"Trẻ em",IF(G191&lt;23,"Học sinh / Sinh viên",IF(G191&lt;60,"Đang đi làm","Nghỉ hưu")))))</f>
        <v>Nghỉ hưu</v>
      </c>
      <c r="I191" s="6" t="s">
        <v>52</v>
      </c>
      <c r="J191" s="11" t="str">
        <f aca="false">IF(B191="","",IFERROR(INDEX('Hộ gia đình'!$B$2:$B$2000,MATCH(B191,'Hộ gia đình'!$A$2:$A$2000,0)),"Mã hộ không tồn tại"))</f>
        <v>24 ngõ 17 Tạ Quang Bửu</v>
      </c>
      <c r="K191" s="14" t="s">
        <v>902</v>
      </c>
      <c r="L191" s="14"/>
      <c r="M191" s="6" t="s">
        <v>451</v>
      </c>
      <c r="N191" s="6" t="s">
        <v>388</v>
      </c>
      <c r="O191" s="6" t="s">
        <v>389</v>
      </c>
      <c r="P191" s="6"/>
      <c r="Q191" s="6" t="s">
        <v>391</v>
      </c>
      <c r="R191" s="12"/>
    </row>
    <row r="192" customFormat="false" ht="15" hidden="false" customHeight="true" outlineLevel="0" collapsed="false">
      <c r="A192" s="6" t="s">
        <v>903</v>
      </c>
      <c r="B192" s="6" t="s">
        <v>140</v>
      </c>
      <c r="C192" s="6" t="s">
        <v>904</v>
      </c>
      <c r="D192" s="6" t="s">
        <v>408</v>
      </c>
      <c r="E192" s="13" t="n">
        <v>19155</v>
      </c>
      <c r="F192" s="6" t="n">
        <v>1952</v>
      </c>
      <c r="G192" s="11" t="n">
        <f aca="true">IF(F192="","",YEAR(TODAY())-F192)</f>
        <v>74</v>
      </c>
      <c r="H192" s="11" t="str">
        <f aca="false">IF(C192="","",IF(G192="","Thiếu thông tin",IF(G192&lt;6,"Trẻ em",IF(G192&lt;23,"Học sinh / Sinh viên",IF(G192&lt;60,"Đang đi làm","Nghỉ hưu")))))</f>
        <v>Nghỉ hưu</v>
      </c>
      <c r="I192" s="6"/>
      <c r="J192" s="11" t="str">
        <f aca="false">IF(B192="","",IFERROR(INDEX('Hộ gia đình'!$B$2:$B$2000,MATCH(B192,'Hộ gia đình'!$A$2:$A$2000,0)),"Mã hộ không tồn tại"))</f>
        <v>24 ngõ 17 Tạ Quang Bửu</v>
      </c>
      <c r="K192" s="14" t="s">
        <v>905</v>
      </c>
      <c r="L192" s="14"/>
      <c r="M192" s="6" t="s">
        <v>451</v>
      </c>
      <c r="N192" s="6" t="s">
        <v>388</v>
      </c>
      <c r="O192" s="6" t="s">
        <v>389</v>
      </c>
      <c r="P192" s="6"/>
      <c r="Q192" s="6" t="s">
        <v>391</v>
      </c>
      <c r="R192" s="12" t="s">
        <v>906</v>
      </c>
    </row>
    <row r="193" customFormat="false" ht="15" hidden="false" customHeight="true" outlineLevel="0" collapsed="false">
      <c r="A193" s="6" t="s">
        <v>907</v>
      </c>
      <c r="B193" s="6" t="s">
        <v>142</v>
      </c>
      <c r="C193" s="6" t="s">
        <v>908</v>
      </c>
      <c r="D193" s="6" t="s">
        <v>408</v>
      </c>
      <c r="E193" s="13"/>
      <c r="F193" s="6" t="n">
        <v>1966</v>
      </c>
      <c r="G193" s="11" t="n">
        <f aca="true">IF(F193="","",YEAR(TODAY())-F193)</f>
        <v>60</v>
      </c>
      <c r="H193" s="11" t="str">
        <f aca="false">IF(C193="","",IF(G193="","Thiếu thông tin",IF(G193&lt;6,"Trẻ em",IF(G193&lt;23,"Học sinh / Sinh viên",IF(G193&lt;60,"Đang đi làm","Nghỉ hưu")))))</f>
        <v>Nghỉ hưu</v>
      </c>
      <c r="I193" s="6" t="s">
        <v>52</v>
      </c>
      <c r="J193" s="11" t="str">
        <f aca="false">IF(B193="","",IFERROR(INDEX('Hộ gia đình'!$B$2:$B$2000,MATCH(B193,'Hộ gia đình'!$A$2:$A$2000,0)),"Mã hộ không tồn tại"))</f>
        <v>26 ngõ 17 Tạ Quang Bửu</v>
      </c>
      <c r="K193" s="14" t="s">
        <v>909</v>
      </c>
      <c r="L193" s="14"/>
      <c r="M193" s="6" t="s">
        <v>732</v>
      </c>
      <c r="N193" s="6" t="s">
        <v>388</v>
      </c>
      <c r="O193" s="6" t="s">
        <v>389</v>
      </c>
      <c r="P193" s="6"/>
      <c r="Q193" s="6" t="s">
        <v>391</v>
      </c>
      <c r="R193" s="12" t="s">
        <v>910</v>
      </c>
    </row>
    <row r="194" customFormat="false" ht="15" hidden="false" customHeight="true" outlineLevel="0" collapsed="false">
      <c r="A194" s="6" t="s">
        <v>911</v>
      </c>
      <c r="B194" s="6" t="s">
        <v>142</v>
      </c>
      <c r="C194" s="6" t="s">
        <v>912</v>
      </c>
      <c r="D194" s="6" t="s">
        <v>385</v>
      </c>
      <c r="E194" s="13" t="n">
        <v>25524</v>
      </c>
      <c r="F194" s="6" t="n">
        <v>1969</v>
      </c>
      <c r="G194" s="11" t="n">
        <f aca="true">IF(F194="","",YEAR(TODAY())-F194)</f>
        <v>57</v>
      </c>
      <c r="H194" s="11" t="str">
        <f aca="false">IF(C194="","",IF(G194="","Thiếu thông tin",IF(G194&lt;6,"Trẻ em",IF(G194&lt;23,"Học sinh / Sinh viên",IF(G194&lt;60,"Đang đi làm","Nghỉ hưu")))))</f>
        <v>Đang đi làm</v>
      </c>
      <c r="I194" s="6"/>
      <c r="J194" s="11" t="str">
        <f aca="false">IF(B194="","",IFERROR(INDEX('Hộ gia đình'!$B$2:$B$2000,MATCH(B194,'Hộ gia đình'!$A$2:$A$2000,0)),"Mã hộ không tồn tại"))</f>
        <v>26 ngõ 17 Tạ Quang Bửu</v>
      </c>
      <c r="K194" s="14" t="s">
        <v>913</v>
      </c>
      <c r="L194" s="14"/>
      <c r="M194" s="6" t="s">
        <v>732</v>
      </c>
      <c r="N194" s="6" t="s">
        <v>388</v>
      </c>
      <c r="O194" s="6" t="s">
        <v>389</v>
      </c>
      <c r="P194" s="6"/>
      <c r="Q194" s="6" t="s">
        <v>391</v>
      </c>
      <c r="R194" s="12"/>
    </row>
    <row r="195" customFormat="false" ht="15" hidden="false" customHeight="true" outlineLevel="0" collapsed="false">
      <c r="A195" s="6" t="s">
        <v>914</v>
      </c>
      <c r="B195" s="6" t="s">
        <v>142</v>
      </c>
      <c r="C195" s="6" t="s">
        <v>915</v>
      </c>
      <c r="D195" s="6" t="s">
        <v>408</v>
      </c>
      <c r="E195" s="13" t="n">
        <v>37607</v>
      </c>
      <c r="F195" s="6" t="n">
        <v>2002</v>
      </c>
      <c r="G195" s="11" t="n">
        <f aca="true">IF(F195="","",YEAR(TODAY())-F195)</f>
        <v>24</v>
      </c>
      <c r="H195" s="11" t="str">
        <f aca="false">IF(C195="","",IF(G195="","Thiếu thông tin",IF(G195&lt;6,"Trẻ em",IF(G195&lt;23,"Học sinh / Sinh viên",IF(G195&lt;60,"Đang đi làm","Nghỉ hưu")))))</f>
        <v>Đang đi làm</v>
      </c>
      <c r="I195" s="6"/>
      <c r="J195" s="11" t="str">
        <f aca="false">IF(B195="","",IFERROR(INDEX('Hộ gia đình'!$B$2:$B$2000,MATCH(B195,'Hộ gia đình'!$A$2:$A$2000,0)),"Mã hộ không tồn tại"))</f>
        <v>26 ngõ 17 Tạ Quang Bửu</v>
      </c>
      <c r="K195" s="14" t="s">
        <v>916</v>
      </c>
      <c r="L195" s="14"/>
      <c r="M195" s="6" t="s">
        <v>422</v>
      </c>
      <c r="N195" s="6" t="s">
        <v>388</v>
      </c>
      <c r="O195" s="6" t="s">
        <v>389</v>
      </c>
      <c r="P195" s="6"/>
      <c r="Q195" s="6" t="s">
        <v>583</v>
      </c>
      <c r="R195" s="12" t="s">
        <v>917</v>
      </c>
    </row>
    <row r="196" customFormat="false" ht="15" hidden="false" customHeight="true" outlineLevel="0" collapsed="false">
      <c r="A196" s="6" t="s">
        <v>918</v>
      </c>
      <c r="B196" s="6" t="s">
        <v>142</v>
      </c>
      <c r="C196" s="6" t="s">
        <v>919</v>
      </c>
      <c r="D196" s="6" t="s">
        <v>385</v>
      </c>
      <c r="E196" s="13" t="n">
        <v>37994</v>
      </c>
      <c r="F196" s="6" t="n">
        <v>2004</v>
      </c>
      <c r="G196" s="11" t="n">
        <f aca="true">IF(F196="","",YEAR(TODAY())-F196)</f>
        <v>22</v>
      </c>
      <c r="H196" s="11" t="str">
        <f aca="false">IF(C196="","",IF(G196="","Thiếu thông tin",IF(G196&lt;6,"Trẻ em",IF(G196&lt;23,"Học sinh / Sinh viên",IF(G196&lt;60,"Đang đi làm","Nghỉ hưu")))))</f>
        <v>Học sinh / Sinh viên</v>
      </c>
      <c r="I196" s="6"/>
      <c r="J196" s="11" t="str">
        <f aca="false">IF(B196="","",IFERROR(INDEX('Hộ gia đình'!$B$2:$B$2000,MATCH(B196,'Hộ gia đình'!$A$2:$A$2000,0)),"Mã hộ không tồn tại"))</f>
        <v>26 ngõ 17 Tạ Quang Bửu</v>
      </c>
      <c r="K196" s="14" t="s">
        <v>920</v>
      </c>
      <c r="L196" s="14"/>
      <c r="M196" s="6" t="s">
        <v>422</v>
      </c>
      <c r="N196" s="6" t="s">
        <v>388</v>
      </c>
      <c r="O196" s="6" t="s">
        <v>389</v>
      </c>
      <c r="P196" s="6"/>
      <c r="Q196" s="6" t="s">
        <v>583</v>
      </c>
      <c r="R196" s="12" t="s">
        <v>921</v>
      </c>
    </row>
    <row r="197" customFormat="false" ht="15" hidden="false" customHeight="true" outlineLevel="0" collapsed="false">
      <c r="A197" s="6" t="s">
        <v>922</v>
      </c>
      <c r="B197" s="6" t="s">
        <v>142</v>
      </c>
      <c r="C197" s="6" t="s">
        <v>923</v>
      </c>
      <c r="D197" s="6" t="s">
        <v>408</v>
      </c>
      <c r="E197" s="13" t="n">
        <v>39602</v>
      </c>
      <c r="F197" s="6" t="n">
        <v>2008</v>
      </c>
      <c r="G197" s="11" t="n">
        <f aca="true">IF(F197="","",YEAR(TODAY())-F197)</f>
        <v>18</v>
      </c>
      <c r="H197" s="11" t="str">
        <f aca="false">IF(C197="","",IF(G197="","Thiếu thông tin",IF(G197&lt;6,"Trẻ em",IF(G197&lt;23,"Học sinh / Sinh viên",IF(G197&lt;60,"Đang đi làm","Nghỉ hưu")))))</f>
        <v>Học sinh / Sinh viên</v>
      </c>
      <c r="I197" s="6"/>
      <c r="J197" s="11" t="str">
        <f aca="false">IF(B197="","",IFERROR(INDEX('Hộ gia đình'!$B$2:$B$2000,MATCH(B197,'Hộ gia đình'!$A$2:$A$2000,0)),"Mã hộ không tồn tại"))</f>
        <v>26 ngõ 17 Tạ Quang Bửu</v>
      </c>
      <c r="K197" s="14" t="s">
        <v>924</v>
      </c>
      <c r="L197" s="14"/>
      <c r="M197" s="6" t="s">
        <v>422</v>
      </c>
      <c r="N197" s="6" t="s">
        <v>388</v>
      </c>
      <c r="O197" s="6" t="s">
        <v>389</v>
      </c>
      <c r="P197" s="6"/>
      <c r="Q197" s="6" t="s">
        <v>583</v>
      </c>
      <c r="R197" s="12" t="s">
        <v>925</v>
      </c>
    </row>
    <row r="198" customFormat="false" ht="15" hidden="false" customHeight="true" outlineLevel="0" collapsed="false">
      <c r="A198" s="6" t="s">
        <v>926</v>
      </c>
      <c r="B198" s="6" t="s">
        <v>142</v>
      </c>
      <c r="C198" s="6" t="s">
        <v>927</v>
      </c>
      <c r="D198" s="6"/>
      <c r="E198" s="13"/>
      <c r="F198" s="6" t="n">
        <v>1999</v>
      </c>
      <c r="G198" s="11" t="n">
        <f aca="true">IF(F198="","",YEAR(TODAY())-F198)</f>
        <v>27</v>
      </c>
      <c r="H198" s="11" t="str">
        <f aca="false">IF(C198="","",IF(G198="","Thiếu thông tin",IF(G198&lt;6,"Trẻ em",IF(G198&lt;23,"Học sinh / Sinh viên",IF(G198&lt;60,"Đang đi làm","Nghỉ hưu")))))</f>
        <v>Đang đi làm</v>
      </c>
      <c r="I198" s="6"/>
      <c r="J198" s="11" t="str">
        <f aca="false">IF(B198="","",IFERROR(INDEX('Hộ gia đình'!$B$2:$B$2000,MATCH(B198,'Hộ gia đình'!$A$2:$A$2000,0)),"Mã hộ không tồn tại"))</f>
        <v>26 ngõ 17 Tạ Quang Bửu</v>
      </c>
      <c r="K198" s="14"/>
      <c r="L198" s="14"/>
      <c r="M198" s="6"/>
      <c r="N198" s="6" t="s">
        <v>395</v>
      </c>
      <c r="O198" s="6" t="s">
        <v>389</v>
      </c>
      <c r="P198" s="6"/>
      <c r="Q198" s="6" t="s">
        <v>403</v>
      </c>
      <c r="R198" s="12"/>
    </row>
    <row r="199" customFormat="false" ht="15" hidden="false" customHeight="true" outlineLevel="0" collapsed="false">
      <c r="A199" s="6" t="s">
        <v>928</v>
      </c>
      <c r="B199" s="6" t="s">
        <v>142</v>
      </c>
      <c r="C199" s="6" t="s">
        <v>929</v>
      </c>
      <c r="D199" s="6"/>
      <c r="E199" s="13"/>
      <c r="F199" s="6" t="n">
        <v>2003</v>
      </c>
      <c r="G199" s="11" t="n">
        <f aca="true">IF(F199="","",YEAR(TODAY())-F199)</f>
        <v>23</v>
      </c>
      <c r="H199" s="11" t="str">
        <f aca="false">IF(C199="","",IF(G199="","Thiếu thông tin",IF(G199&lt;6,"Trẻ em",IF(G199&lt;23,"Học sinh / Sinh viên",IF(G199&lt;60,"Đang đi làm","Nghỉ hưu")))))</f>
        <v>Đang đi làm</v>
      </c>
      <c r="I199" s="6"/>
      <c r="J199" s="11" t="str">
        <f aca="false">IF(B199="","",IFERROR(INDEX('Hộ gia đình'!$B$2:$B$2000,MATCH(B199,'Hộ gia đình'!$A$2:$A$2000,0)),"Mã hộ không tồn tại"))</f>
        <v>26 ngõ 17 Tạ Quang Bửu</v>
      </c>
      <c r="K199" s="14"/>
      <c r="L199" s="14"/>
      <c r="M199" s="6"/>
      <c r="N199" s="6" t="s">
        <v>395</v>
      </c>
      <c r="O199" s="6" t="s">
        <v>389</v>
      </c>
      <c r="P199" s="6"/>
      <c r="Q199" s="6" t="s">
        <v>403</v>
      </c>
      <c r="R199" s="12"/>
    </row>
    <row r="200" customFormat="false" ht="15" hidden="false" customHeight="true" outlineLevel="0" collapsed="false">
      <c r="A200" s="6" t="s">
        <v>930</v>
      </c>
      <c r="B200" s="6" t="s">
        <v>142</v>
      </c>
      <c r="C200" s="6" t="s">
        <v>931</v>
      </c>
      <c r="D200" s="6"/>
      <c r="E200" s="13"/>
      <c r="F200" s="6" t="n">
        <v>2005</v>
      </c>
      <c r="G200" s="11" t="n">
        <f aca="true">IF(F200="","",YEAR(TODAY())-F200)</f>
        <v>21</v>
      </c>
      <c r="H200" s="11" t="str">
        <f aca="false">IF(C200="","",IF(G200="","Thiếu thông tin",IF(G200&lt;6,"Trẻ em",IF(G200&lt;23,"Học sinh / Sinh viên",IF(G200&lt;60,"Đang đi làm","Nghỉ hưu")))))</f>
        <v>Học sinh / Sinh viên</v>
      </c>
      <c r="I200" s="6"/>
      <c r="J200" s="11" t="str">
        <f aca="false">IF(B200="","",IFERROR(INDEX('Hộ gia đình'!$B$2:$B$2000,MATCH(B200,'Hộ gia đình'!$A$2:$A$2000,0)),"Mã hộ không tồn tại"))</f>
        <v>26 ngõ 17 Tạ Quang Bửu</v>
      </c>
      <c r="K200" s="14"/>
      <c r="L200" s="14"/>
      <c r="M200" s="6"/>
      <c r="N200" s="6" t="s">
        <v>395</v>
      </c>
      <c r="O200" s="6" t="s">
        <v>389</v>
      </c>
      <c r="P200" s="6"/>
      <c r="Q200" s="6" t="s">
        <v>403</v>
      </c>
      <c r="R200" s="12"/>
    </row>
    <row r="201" customFormat="false" ht="15" hidden="false" customHeight="true" outlineLevel="0" collapsed="false">
      <c r="A201" s="6" t="s">
        <v>932</v>
      </c>
      <c r="B201" s="6" t="s">
        <v>144</v>
      </c>
      <c r="C201" s="6" t="s">
        <v>933</v>
      </c>
      <c r="D201" s="6" t="s">
        <v>385</v>
      </c>
      <c r="E201" s="13" t="n">
        <v>19090</v>
      </c>
      <c r="F201" s="6" t="n">
        <v>1952</v>
      </c>
      <c r="G201" s="11" t="n">
        <f aca="true">IF(F201="","",YEAR(TODAY())-F201)</f>
        <v>74</v>
      </c>
      <c r="H201" s="11" t="str">
        <f aca="false">IF(C201="","",IF(G201="","Thiếu thông tin",IF(G201&lt;6,"Trẻ em",IF(G201&lt;23,"Học sinh / Sinh viên",IF(G201&lt;60,"Đang đi làm","Nghỉ hưu")))))</f>
        <v>Nghỉ hưu</v>
      </c>
      <c r="I201" s="6" t="s">
        <v>52</v>
      </c>
      <c r="J201" s="11" t="str">
        <f aca="false">IF(B201="","",IFERROR(INDEX('Hộ gia đình'!$B$2:$B$2000,MATCH(B201,'Hộ gia đình'!$A$2:$A$2000,0)),"Mã hộ không tồn tại"))</f>
        <v>28 ngõ 17 Tạ Quang Bửu</v>
      </c>
      <c r="K201" s="14" t="s">
        <v>934</v>
      </c>
      <c r="L201" s="14"/>
      <c r="M201" s="6" t="s">
        <v>451</v>
      </c>
      <c r="N201" s="6" t="s">
        <v>388</v>
      </c>
      <c r="O201" s="6" t="s">
        <v>389</v>
      </c>
      <c r="P201" s="6"/>
      <c r="Q201" s="6" t="s">
        <v>391</v>
      </c>
      <c r="R201" s="12"/>
    </row>
    <row r="202" customFormat="false" ht="15" hidden="false" customHeight="true" outlineLevel="0" collapsed="false">
      <c r="A202" s="6" t="s">
        <v>935</v>
      </c>
      <c r="B202" s="6" t="s">
        <v>144</v>
      </c>
      <c r="C202" s="6" t="s">
        <v>936</v>
      </c>
      <c r="D202" s="6" t="s">
        <v>408</v>
      </c>
      <c r="E202" s="13" t="n">
        <v>28218</v>
      </c>
      <c r="F202" s="6" t="n">
        <v>1977</v>
      </c>
      <c r="G202" s="11" t="n">
        <f aca="true">IF(F202="","",YEAR(TODAY())-F202)</f>
        <v>49</v>
      </c>
      <c r="H202" s="11" t="str">
        <f aca="false">IF(C202="","",IF(G202="","Thiếu thông tin",IF(G202&lt;6,"Trẻ em",IF(G202&lt;23,"Học sinh / Sinh viên",IF(G202&lt;60,"Đang đi làm","Nghỉ hưu")))))</f>
        <v>Đang đi làm</v>
      </c>
      <c r="I202" s="6"/>
      <c r="J202" s="11" t="str">
        <f aca="false">IF(B202="","",IFERROR(INDEX('Hộ gia đình'!$B$2:$B$2000,MATCH(B202,'Hộ gia đình'!$A$2:$A$2000,0)),"Mã hộ không tồn tại"))</f>
        <v>28 ngõ 17 Tạ Quang Bửu</v>
      </c>
      <c r="K202" s="14" t="s">
        <v>937</v>
      </c>
      <c r="L202" s="14"/>
      <c r="M202" s="6" t="s">
        <v>459</v>
      </c>
      <c r="N202" s="6" t="s">
        <v>388</v>
      </c>
      <c r="O202" s="6" t="s">
        <v>389</v>
      </c>
      <c r="P202" s="6"/>
      <c r="Q202" s="6" t="s">
        <v>391</v>
      </c>
      <c r="R202" s="12"/>
    </row>
    <row r="203" customFormat="false" ht="15" hidden="false" customHeight="true" outlineLevel="0" collapsed="false">
      <c r="A203" s="6" t="s">
        <v>938</v>
      </c>
      <c r="B203" s="6" t="s">
        <v>144</v>
      </c>
      <c r="C203" s="6" t="s">
        <v>939</v>
      </c>
      <c r="D203" s="6"/>
      <c r="E203" s="13"/>
      <c r="F203" s="6" t="n">
        <v>1983</v>
      </c>
      <c r="G203" s="11" t="n">
        <f aca="true">IF(F203="","",YEAR(TODAY())-F203)</f>
        <v>43</v>
      </c>
      <c r="H203" s="11" t="str">
        <f aca="false">IF(C203="","",IF(G203="","Thiếu thông tin",IF(G203&lt;6,"Trẻ em",IF(G203&lt;23,"Học sinh / Sinh viên",IF(G203&lt;60,"Đang đi làm","Nghỉ hưu")))))</f>
        <v>Đang đi làm</v>
      </c>
      <c r="I203" s="6"/>
      <c r="J203" s="11" t="str">
        <f aca="false">IF(B203="","",IFERROR(INDEX('Hộ gia đình'!$B$2:$B$2000,MATCH(B203,'Hộ gia đình'!$A$2:$A$2000,0)),"Mã hộ không tồn tại"))</f>
        <v>28 ngõ 17 Tạ Quang Bửu</v>
      </c>
      <c r="K203" s="14"/>
      <c r="L203" s="14"/>
      <c r="M203" s="6"/>
      <c r="N203" s="6" t="s">
        <v>395</v>
      </c>
      <c r="O203" s="6" t="s">
        <v>389</v>
      </c>
      <c r="P203" s="6"/>
      <c r="Q203" s="6" t="s">
        <v>396</v>
      </c>
      <c r="R203" s="12"/>
    </row>
    <row r="204" customFormat="false" ht="15" hidden="false" customHeight="true" outlineLevel="0" collapsed="false">
      <c r="A204" s="6" t="s">
        <v>940</v>
      </c>
      <c r="B204" s="6" t="s">
        <v>144</v>
      </c>
      <c r="C204" s="6" t="s">
        <v>941</v>
      </c>
      <c r="D204" s="6" t="s">
        <v>385</v>
      </c>
      <c r="E204" s="13" t="n">
        <v>30395</v>
      </c>
      <c r="F204" s="6" t="n">
        <v>1983</v>
      </c>
      <c r="G204" s="11" t="n">
        <f aca="true">IF(F204="","",YEAR(TODAY())-F204)</f>
        <v>43</v>
      </c>
      <c r="H204" s="11" t="str">
        <f aca="false">IF(C204="","",IF(G204="","Thiếu thông tin",IF(G204&lt;6,"Trẻ em",IF(G204&lt;23,"Học sinh / Sinh viên",IF(G204&lt;60,"Đang đi làm","Nghỉ hưu")))))</f>
        <v>Đang đi làm</v>
      </c>
      <c r="I204" s="6"/>
      <c r="J204" s="11" t="str">
        <f aca="false">IF(B204="","",IFERROR(INDEX('Hộ gia đình'!$B$2:$B$2000,MATCH(B204,'Hộ gia đình'!$A$2:$A$2000,0)),"Mã hộ không tồn tại"))</f>
        <v>28 ngõ 17 Tạ Quang Bửu</v>
      </c>
      <c r="K204" s="14" t="s">
        <v>942</v>
      </c>
      <c r="L204" s="14"/>
      <c r="M204" s="6" t="s">
        <v>732</v>
      </c>
      <c r="N204" s="6" t="s">
        <v>388</v>
      </c>
      <c r="O204" s="6" t="s">
        <v>389</v>
      </c>
      <c r="P204" s="6"/>
      <c r="Q204" s="6" t="s">
        <v>410</v>
      </c>
      <c r="R204" s="12"/>
    </row>
    <row r="205" customFormat="false" ht="15" hidden="false" customHeight="true" outlineLevel="0" collapsed="false">
      <c r="A205" s="6" t="s">
        <v>943</v>
      </c>
      <c r="B205" s="6" t="s">
        <v>146</v>
      </c>
      <c r="C205" s="6" t="s">
        <v>944</v>
      </c>
      <c r="D205" s="6" t="s">
        <v>385</v>
      </c>
      <c r="E205" s="13" t="n">
        <v>19511</v>
      </c>
      <c r="F205" s="6" t="n">
        <v>1953</v>
      </c>
      <c r="G205" s="11" t="n">
        <f aca="true">IF(F205="","",YEAR(TODAY())-F205)</f>
        <v>73</v>
      </c>
      <c r="H205" s="11" t="str">
        <f aca="false">IF(C205="","",IF(G205="","Thiếu thông tin",IF(G205&lt;6,"Trẻ em",IF(G205&lt;23,"Học sinh / Sinh viên",IF(G205&lt;60,"Đang đi làm","Nghỉ hưu")))))</f>
        <v>Nghỉ hưu</v>
      </c>
      <c r="I205" s="6" t="s">
        <v>52</v>
      </c>
      <c r="J205" s="11" t="str">
        <f aca="false">IF(B205="","",IFERROR(INDEX('Hộ gia đình'!$B$2:$B$2000,MATCH(B205,'Hộ gia đình'!$A$2:$A$2000,0)),"Mã hộ không tồn tại"))</f>
        <v>30 ngõ 17 Tạ Quang Bửu</v>
      </c>
      <c r="K205" s="14" t="s">
        <v>945</v>
      </c>
      <c r="L205" s="14"/>
      <c r="M205" s="6" t="s">
        <v>451</v>
      </c>
      <c r="N205" s="6" t="s">
        <v>388</v>
      </c>
      <c r="O205" s="6" t="s">
        <v>389</v>
      </c>
      <c r="P205" s="6"/>
      <c r="Q205" s="6" t="s">
        <v>391</v>
      </c>
      <c r="R205" s="12"/>
    </row>
    <row r="206" customFormat="false" ht="15" hidden="false" customHeight="true" outlineLevel="0" collapsed="false">
      <c r="A206" s="6" t="s">
        <v>946</v>
      </c>
      <c r="B206" s="6" t="s">
        <v>146</v>
      </c>
      <c r="C206" s="6" t="s">
        <v>947</v>
      </c>
      <c r="D206" s="6" t="s">
        <v>408</v>
      </c>
      <c r="E206" s="13" t="n">
        <v>19324</v>
      </c>
      <c r="F206" s="6" t="n">
        <v>1952</v>
      </c>
      <c r="G206" s="11" t="n">
        <f aca="true">IF(F206="","",YEAR(TODAY())-F206)</f>
        <v>74</v>
      </c>
      <c r="H206" s="11" t="str">
        <f aca="false">IF(C206="","",IF(G206="","Thiếu thông tin",IF(G206&lt;6,"Trẻ em",IF(G206&lt;23,"Học sinh / Sinh viên",IF(G206&lt;60,"Đang đi làm","Nghỉ hưu")))))</f>
        <v>Nghỉ hưu</v>
      </c>
      <c r="I206" s="6"/>
      <c r="J206" s="11" t="str">
        <f aca="false">IF(B206="","",IFERROR(INDEX('Hộ gia đình'!$B$2:$B$2000,MATCH(B206,'Hộ gia đình'!$A$2:$A$2000,0)),"Mã hộ không tồn tại"))</f>
        <v>30 ngõ 17 Tạ Quang Bửu</v>
      </c>
      <c r="K206" s="14" t="s">
        <v>948</v>
      </c>
      <c r="L206" s="14"/>
      <c r="M206" s="6" t="s">
        <v>451</v>
      </c>
      <c r="N206" s="6" t="s">
        <v>388</v>
      </c>
      <c r="O206" s="6" t="s">
        <v>389</v>
      </c>
      <c r="P206" s="6"/>
      <c r="Q206" s="6" t="s">
        <v>391</v>
      </c>
      <c r="R206" s="12"/>
    </row>
    <row r="207" customFormat="false" ht="15" hidden="false" customHeight="true" outlineLevel="0" collapsed="false">
      <c r="A207" s="6" t="s">
        <v>949</v>
      </c>
      <c r="B207" s="6" t="s">
        <v>146</v>
      </c>
      <c r="C207" s="6" t="s">
        <v>950</v>
      </c>
      <c r="D207" s="6"/>
      <c r="E207" s="13"/>
      <c r="F207" s="6" t="n">
        <v>1980</v>
      </c>
      <c r="G207" s="11" t="n">
        <f aca="true">IF(F207="","",YEAR(TODAY())-F207)</f>
        <v>46</v>
      </c>
      <c r="H207" s="11" t="str">
        <f aca="false">IF(C207="","",IF(G207="","Thiếu thông tin",IF(G207&lt;6,"Trẻ em",IF(G207&lt;23,"Học sinh / Sinh viên",IF(G207&lt;60,"Đang đi làm","Nghỉ hưu")))))</f>
        <v>Đang đi làm</v>
      </c>
      <c r="I207" s="6"/>
      <c r="J207" s="11" t="str">
        <f aca="false">IF(B207="","",IFERROR(INDEX('Hộ gia đình'!$B$2:$B$2000,MATCH(B207,'Hộ gia đình'!$A$2:$A$2000,0)),"Mã hộ không tồn tại"))</f>
        <v>30 ngõ 17 Tạ Quang Bửu</v>
      </c>
      <c r="K207" s="14"/>
      <c r="L207" s="14"/>
      <c r="M207" s="6"/>
      <c r="N207" s="6" t="s">
        <v>395</v>
      </c>
      <c r="O207" s="6" t="s">
        <v>389</v>
      </c>
      <c r="P207" s="6"/>
      <c r="Q207" s="6" t="s">
        <v>396</v>
      </c>
      <c r="R207" s="12"/>
    </row>
    <row r="208" customFormat="false" ht="15" hidden="false" customHeight="true" outlineLevel="0" collapsed="false">
      <c r="A208" s="6" t="s">
        <v>951</v>
      </c>
      <c r="B208" s="6" t="s">
        <v>146</v>
      </c>
      <c r="C208" s="6" t="s">
        <v>952</v>
      </c>
      <c r="D208" s="6"/>
      <c r="E208" s="13"/>
      <c r="F208" s="6" t="n">
        <v>1981</v>
      </c>
      <c r="G208" s="11" t="n">
        <f aca="true">IF(F208="","",YEAR(TODAY())-F208)</f>
        <v>45</v>
      </c>
      <c r="H208" s="11" t="str">
        <f aca="false">IF(C208="","",IF(G208="","Thiếu thông tin",IF(G208&lt;6,"Trẻ em",IF(G208&lt;23,"Học sinh / Sinh viên",IF(G208&lt;60,"Đang đi làm","Nghỉ hưu")))))</f>
        <v>Đang đi làm</v>
      </c>
      <c r="I208" s="6"/>
      <c r="J208" s="11" t="str">
        <f aca="false">IF(B208="","",IFERROR(INDEX('Hộ gia đình'!$B$2:$B$2000,MATCH(B208,'Hộ gia đình'!$A$2:$A$2000,0)),"Mã hộ không tồn tại"))</f>
        <v>30 ngõ 17 Tạ Quang Bửu</v>
      </c>
      <c r="K208" s="14"/>
      <c r="L208" s="14"/>
      <c r="M208" s="6"/>
      <c r="N208" s="6" t="s">
        <v>395</v>
      </c>
      <c r="O208" s="6" t="s">
        <v>389</v>
      </c>
      <c r="P208" s="6"/>
      <c r="Q208" s="6" t="s">
        <v>396</v>
      </c>
      <c r="R208" s="12"/>
    </row>
    <row r="209" customFormat="false" ht="15" hidden="false" customHeight="true" outlineLevel="0" collapsed="false">
      <c r="A209" s="6" t="s">
        <v>953</v>
      </c>
      <c r="B209" s="6" t="s">
        <v>146</v>
      </c>
      <c r="C209" s="6" t="s">
        <v>954</v>
      </c>
      <c r="D209" s="6"/>
      <c r="E209" s="13"/>
      <c r="F209" s="6" t="n">
        <v>1985</v>
      </c>
      <c r="G209" s="11" t="n">
        <f aca="true">IF(F209="","",YEAR(TODAY())-F209)</f>
        <v>41</v>
      </c>
      <c r="H209" s="11" t="str">
        <f aca="false">IF(C209="","",IF(G209="","Thiếu thông tin",IF(G209&lt;6,"Trẻ em",IF(G209&lt;23,"Học sinh / Sinh viên",IF(G209&lt;60,"Đang đi làm","Nghỉ hưu")))))</f>
        <v>Đang đi làm</v>
      </c>
      <c r="I209" s="6"/>
      <c r="J209" s="11" t="str">
        <f aca="false">IF(B209="","",IFERROR(INDEX('Hộ gia đình'!$B$2:$B$2000,MATCH(B209,'Hộ gia đình'!$A$2:$A$2000,0)),"Mã hộ không tồn tại"))</f>
        <v>30 ngõ 17 Tạ Quang Bửu</v>
      </c>
      <c r="K209" s="14"/>
      <c r="L209" s="14"/>
      <c r="M209" s="6"/>
      <c r="N209" s="6" t="s">
        <v>395</v>
      </c>
      <c r="O209" s="6" t="s">
        <v>389</v>
      </c>
      <c r="P209" s="6"/>
      <c r="Q209" s="6" t="s">
        <v>396</v>
      </c>
      <c r="R209" s="12"/>
    </row>
    <row r="210" customFormat="false" ht="15" hidden="false" customHeight="true" outlineLevel="0" collapsed="false">
      <c r="A210" s="6" t="s">
        <v>955</v>
      </c>
      <c r="B210" s="6" t="s">
        <v>146</v>
      </c>
      <c r="C210" s="6" t="s">
        <v>956</v>
      </c>
      <c r="D210" s="6" t="s">
        <v>408</v>
      </c>
      <c r="E210" s="13" t="n">
        <v>37854</v>
      </c>
      <c r="F210" s="6" t="n">
        <v>2003</v>
      </c>
      <c r="G210" s="11" t="n">
        <f aca="true">IF(F210="","",YEAR(TODAY())-F210)</f>
        <v>23</v>
      </c>
      <c r="H210" s="11" t="str">
        <f aca="false">IF(C210="","",IF(G210="","Thiếu thông tin",IF(G210&lt;6,"Trẻ em",IF(G210&lt;23,"Học sinh / Sinh viên",IF(G210&lt;60,"Đang đi làm","Nghỉ hưu")))))</f>
        <v>Đang đi làm</v>
      </c>
      <c r="I210" s="6"/>
      <c r="J210" s="11" t="str">
        <f aca="false">IF(B210="","",IFERROR(INDEX('Hộ gia đình'!$B$2:$B$2000,MATCH(B210,'Hộ gia đình'!$A$2:$A$2000,0)),"Mã hộ không tồn tại"))</f>
        <v>30 ngõ 17 Tạ Quang Bửu</v>
      </c>
      <c r="K210" s="14" t="s">
        <v>957</v>
      </c>
      <c r="L210" s="14"/>
      <c r="M210" s="6" t="s">
        <v>459</v>
      </c>
      <c r="N210" s="6" t="s">
        <v>388</v>
      </c>
      <c r="O210" s="6" t="s">
        <v>389</v>
      </c>
      <c r="P210" s="6"/>
      <c r="Q210" s="6" t="s">
        <v>583</v>
      </c>
      <c r="R210" s="12"/>
    </row>
    <row r="211" customFormat="false" ht="15" hidden="false" customHeight="true" outlineLevel="0" collapsed="false">
      <c r="A211" s="6" t="s">
        <v>958</v>
      </c>
      <c r="B211" s="6" t="s">
        <v>146</v>
      </c>
      <c r="C211" s="6" t="s">
        <v>959</v>
      </c>
      <c r="D211" s="6"/>
      <c r="E211" s="13"/>
      <c r="F211" s="6" t="n">
        <v>2010</v>
      </c>
      <c r="G211" s="11" t="n">
        <f aca="true">IF(F211="","",YEAR(TODAY())-F211)</f>
        <v>16</v>
      </c>
      <c r="H211" s="11" t="str">
        <f aca="false">IF(C211="","",IF(G211="","Thiếu thông tin",IF(G211&lt;6,"Trẻ em",IF(G211&lt;23,"Học sinh / Sinh viên",IF(G211&lt;60,"Đang đi làm","Nghỉ hưu")))))</f>
        <v>Học sinh / Sinh viên</v>
      </c>
      <c r="I211" s="6"/>
      <c r="J211" s="11" t="str">
        <f aca="false">IF(B211="","",IFERROR(INDEX('Hộ gia đình'!$B$2:$B$2000,MATCH(B211,'Hộ gia đình'!$A$2:$A$2000,0)),"Mã hộ không tồn tại"))</f>
        <v>30 ngõ 17 Tạ Quang Bửu</v>
      </c>
      <c r="K211" s="14"/>
      <c r="L211" s="14"/>
      <c r="M211" s="6"/>
      <c r="N211" s="6" t="s">
        <v>395</v>
      </c>
      <c r="O211" s="6" t="s">
        <v>389</v>
      </c>
      <c r="P211" s="6"/>
      <c r="Q211" s="6" t="s">
        <v>403</v>
      </c>
      <c r="R211" s="12"/>
    </row>
    <row r="212" customFormat="false" ht="15" hidden="false" customHeight="true" outlineLevel="0" collapsed="false">
      <c r="A212" s="6" t="s">
        <v>960</v>
      </c>
      <c r="B212" s="6" t="s">
        <v>146</v>
      </c>
      <c r="C212" s="6" t="s">
        <v>961</v>
      </c>
      <c r="D212" s="6"/>
      <c r="E212" s="13"/>
      <c r="F212" s="6" t="n">
        <v>2015</v>
      </c>
      <c r="G212" s="11" t="n">
        <f aca="true">IF(F212="","",YEAR(TODAY())-F212)</f>
        <v>11</v>
      </c>
      <c r="H212" s="11" t="str">
        <f aca="false">IF(C212="","",IF(G212="","Thiếu thông tin",IF(G212&lt;6,"Trẻ em",IF(G212&lt;23,"Học sinh / Sinh viên",IF(G212&lt;60,"Đang đi làm","Nghỉ hưu")))))</f>
        <v>Học sinh / Sinh viên</v>
      </c>
      <c r="I212" s="6"/>
      <c r="J212" s="11" t="str">
        <f aca="false">IF(B212="","",IFERROR(INDEX('Hộ gia đình'!$B$2:$B$2000,MATCH(B212,'Hộ gia đình'!$A$2:$A$2000,0)),"Mã hộ không tồn tại"))</f>
        <v>30 ngõ 17 Tạ Quang Bửu</v>
      </c>
      <c r="K212" s="14"/>
      <c r="L212" s="14"/>
      <c r="M212" s="6"/>
      <c r="N212" s="6" t="s">
        <v>395</v>
      </c>
      <c r="O212" s="6" t="s">
        <v>389</v>
      </c>
      <c r="P212" s="6"/>
      <c r="Q212" s="6" t="s">
        <v>403</v>
      </c>
      <c r="R212" s="12"/>
    </row>
    <row r="213" customFormat="false" ht="15" hidden="false" customHeight="true" outlineLevel="0" collapsed="false">
      <c r="A213" s="6" t="s">
        <v>962</v>
      </c>
      <c r="B213" s="6" t="s">
        <v>146</v>
      </c>
      <c r="C213" s="6" t="s">
        <v>963</v>
      </c>
      <c r="D213" s="6"/>
      <c r="E213" s="13"/>
      <c r="F213" s="6" t="n">
        <v>2015</v>
      </c>
      <c r="G213" s="11" t="n">
        <f aca="true">IF(F213="","",YEAR(TODAY())-F213)</f>
        <v>11</v>
      </c>
      <c r="H213" s="11" t="str">
        <f aca="false">IF(C213="","",IF(G213="","Thiếu thông tin",IF(G213&lt;6,"Trẻ em",IF(G213&lt;23,"Học sinh / Sinh viên",IF(G213&lt;60,"Đang đi làm","Nghỉ hưu")))))</f>
        <v>Học sinh / Sinh viên</v>
      </c>
      <c r="I213" s="6"/>
      <c r="J213" s="11" t="str">
        <f aca="false">IF(B213="","",IFERROR(INDEX('Hộ gia đình'!$B$2:$B$2000,MATCH(B213,'Hộ gia đình'!$A$2:$A$2000,0)),"Mã hộ không tồn tại"))</f>
        <v>30 ngõ 17 Tạ Quang Bửu</v>
      </c>
      <c r="K213" s="14"/>
      <c r="L213" s="14"/>
      <c r="M213" s="6"/>
      <c r="N213" s="6" t="s">
        <v>395</v>
      </c>
      <c r="O213" s="6" t="s">
        <v>389</v>
      </c>
      <c r="P213" s="6"/>
      <c r="Q213" s="6" t="s">
        <v>403</v>
      </c>
      <c r="R213" s="12"/>
    </row>
    <row r="214" customFormat="false" ht="15" hidden="false" customHeight="true" outlineLevel="0" collapsed="false">
      <c r="A214" s="6" t="s">
        <v>964</v>
      </c>
      <c r="B214" s="6" t="s">
        <v>148</v>
      </c>
      <c r="C214" s="6" t="s">
        <v>965</v>
      </c>
      <c r="D214" s="6"/>
      <c r="E214" s="13"/>
      <c r="F214" s="6" t="n">
        <v>1988</v>
      </c>
      <c r="G214" s="11" t="n">
        <f aca="true">IF(F214="","",YEAR(TODAY())-F214)</f>
        <v>38</v>
      </c>
      <c r="H214" s="11" t="str">
        <f aca="false">IF(C214="","",IF(G214="","Thiếu thông tin",IF(G214&lt;6,"Trẻ em",IF(G214&lt;23,"Học sinh / Sinh viên",IF(G214&lt;60,"Đang đi làm","Nghỉ hưu")))))</f>
        <v>Đang đi làm</v>
      </c>
      <c r="I214" s="6" t="s">
        <v>52</v>
      </c>
      <c r="J214" s="11" t="str">
        <f aca="false">IF(B214="","",IFERROR(INDEX('Hộ gia đình'!$B$2:$B$2000,MATCH(B214,'Hộ gia đình'!$A$2:$A$2000,0)),"Mã hộ không tồn tại"))</f>
        <v>32 ngõ 17 Tạ Quang Bửu</v>
      </c>
      <c r="K214" s="14"/>
      <c r="L214" s="14"/>
      <c r="M214" s="6"/>
      <c r="N214" s="6" t="s">
        <v>395</v>
      </c>
      <c r="O214" s="6" t="s">
        <v>389</v>
      </c>
      <c r="P214" s="6"/>
      <c r="Q214" s="6" t="s">
        <v>396</v>
      </c>
      <c r="R214" s="12"/>
    </row>
    <row r="215" customFormat="false" ht="15" hidden="false" customHeight="true" outlineLevel="0" collapsed="false">
      <c r="A215" s="6" t="s">
        <v>966</v>
      </c>
      <c r="B215" s="6" t="s">
        <v>148</v>
      </c>
      <c r="C215" s="6" t="s">
        <v>967</v>
      </c>
      <c r="D215" s="6"/>
      <c r="E215" s="13"/>
      <c r="F215" s="6" t="n">
        <v>1989</v>
      </c>
      <c r="G215" s="11" t="n">
        <f aca="true">IF(F215="","",YEAR(TODAY())-F215)</f>
        <v>37</v>
      </c>
      <c r="H215" s="11" t="str">
        <f aca="false">IF(C215="","",IF(G215="","Thiếu thông tin",IF(G215&lt;6,"Trẻ em",IF(G215&lt;23,"Học sinh / Sinh viên",IF(G215&lt;60,"Đang đi làm","Nghỉ hưu")))))</f>
        <v>Đang đi làm</v>
      </c>
      <c r="I215" s="6"/>
      <c r="J215" s="11" t="str">
        <f aca="false">IF(B215="","",IFERROR(INDEX('Hộ gia đình'!$B$2:$B$2000,MATCH(B215,'Hộ gia đình'!$A$2:$A$2000,0)),"Mã hộ không tồn tại"))</f>
        <v>32 ngõ 17 Tạ Quang Bửu</v>
      </c>
      <c r="K215" s="14"/>
      <c r="L215" s="14"/>
      <c r="M215" s="6"/>
      <c r="N215" s="6" t="s">
        <v>395</v>
      </c>
      <c r="O215" s="6" t="s">
        <v>389</v>
      </c>
      <c r="P215" s="6"/>
      <c r="Q215" s="6" t="s">
        <v>396</v>
      </c>
      <c r="R215" s="12"/>
    </row>
    <row r="216" customFormat="false" ht="15" hidden="false" customHeight="true" outlineLevel="0" collapsed="false">
      <c r="A216" s="6" t="s">
        <v>968</v>
      </c>
      <c r="B216" s="6" t="s">
        <v>148</v>
      </c>
      <c r="C216" s="6" t="s">
        <v>969</v>
      </c>
      <c r="D216" s="6"/>
      <c r="E216" s="13"/>
      <c r="F216" s="6" t="n">
        <v>2018</v>
      </c>
      <c r="G216" s="11" t="n">
        <f aca="true">IF(F216="","",YEAR(TODAY())-F216)</f>
        <v>8</v>
      </c>
      <c r="H216" s="11" t="str">
        <f aca="false">IF(C216="","",IF(G216="","Thiếu thông tin",IF(G216&lt;6,"Trẻ em",IF(G216&lt;23,"Học sinh / Sinh viên",IF(G216&lt;60,"Đang đi làm","Nghỉ hưu")))))</f>
        <v>Học sinh / Sinh viên</v>
      </c>
      <c r="I216" s="6"/>
      <c r="J216" s="11" t="str">
        <f aca="false">IF(B216="","",IFERROR(INDEX('Hộ gia đình'!$B$2:$B$2000,MATCH(B216,'Hộ gia đình'!$A$2:$A$2000,0)),"Mã hộ không tồn tại"))</f>
        <v>32 ngõ 17 Tạ Quang Bửu</v>
      </c>
      <c r="K216" s="14"/>
      <c r="L216" s="14"/>
      <c r="M216" s="6"/>
      <c r="N216" s="6" t="s">
        <v>395</v>
      </c>
      <c r="O216" s="6" t="s">
        <v>389</v>
      </c>
      <c r="P216" s="6"/>
      <c r="Q216" s="6" t="s">
        <v>403</v>
      </c>
      <c r="R216" s="12"/>
    </row>
    <row r="217" customFormat="false" ht="15" hidden="false" customHeight="true" outlineLevel="0" collapsed="false">
      <c r="A217" s="6" t="s">
        <v>970</v>
      </c>
      <c r="B217" s="6" t="s">
        <v>150</v>
      </c>
      <c r="C217" s="6" t="s">
        <v>971</v>
      </c>
      <c r="D217" s="6" t="s">
        <v>385</v>
      </c>
      <c r="E217" s="13" t="n">
        <v>19955</v>
      </c>
      <c r="F217" s="6" t="n">
        <v>1954</v>
      </c>
      <c r="G217" s="11" t="n">
        <f aca="true">IF(F217="","",YEAR(TODAY())-F217)</f>
        <v>72</v>
      </c>
      <c r="H217" s="11" t="str">
        <f aca="false">IF(C217="","",IF(G217="","Thiếu thông tin",IF(G217&lt;6,"Trẻ em",IF(G217&lt;23,"Học sinh / Sinh viên",IF(G217&lt;60,"Đang đi làm","Nghỉ hưu")))))</f>
        <v>Nghỉ hưu</v>
      </c>
      <c r="I217" s="6" t="s">
        <v>52</v>
      </c>
      <c r="J217" s="11" t="str">
        <f aca="false">IF(B217="","",IFERROR(INDEX('Hộ gia đình'!$B$2:$B$2000,MATCH(B217,'Hộ gia đình'!$A$2:$A$2000,0)),"Mã hộ không tồn tại"))</f>
        <v>34 ngõ 17 Tạ Quang Bửu</v>
      </c>
      <c r="K217" s="14" t="s">
        <v>972</v>
      </c>
      <c r="L217" s="14"/>
      <c r="M217" s="6" t="s">
        <v>451</v>
      </c>
      <c r="N217" s="6" t="s">
        <v>388</v>
      </c>
      <c r="O217" s="6" t="s">
        <v>389</v>
      </c>
      <c r="P217" s="6"/>
      <c r="Q217" s="6" t="s">
        <v>391</v>
      </c>
      <c r="R217" s="12"/>
    </row>
    <row r="218" customFormat="false" ht="15" hidden="false" customHeight="true" outlineLevel="0" collapsed="false">
      <c r="A218" s="6" t="s">
        <v>973</v>
      </c>
      <c r="B218" s="6" t="s">
        <v>150</v>
      </c>
      <c r="C218" s="6" t="s">
        <v>974</v>
      </c>
      <c r="D218" s="6" t="s">
        <v>408</v>
      </c>
      <c r="E218" s="13" t="n">
        <v>17640</v>
      </c>
      <c r="F218" s="6" t="n">
        <v>1948</v>
      </c>
      <c r="G218" s="11" t="n">
        <f aca="true">IF(F218="","",YEAR(TODAY())-F218)</f>
        <v>78</v>
      </c>
      <c r="H218" s="11" t="str">
        <f aca="false">IF(C218="","",IF(G218="","Thiếu thông tin",IF(G218&lt;6,"Trẻ em",IF(G218&lt;23,"Học sinh / Sinh viên",IF(G218&lt;60,"Đang đi làm","Nghỉ hưu")))))</f>
        <v>Nghỉ hưu</v>
      </c>
      <c r="I218" s="6"/>
      <c r="J218" s="11" t="str">
        <f aca="false">IF(B218="","",IFERROR(INDEX('Hộ gia đình'!$B$2:$B$2000,MATCH(B218,'Hộ gia đình'!$A$2:$A$2000,0)),"Mã hộ không tồn tại"))</f>
        <v>34 ngõ 17 Tạ Quang Bửu</v>
      </c>
      <c r="K218" s="14" t="s">
        <v>975</v>
      </c>
      <c r="L218" s="14"/>
      <c r="M218" s="6" t="s">
        <v>451</v>
      </c>
      <c r="N218" s="6" t="s">
        <v>388</v>
      </c>
      <c r="O218" s="6" t="s">
        <v>389</v>
      </c>
      <c r="P218" s="6"/>
      <c r="Q218" s="6" t="s">
        <v>391</v>
      </c>
      <c r="R218" s="12"/>
    </row>
    <row r="219" customFormat="false" ht="15" hidden="false" customHeight="true" outlineLevel="0" collapsed="false">
      <c r="A219" s="6" t="s">
        <v>976</v>
      </c>
      <c r="B219" s="6" t="s">
        <v>150</v>
      </c>
      <c r="C219" s="6" t="s">
        <v>977</v>
      </c>
      <c r="D219" s="6" t="s">
        <v>408</v>
      </c>
      <c r="E219" s="13" t="n">
        <v>9498</v>
      </c>
      <c r="F219" s="6" t="n">
        <v>1926</v>
      </c>
      <c r="G219" s="11" t="n">
        <f aca="true">IF(F219="","",YEAR(TODAY())-F219)</f>
        <v>100</v>
      </c>
      <c r="H219" s="11" t="str">
        <f aca="false">IF(C219="","",IF(G219="","Thiếu thông tin",IF(G219&lt;6,"Trẻ em",IF(G219&lt;23,"Học sinh / Sinh viên",IF(G219&lt;60,"Đang đi làm","Nghỉ hưu")))))</f>
        <v>Nghỉ hưu</v>
      </c>
      <c r="I219" s="6"/>
      <c r="J219" s="11" t="str">
        <f aca="false">IF(B219="","",IFERROR(INDEX('Hộ gia đình'!$B$2:$B$2000,MATCH(B219,'Hộ gia đình'!$A$2:$A$2000,0)),"Mã hộ không tồn tại"))</f>
        <v>34 ngõ 17 Tạ Quang Bửu</v>
      </c>
      <c r="K219" s="14" t="s">
        <v>978</v>
      </c>
      <c r="L219" s="14"/>
      <c r="M219" s="6" t="s">
        <v>451</v>
      </c>
      <c r="N219" s="6" t="s">
        <v>388</v>
      </c>
      <c r="O219" s="6" t="s">
        <v>979</v>
      </c>
      <c r="P219" s="6" t="s">
        <v>979</v>
      </c>
      <c r="Q219" s="6" t="s">
        <v>391</v>
      </c>
      <c r="R219" s="12"/>
    </row>
    <row r="220" customFormat="false" ht="15" hidden="false" customHeight="true" outlineLevel="0" collapsed="false">
      <c r="A220" s="6" t="s">
        <v>980</v>
      </c>
      <c r="B220" s="6" t="s">
        <v>150</v>
      </c>
      <c r="C220" s="6" t="s">
        <v>981</v>
      </c>
      <c r="D220" s="6"/>
      <c r="E220" s="13"/>
      <c r="F220" s="6" t="n">
        <v>1983</v>
      </c>
      <c r="G220" s="11" t="n">
        <f aca="true">IF(F220="","",YEAR(TODAY())-F220)</f>
        <v>43</v>
      </c>
      <c r="H220" s="11" t="str">
        <f aca="false">IF(C220="","",IF(G220="","Thiếu thông tin",IF(G220&lt;6,"Trẻ em",IF(G220&lt;23,"Học sinh / Sinh viên",IF(G220&lt;60,"Đang đi làm","Nghỉ hưu")))))</f>
        <v>Đang đi làm</v>
      </c>
      <c r="I220" s="6"/>
      <c r="J220" s="11" t="str">
        <f aca="false">IF(B220="","",IFERROR(INDEX('Hộ gia đình'!$B$2:$B$2000,MATCH(B220,'Hộ gia đình'!$A$2:$A$2000,0)),"Mã hộ không tồn tại"))</f>
        <v>34 ngõ 17 Tạ Quang Bửu</v>
      </c>
      <c r="K220" s="14"/>
      <c r="L220" s="14"/>
      <c r="M220" s="6"/>
      <c r="N220" s="6" t="s">
        <v>395</v>
      </c>
      <c r="O220" s="6" t="s">
        <v>389</v>
      </c>
      <c r="P220" s="6"/>
      <c r="Q220" s="6" t="s">
        <v>396</v>
      </c>
      <c r="R220" s="12"/>
    </row>
    <row r="221" customFormat="false" ht="15" hidden="false" customHeight="true" outlineLevel="0" collapsed="false">
      <c r="A221" s="6" t="s">
        <v>982</v>
      </c>
      <c r="B221" s="6" t="s">
        <v>150</v>
      </c>
      <c r="C221" s="6" t="s">
        <v>983</v>
      </c>
      <c r="D221" s="6" t="s">
        <v>385</v>
      </c>
      <c r="E221" s="13" t="n">
        <v>32337</v>
      </c>
      <c r="F221" s="6" t="n">
        <v>1988</v>
      </c>
      <c r="G221" s="11" t="n">
        <f aca="true">IF(F221="","",YEAR(TODAY())-F221)</f>
        <v>38</v>
      </c>
      <c r="H221" s="11" t="str">
        <f aca="false">IF(C221="","",IF(G221="","Thiếu thông tin",IF(G221&lt;6,"Trẻ em",IF(G221&lt;23,"Học sinh / Sinh viên",IF(G221&lt;60,"Đang đi làm","Nghỉ hưu")))))</f>
        <v>Đang đi làm</v>
      </c>
      <c r="I221" s="6"/>
      <c r="J221" s="11" t="str">
        <f aca="false">IF(B221="","",IFERROR(INDEX('Hộ gia đình'!$B$2:$B$2000,MATCH(B221,'Hộ gia đình'!$A$2:$A$2000,0)),"Mã hộ không tồn tại"))</f>
        <v>34 ngõ 17 Tạ Quang Bửu</v>
      </c>
      <c r="K221" s="14" t="s">
        <v>984</v>
      </c>
      <c r="L221" s="14"/>
      <c r="M221" s="6" t="s">
        <v>985</v>
      </c>
      <c r="N221" s="6" t="s">
        <v>388</v>
      </c>
      <c r="O221" s="6" t="s">
        <v>389</v>
      </c>
      <c r="P221" s="6"/>
      <c r="Q221" s="6" t="s">
        <v>391</v>
      </c>
      <c r="R221" s="12"/>
    </row>
    <row r="222" customFormat="false" ht="15" hidden="false" customHeight="true" outlineLevel="0" collapsed="false">
      <c r="A222" s="6" t="s">
        <v>986</v>
      </c>
      <c r="B222" s="6" t="s">
        <v>150</v>
      </c>
      <c r="C222" s="6" t="s">
        <v>987</v>
      </c>
      <c r="D222" s="6"/>
      <c r="E222" s="13"/>
      <c r="F222" s="6" t="n">
        <v>2015</v>
      </c>
      <c r="G222" s="11" t="n">
        <f aca="true">IF(F222="","",YEAR(TODAY())-F222)</f>
        <v>11</v>
      </c>
      <c r="H222" s="11" t="str">
        <f aca="false">IF(C222="","",IF(G222="","Thiếu thông tin",IF(G222&lt;6,"Trẻ em",IF(G222&lt;23,"Học sinh / Sinh viên",IF(G222&lt;60,"Đang đi làm","Nghỉ hưu")))))</f>
        <v>Học sinh / Sinh viên</v>
      </c>
      <c r="I222" s="6"/>
      <c r="J222" s="11" t="str">
        <f aca="false">IF(B222="","",IFERROR(INDEX('Hộ gia đình'!$B$2:$B$2000,MATCH(B222,'Hộ gia đình'!$A$2:$A$2000,0)),"Mã hộ không tồn tại"))</f>
        <v>34 ngõ 17 Tạ Quang Bửu</v>
      </c>
      <c r="K222" s="14"/>
      <c r="L222" s="14"/>
      <c r="M222" s="6"/>
      <c r="N222" s="6" t="s">
        <v>395</v>
      </c>
      <c r="O222" s="6" t="s">
        <v>389</v>
      </c>
      <c r="P222" s="6"/>
      <c r="Q222" s="6" t="s">
        <v>403</v>
      </c>
      <c r="R222" s="12"/>
    </row>
    <row r="223" customFormat="false" ht="15" hidden="false" customHeight="true" outlineLevel="0" collapsed="false">
      <c r="A223" s="6" t="s">
        <v>988</v>
      </c>
      <c r="B223" s="6" t="s">
        <v>150</v>
      </c>
      <c r="C223" s="6" t="s">
        <v>989</v>
      </c>
      <c r="D223" s="6"/>
      <c r="E223" s="13"/>
      <c r="F223" s="6" t="n">
        <v>2018</v>
      </c>
      <c r="G223" s="11" t="n">
        <f aca="true">IF(F223="","",YEAR(TODAY())-F223)</f>
        <v>8</v>
      </c>
      <c r="H223" s="11" t="str">
        <f aca="false">IF(C223="","",IF(G223="","Thiếu thông tin",IF(G223&lt;6,"Trẻ em",IF(G223&lt;23,"Học sinh / Sinh viên",IF(G223&lt;60,"Đang đi làm","Nghỉ hưu")))))</f>
        <v>Học sinh / Sinh viên</v>
      </c>
      <c r="I223" s="6"/>
      <c r="J223" s="11" t="str">
        <f aca="false">IF(B223="","",IFERROR(INDEX('Hộ gia đình'!$B$2:$B$2000,MATCH(B223,'Hộ gia đình'!$A$2:$A$2000,0)),"Mã hộ không tồn tại"))</f>
        <v>34 ngõ 17 Tạ Quang Bửu</v>
      </c>
      <c r="K223" s="14"/>
      <c r="L223" s="14"/>
      <c r="M223" s="6"/>
      <c r="N223" s="6" t="s">
        <v>395</v>
      </c>
      <c r="O223" s="6" t="s">
        <v>389</v>
      </c>
      <c r="P223" s="6"/>
      <c r="Q223" s="6" t="s">
        <v>403</v>
      </c>
      <c r="R223" s="12"/>
    </row>
    <row r="224" customFormat="false" ht="15" hidden="false" customHeight="true" outlineLevel="0" collapsed="false">
      <c r="A224" s="6" t="s">
        <v>990</v>
      </c>
      <c r="B224" s="6" t="s">
        <v>150</v>
      </c>
      <c r="C224" s="6" t="s">
        <v>991</v>
      </c>
      <c r="D224" s="6"/>
      <c r="E224" s="13"/>
      <c r="F224" s="6" t="n">
        <v>2020</v>
      </c>
      <c r="G224" s="11" t="n">
        <f aca="true">IF(F224="","",YEAR(TODAY())-F224)</f>
        <v>6</v>
      </c>
      <c r="H224" s="11" t="str">
        <f aca="false">IF(C224="","",IF(G224="","Thiếu thông tin",IF(G224&lt;6,"Trẻ em",IF(G224&lt;23,"Học sinh / Sinh viên",IF(G224&lt;60,"Đang đi làm","Nghỉ hưu")))))</f>
        <v>Học sinh / Sinh viên</v>
      </c>
      <c r="I224" s="6"/>
      <c r="J224" s="11" t="str">
        <f aca="false">IF(B224="","",IFERROR(INDEX('Hộ gia đình'!$B$2:$B$2000,MATCH(B224,'Hộ gia đình'!$A$2:$A$2000,0)),"Mã hộ không tồn tại"))</f>
        <v>34 ngõ 17 Tạ Quang Bửu</v>
      </c>
      <c r="K224" s="14"/>
      <c r="L224" s="14"/>
      <c r="M224" s="6"/>
      <c r="N224" s="6" t="s">
        <v>395</v>
      </c>
      <c r="O224" s="6" t="s">
        <v>389</v>
      </c>
      <c r="P224" s="6"/>
      <c r="Q224" s="6" t="s">
        <v>403</v>
      </c>
      <c r="R224" s="12"/>
    </row>
    <row r="225" customFormat="false" ht="15" hidden="false" customHeight="true" outlineLevel="0" collapsed="false">
      <c r="A225" s="6" t="s">
        <v>992</v>
      </c>
      <c r="B225" s="6" t="s">
        <v>152</v>
      </c>
      <c r="C225" s="6" t="s">
        <v>993</v>
      </c>
      <c r="D225" s="6" t="s">
        <v>385</v>
      </c>
      <c r="E225" s="13" t="n">
        <v>16653</v>
      </c>
      <c r="F225" s="6" t="n">
        <v>1945</v>
      </c>
      <c r="G225" s="11" t="n">
        <f aca="true">IF(F225="","",YEAR(TODAY())-F225)</f>
        <v>81</v>
      </c>
      <c r="H225" s="11" t="str">
        <f aca="false">IF(C225="","",IF(G225="","Thiếu thông tin",IF(G225&lt;6,"Trẻ em",IF(G225&lt;23,"Học sinh / Sinh viên",IF(G225&lt;60,"Đang đi làm","Nghỉ hưu")))))</f>
        <v>Nghỉ hưu</v>
      </c>
      <c r="I225" s="6" t="s">
        <v>52</v>
      </c>
      <c r="J225" s="11" t="str">
        <f aca="false">IF(B225="","",IFERROR(INDEX('Hộ gia đình'!$B$2:$B$2000,MATCH(B225,'Hộ gia đình'!$A$2:$A$2000,0)),"Mã hộ không tồn tại"))</f>
        <v>36 ngõ 17 Tạ Quang Bửu</v>
      </c>
      <c r="K225" s="14" t="s">
        <v>994</v>
      </c>
      <c r="L225" s="14"/>
      <c r="M225" s="6" t="s">
        <v>387</v>
      </c>
      <c r="N225" s="6" t="s">
        <v>388</v>
      </c>
      <c r="O225" s="6" t="s">
        <v>389</v>
      </c>
      <c r="P225" s="6"/>
      <c r="Q225" s="6" t="s">
        <v>391</v>
      </c>
      <c r="R225" s="12"/>
    </row>
    <row r="226" customFormat="false" ht="15" hidden="false" customHeight="true" outlineLevel="0" collapsed="false">
      <c r="A226" s="6" t="s">
        <v>995</v>
      </c>
      <c r="B226" s="6" t="s">
        <v>152</v>
      </c>
      <c r="C226" s="6" t="s">
        <v>996</v>
      </c>
      <c r="D226" s="6" t="s">
        <v>408</v>
      </c>
      <c r="E226" s="13" t="n">
        <v>14777</v>
      </c>
      <c r="F226" s="6" t="n">
        <v>1940</v>
      </c>
      <c r="G226" s="11" t="n">
        <f aca="true">IF(F226="","",YEAR(TODAY())-F226)</f>
        <v>86</v>
      </c>
      <c r="H226" s="11" t="str">
        <f aca="false">IF(C226="","",IF(G226="","Thiếu thông tin",IF(G226&lt;6,"Trẻ em",IF(G226&lt;23,"Học sinh / Sinh viên",IF(G226&lt;60,"Đang đi làm","Nghỉ hưu")))))</f>
        <v>Nghỉ hưu</v>
      </c>
      <c r="I226" s="6"/>
      <c r="J226" s="11" t="str">
        <f aca="false">IF(B226="","",IFERROR(INDEX('Hộ gia đình'!$B$2:$B$2000,MATCH(B226,'Hộ gia đình'!$A$2:$A$2000,0)),"Mã hộ không tồn tại"))</f>
        <v>36 ngõ 17 Tạ Quang Bửu</v>
      </c>
      <c r="K226" s="14" t="s">
        <v>997</v>
      </c>
      <c r="L226" s="14"/>
      <c r="M226" s="6" t="s">
        <v>387</v>
      </c>
      <c r="N226" s="6" t="s">
        <v>388</v>
      </c>
      <c r="O226" s="6" t="s">
        <v>389</v>
      </c>
      <c r="P226" s="6"/>
      <c r="Q226" s="6" t="s">
        <v>391</v>
      </c>
      <c r="R226" s="12"/>
    </row>
    <row r="227" customFormat="false" ht="15" hidden="false" customHeight="true" outlineLevel="0" collapsed="false">
      <c r="A227" s="6" t="s">
        <v>998</v>
      </c>
      <c r="B227" s="6" t="s">
        <v>152</v>
      </c>
      <c r="C227" s="6" t="s">
        <v>999</v>
      </c>
      <c r="D227" s="6"/>
      <c r="E227" s="13"/>
      <c r="F227" s="6" t="n">
        <v>1984</v>
      </c>
      <c r="G227" s="11" t="n">
        <f aca="true">IF(F227="","",YEAR(TODAY())-F227)</f>
        <v>42</v>
      </c>
      <c r="H227" s="11" t="str">
        <f aca="false">IF(C227="","",IF(G227="","Thiếu thông tin",IF(G227&lt;6,"Trẻ em",IF(G227&lt;23,"Học sinh / Sinh viên",IF(G227&lt;60,"Đang đi làm","Nghỉ hưu")))))</f>
        <v>Đang đi làm</v>
      </c>
      <c r="I227" s="6"/>
      <c r="J227" s="11" t="str">
        <f aca="false">IF(B227="","",IFERROR(INDEX('Hộ gia đình'!$B$2:$B$2000,MATCH(B227,'Hộ gia đình'!$A$2:$A$2000,0)),"Mã hộ không tồn tại"))</f>
        <v>36 ngõ 17 Tạ Quang Bửu</v>
      </c>
      <c r="K227" s="14"/>
      <c r="L227" s="14"/>
      <c r="M227" s="6"/>
      <c r="N227" s="6" t="s">
        <v>395</v>
      </c>
      <c r="O227" s="6" t="s">
        <v>389</v>
      </c>
      <c r="P227" s="6"/>
      <c r="Q227" s="6" t="s">
        <v>396</v>
      </c>
      <c r="R227" s="12"/>
    </row>
    <row r="228" customFormat="false" ht="15" hidden="false" customHeight="true" outlineLevel="0" collapsed="false">
      <c r="A228" s="6" t="s">
        <v>1000</v>
      </c>
      <c r="B228" s="6" t="s">
        <v>152</v>
      </c>
      <c r="C228" s="6" t="s">
        <v>1001</v>
      </c>
      <c r="D228" s="6"/>
      <c r="E228" s="13"/>
      <c r="F228" s="6" t="n">
        <v>1982</v>
      </c>
      <c r="G228" s="11" t="n">
        <f aca="true">IF(F228="","",YEAR(TODAY())-F228)</f>
        <v>44</v>
      </c>
      <c r="H228" s="11" t="str">
        <f aca="false">IF(C228="","",IF(G228="","Thiếu thông tin",IF(G228&lt;6,"Trẻ em",IF(G228&lt;23,"Học sinh / Sinh viên",IF(G228&lt;60,"Đang đi làm","Nghỉ hưu")))))</f>
        <v>Đang đi làm</v>
      </c>
      <c r="I228" s="6"/>
      <c r="J228" s="11" t="str">
        <f aca="false">IF(B228="","",IFERROR(INDEX('Hộ gia đình'!$B$2:$B$2000,MATCH(B228,'Hộ gia đình'!$A$2:$A$2000,0)),"Mã hộ không tồn tại"))</f>
        <v>36 ngõ 17 Tạ Quang Bửu</v>
      </c>
      <c r="K228" s="14"/>
      <c r="L228" s="14"/>
      <c r="M228" s="6"/>
      <c r="N228" s="6" t="s">
        <v>395</v>
      </c>
      <c r="O228" s="6" t="s">
        <v>389</v>
      </c>
      <c r="P228" s="6"/>
      <c r="Q228" s="6" t="s">
        <v>396</v>
      </c>
      <c r="R228" s="12"/>
    </row>
    <row r="229" customFormat="false" ht="15" hidden="false" customHeight="true" outlineLevel="0" collapsed="false">
      <c r="A229" s="6" t="s">
        <v>1002</v>
      </c>
      <c r="B229" s="6" t="s">
        <v>152</v>
      </c>
      <c r="C229" s="6" t="s">
        <v>1003</v>
      </c>
      <c r="D229" s="6" t="s">
        <v>385</v>
      </c>
      <c r="E229" s="13" t="n">
        <v>39556</v>
      </c>
      <c r="F229" s="6" t="n">
        <v>2008</v>
      </c>
      <c r="G229" s="11" t="n">
        <f aca="true">IF(F229="","",YEAR(TODAY())-F229)</f>
        <v>18</v>
      </c>
      <c r="H229" s="11" t="str">
        <f aca="false">IF(C229="","",IF(G229="","Thiếu thông tin",IF(G229&lt;6,"Trẻ em",IF(G229&lt;23,"Học sinh / Sinh viên",IF(G229&lt;60,"Đang đi làm","Nghỉ hưu")))))</f>
        <v>Học sinh / Sinh viên</v>
      </c>
      <c r="I229" s="6"/>
      <c r="J229" s="11" t="str">
        <f aca="false">IF(B229="","",IFERROR(INDEX('Hộ gia đình'!$B$2:$B$2000,MATCH(B229,'Hộ gia đình'!$A$2:$A$2000,0)),"Mã hộ không tồn tại"))</f>
        <v>36 ngõ 17 Tạ Quang Bửu</v>
      </c>
      <c r="K229" s="14" t="s">
        <v>1004</v>
      </c>
      <c r="L229" s="14"/>
      <c r="M229" s="6"/>
      <c r="N229" s="6" t="s">
        <v>395</v>
      </c>
      <c r="O229" s="6" t="s">
        <v>389</v>
      </c>
      <c r="P229" s="6"/>
      <c r="Q229" s="6" t="s">
        <v>403</v>
      </c>
      <c r="R229" s="12"/>
    </row>
    <row r="230" customFormat="false" ht="15" hidden="false" customHeight="true" outlineLevel="0" collapsed="false">
      <c r="A230" s="6" t="s">
        <v>1005</v>
      </c>
      <c r="B230" s="6" t="s">
        <v>152</v>
      </c>
      <c r="C230" s="6" t="s">
        <v>1006</v>
      </c>
      <c r="D230" s="6"/>
      <c r="E230" s="13" t="n">
        <v>41907</v>
      </c>
      <c r="F230" s="6" t="n">
        <v>2014</v>
      </c>
      <c r="G230" s="11" t="n">
        <f aca="true">IF(F230="","",YEAR(TODAY())-F230)</f>
        <v>12</v>
      </c>
      <c r="H230" s="11" t="str">
        <f aca="false">IF(C230="","",IF(G230="","Thiếu thông tin",IF(G230&lt;6,"Trẻ em",IF(G230&lt;23,"Học sinh / Sinh viên",IF(G230&lt;60,"Đang đi làm","Nghỉ hưu")))))</f>
        <v>Học sinh / Sinh viên</v>
      </c>
      <c r="I230" s="6"/>
      <c r="J230" s="11" t="str">
        <f aca="false">IF(B230="","",IFERROR(INDEX('Hộ gia đình'!$B$2:$B$2000,MATCH(B230,'Hộ gia đình'!$A$2:$A$2000,0)),"Mã hộ không tồn tại"))</f>
        <v>36 ngõ 17 Tạ Quang Bửu</v>
      </c>
      <c r="K230" s="14"/>
      <c r="L230" s="14"/>
      <c r="M230" s="6"/>
      <c r="N230" s="6" t="s">
        <v>395</v>
      </c>
      <c r="O230" s="6" t="s">
        <v>389</v>
      </c>
      <c r="P230" s="6"/>
      <c r="Q230" s="6" t="s">
        <v>403</v>
      </c>
      <c r="R230" s="12"/>
    </row>
    <row r="231" customFormat="false" ht="15" hidden="false" customHeight="true" outlineLevel="0" collapsed="false">
      <c r="A231" s="6" t="s">
        <v>1007</v>
      </c>
      <c r="B231" s="6" t="s">
        <v>154</v>
      </c>
      <c r="C231" s="6" t="s">
        <v>1008</v>
      </c>
      <c r="D231" s="6"/>
      <c r="E231" s="13"/>
      <c r="F231" s="6" t="n">
        <v>1963</v>
      </c>
      <c r="G231" s="11" t="n">
        <f aca="true">IF(F231="","",YEAR(TODAY())-F231)</f>
        <v>63</v>
      </c>
      <c r="H231" s="11" t="str">
        <f aca="false">IF(C231="","",IF(G231="","Thiếu thông tin",IF(G231&lt;6,"Trẻ em",IF(G231&lt;23,"Học sinh / Sinh viên",IF(G231&lt;60,"Đang đi làm","Nghỉ hưu")))))</f>
        <v>Nghỉ hưu</v>
      </c>
      <c r="I231" s="6" t="s">
        <v>52</v>
      </c>
      <c r="J231" s="11" t="str">
        <f aca="false">IF(B231="","",IFERROR(INDEX('Hộ gia đình'!$B$2:$B$2000,MATCH(B231,'Hộ gia đình'!$A$2:$A$2000,0)),"Mã hộ không tồn tại"))</f>
        <v>36A ngõ 17 Tạ Quang Bửu</v>
      </c>
      <c r="K231" s="14"/>
      <c r="L231" s="14"/>
      <c r="M231" s="6"/>
      <c r="N231" s="6" t="s">
        <v>395</v>
      </c>
      <c r="O231" s="6" t="s">
        <v>389</v>
      </c>
      <c r="P231" s="6" t="s">
        <v>572</v>
      </c>
      <c r="Q231" s="6" t="s">
        <v>396</v>
      </c>
      <c r="R231" s="12" t="s">
        <v>392</v>
      </c>
    </row>
    <row r="232" customFormat="false" ht="15" hidden="false" customHeight="true" outlineLevel="0" collapsed="false">
      <c r="A232" s="6" t="s">
        <v>1009</v>
      </c>
      <c r="B232" s="6" t="s">
        <v>154</v>
      </c>
      <c r="C232" s="6" t="s">
        <v>1010</v>
      </c>
      <c r="D232" s="6"/>
      <c r="E232" s="13"/>
      <c r="F232" s="6" t="n">
        <v>1962</v>
      </c>
      <c r="G232" s="11" t="n">
        <f aca="true">IF(F232="","",YEAR(TODAY())-F232)</f>
        <v>64</v>
      </c>
      <c r="H232" s="11" t="str">
        <f aca="false">IF(C232="","",IF(G232="","Thiếu thông tin",IF(G232&lt;6,"Trẻ em",IF(G232&lt;23,"Học sinh / Sinh viên",IF(G232&lt;60,"Đang đi làm","Nghỉ hưu")))))</f>
        <v>Nghỉ hưu</v>
      </c>
      <c r="I232" s="6"/>
      <c r="J232" s="11" t="str">
        <f aca="false">IF(B232="","",IFERROR(INDEX('Hộ gia đình'!$B$2:$B$2000,MATCH(B232,'Hộ gia đình'!$A$2:$A$2000,0)),"Mã hộ không tồn tại"))</f>
        <v>36A ngõ 17 Tạ Quang Bửu</v>
      </c>
      <c r="K232" s="14"/>
      <c r="L232" s="14"/>
      <c r="M232" s="6"/>
      <c r="N232" s="6" t="s">
        <v>395</v>
      </c>
      <c r="O232" s="6" t="s">
        <v>389</v>
      </c>
      <c r="P232" s="6"/>
      <c r="Q232" s="6" t="s">
        <v>396</v>
      </c>
      <c r="R232" s="12"/>
    </row>
    <row r="233" customFormat="false" ht="15" hidden="false" customHeight="true" outlineLevel="0" collapsed="false">
      <c r="A233" s="6" t="s">
        <v>1011</v>
      </c>
      <c r="B233" s="6" t="s">
        <v>154</v>
      </c>
      <c r="C233" s="6" t="s">
        <v>1012</v>
      </c>
      <c r="D233" s="6"/>
      <c r="E233" s="13"/>
      <c r="F233" s="6" t="n">
        <v>1992</v>
      </c>
      <c r="G233" s="11" t="n">
        <f aca="true">IF(F233="","",YEAR(TODAY())-F233)</f>
        <v>34</v>
      </c>
      <c r="H233" s="11" t="str">
        <f aca="false">IF(C233="","",IF(G233="","Thiếu thông tin",IF(G233&lt;6,"Trẻ em",IF(G233&lt;23,"Học sinh / Sinh viên",IF(G233&lt;60,"Đang đi làm","Nghỉ hưu")))))</f>
        <v>Đang đi làm</v>
      </c>
      <c r="I233" s="6"/>
      <c r="J233" s="11" t="str">
        <f aca="false">IF(B233="","",IFERROR(INDEX('Hộ gia đình'!$B$2:$B$2000,MATCH(B233,'Hộ gia đình'!$A$2:$A$2000,0)),"Mã hộ không tồn tại"))</f>
        <v>36A ngõ 17 Tạ Quang Bửu</v>
      </c>
      <c r="K233" s="14"/>
      <c r="L233" s="14"/>
      <c r="M233" s="6"/>
      <c r="N233" s="6" t="s">
        <v>395</v>
      </c>
      <c r="O233" s="6" t="s">
        <v>389</v>
      </c>
      <c r="P233" s="6"/>
      <c r="Q233" s="6" t="s">
        <v>396</v>
      </c>
      <c r="R233" s="12" t="s">
        <v>1013</v>
      </c>
    </row>
    <row r="234" customFormat="false" ht="15" hidden="false" customHeight="true" outlineLevel="0" collapsed="false">
      <c r="A234" s="6" t="s">
        <v>1014</v>
      </c>
      <c r="B234" s="6" t="s">
        <v>156</v>
      </c>
      <c r="C234" s="6" t="s">
        <v>1015</v>
      </c>
      <c r="D234" s="6" t="s">
        <v>385</v>
      </c>
      <c r="E234" s="13" t="n">
        <v>18640</v>
      </c>
      <c r="F234" s="6" t="n">
        <v>1951</v>
      </c>
      <c r="G234" s="11" t="n">
        <f aca="true">IF(F234="","",YEAR(TODAY())-F234)</f>
        <v>75</v>
      </c>
      <c r="H234" s="11" t="str">
        <f aca="false">IF(C234="","",IF(G234="","Thiếu thông tin",IF(G234&lt;6,"Trẻ em",IF(G234&lt;23,"Học sinh / Sinh viên",IF(G234&lt;60,"Đang đi làm","Nghỉ hưu")))))</f>
        <v>Nghỉ hưu</v>
      </c>
      <c r="I234" s="6" t="s">
        <v>52</v>
      </c>
      <c r="J234" s="11" t="str">
        <f aca="false">IF(B234="","",IFERROR(INDEX('Hộ gia đình'!$B$2:$B$2000,MATCH(B234,'Hộ gia đình'!$A$2:$A$2000,0)),"Mã hộ không tồn tại"))</f>
        <v>36B ngõ 17 Tạ Quang Bửu</v>
      </c>
      <c r="K234" s="14" t="s">
        <v>1016</v>
      </c>
      <c r="L234" s="14"/>
      <c r="M234" s="6" t="s">
        <v>387</v>
      </c>
      <c r="N234" s="6" t="s">
        <v>388</v>
      </c>
      <c r="O234" s="6" t="s">
        <v>389</v>
      </c>
      <c r="P234" s="6"/>
      <c r="Q234" s="6" t="s">
        <v>391</v>
      </c>
      <c r="R234" s="12"/>
    </row>
    <row r="235" customFormat="false" ht="15" hidden="false" customHeight="true" outlineLevel="0" collapsed="false">
      <c r="A235" s="6" t="s">
        <v>1017</v>
      </c>
      <c r="B235" s="6" t="s">
        <v>156</v>
      </c>
      <c r="C235" s="6" t="s">
        <v>1018</v>
      </c>
      <c r="D235" s="6"/>
      <c r="E235" s="13" t="n">
        <v>27586</v>
      </c>
      <c r="F235" s="6" t="n">
        <v>1972</v>
      </c>
      <c r="G235" s="11" t="n">
        <f aca="true">IF(F235="","",YEAR(TODAY())-F235)</f>
        <v>54</v>
      </c>
      <c r="H235" s="11" t="str">
        <f aca="false">IF(C235="","",IF(G235="","Thiếu thông tin",IF(G235&lt;6,"Trẻ em",IF(G235&lt;23,"Học sinh / Sinh viên",IF(G235&lt;60,"Đang đi làm","Nghỉ hưu")))))</f>
        <v>Đang đi làm</v>
      </c>
      <c r="I235" s="6"/>
      <c r="J235" s="11" t="str">
        <f aca="false">IF(B235="","",IFERROR(INDEX('Hộ gia đình'!$B$2:$B$2000,MATCH(B235,'Hộ gia đình'!$A$2:$A$2000,0)),"Mã hộ không tồn tại"))</f>
        <v>36B ngõ 17 Tạ Quang Bửu</v>
      </c>
      <c r="K235" s="14"/>
      <c r="L235" s="14"/>
      <c r="M235" s="6"/>
      <c r="N235" s="6" t="s">
        <v>395</v>
      </c>
      <c r="O235" s="6" t="s">
        <v>389</v>
      </c>
      <c r="P235" s="6"/>
      <c r="Q235" s="6" t="s">
        <v>396</v>
      </c>
      <c r="R235" s="12" t="s">
        <v>1019</v>
      </c>
    </row>
    <row r="236" customFormat="false" ht="15" hidden="false" customHeight="true" outlineLevel="0" collapsed="false">
      <c r="A236" s="6" t="s">
        <v>1020</v>
      </c>
      <c r="B236" s="6" t="s">
        <v>156</v>
      </c>
      <c r="C236" s="6" t="s">
        <v>1021</v>
      </c>
      <c r="D236" s="6" t="s">
        <v>385</v>
      </c>
      <c r="E236" s="13" t="n">
        <v>26304</v>
      </c>
      <c r="F236" s="6" t="n">
        <v>1975</v>
      </c>
      <c r="G236" s="11" t="n">
        <f aca="true">IF(F236="","",YEAR(TODAY())-F236)</f>
        <v>51</v>
      </c>
      <c r="H236" s="11" t="str">
        <f aca="false">IF(C236="","",IF(G236="","Thiếu thông tin",IF(G236&lt;6,"Trẻ em",IF(G236&lt;23,"Học sinh / Sinh viên",IF(G236&lt;60,"Đang đi làm","Nghỉ hưu")))))</f>
        <v>Đang đi làm</v>
      </c>
      <c r="I236" s="6"/>
      <c r="J236" s="11" t="str">
        <f aca="false">IF(B236="","",IFERROR(INDEX('Hộ gia đình'!$B$2:$B$2000,MATCH(B236,'Hộ gia đình'!$A$2:$A$2000,0)),"Mã hộ không tồn tại"))</f>
        <v>36B ngõ 17 Tạ Quang Bửu</v>
      </c>
      <c r="K236" s="14" t="s">
        <v>1022</v>
      </c>
      <c r="L236" s="14"/>
      <c r="M236" s="6" t="s">
        <v>459</v>
      </c>
      <c r="N236" s="6" t="s">
        <v>388</v>
      </c>
      <c r="O236" s="6" t="s">
        <v>389</v>
      </c>
      <c r="P236" s="6"/>
      <c r="Q236" s="6" t="s">
        <v>391</v>
      </c>
      <c r="R236" s="12" t="s">
        <v>1023</v>
      </c>
    </row>
    <row r="237" customFormat="false" ht="15" hidden="false" customHeight="true" outlineLevel="0" collapsed="false">
      <c r="A237" s="6" t="s">
        <v>1024</v>
      </c>
      <c r="B237" s="6" t="s">
        <v>156</v>
      </c>
      <c r="C237" s="6" t="s">
        <v>1025</v>
      </c>
      <c r="D237" s="6"/>
      <c r="E237" s="13"/>
      <c r="F237" s="6" t="n">
        <v>2002</v>
      </c>
      <c r="G237" s="11" t="n">
        <f aca="true">IF(F237="","",YEAR(TODAY())-F237)</f>
        <v>24</v>
      </c>
      <c r="H237" s="11" t="str">
        <f aca="false">IF(C237="","",IF(G237="","Thiếu thông tin",IF(G237&lt;6,"Trẻ em",IF(G237&lt;23,"Học sinh / Sinh viên",IF(G237&lt;60,"Đang đi làm","Nghỉ hưu")))))</f>
        <v>Đang đi làm</v>
      </c>
      <c r="I237" s="6"/>
      <c r="J237" s="11" t="str">
        <f aca="false">IF(B237="","",IFERROR(INDEX('Hộ gia đình'!$B$2:$B$2000,MATCH(B237,'Hộ gia đình'!$A$2:$A$2000,0)),"Mã hộ không tồn tại"))</f>
        <v>36B ngõ 17 Tạ Quang Bửu</v>
      </c>
      <c r="K237" s="14"/>
      <c r="L237" s="14"/>
      <c r="M237" s="6"/>
      <c r="N237" s="6" t="s">
        <v>395</v>
      </c>
      <c r="O237" s="6" t="s">
        <v>389</v>
      </c>
      <c r="P237" s="6"/>
      <c r="Q237" s="6" t="s">
        <v>403</v>
      </c>
      <c r="R237" s="12"/>
    </row>
    <row r="238" customFormat="false" ht="15" hidden="false" customHeight="true" outlineLevel="0" collapsed="false">
      <c r="A238" s="6" t="s">
        <v>1026</v>
      </c>
      <c r="B238" s="6" t="s">
        <v>156</v>
      </c>
      <c r="C238" s="6" t="s">
        <v>1027</v>
      </c>
      <c r="D238" s="6" t="s">
        <v>385</v>
      </c>
      <c r="E238" s="13" t="n">
        <v>38266</v>
      </c>
      <c r="F238" s="6" t="n">
        <v>2004</v>
      </c>
      <c r="G238" s="11" t="n">
        <f aca="true">IF(F238="","",YEAR(TODAY())-F238)</f>
        <v>22</v>
      </c>
      <c r="H238" s="11" t="str">
        <f aca="false">IF(C238="","",IF(G238="","Thiếu thông tin",IF(G238&lt;6,"Trẻ em",IF(G238&lt;23,"Học sinh / Sinh viên",IF(G238&lt;60,"Đang đi làm","Nghỉ hưu")))))</f>
        <v>Học sinh / Sinh viên</v>
      </c>
      <c r="I238" s="6"/>
      <c r="J238" s="11" t="str">
        <f aca="false">IF(B238="","",IFERROR(INDEX('Hộ gia đình'!$B$2:$B$2000,MATCH(B238,'Hộ gia đình'!$A$2:$A$2000,0)),"Mã hộ không tồn tại"))</f>
        <v>36B ngõ 17 Tạ Quang Bửu</v>
      </c>
      <c r="K238" s="14" t="s">
        <v>1028</v>
      </c>
      <c r="L238" s="14"/>
      <c r="M238" s="6" t="s">
        <v>422</v>
      </c>
      <c r="N238" s="6" t="s">
        <v>388</v>
      </c>
      <c r="O238" s="6" t="s">
        <v>389</v>
      </c>
      <c r="P238" s="6"/>
      <c r="Q238" s="6" t="s">
        <v>583</v>
      </c>
      <c r="R238" s="12"/>
    </row>
    <row r="239" customFormat="false" ht="15" hidden="false" customHeight="true" outlineLevel="0" collapsed="false">
      <c r="A239" s="6" t="s">
        <v>1029</v>
      </c>
      <c r="B239" s="6" t="s">
        <v>156</v>
      </c>
      <c r="C239" s="6" t="s">
        <v>1030</v>
      </c>
      <c r="D239" s="6" t="s">
        <v>408</v>
      </c>
      <c r="E239" s="13" t="n">
        <v>27586</v>
      </c>
      <c r="F239" s="6" t="n">
        <v>1975</v>
      </c>
      <c r="G239" s="11" t="n">
        <f aca="true">IF(F239="","",YEAR(TODAY())-F239)</f>
        <v>51</v>
      </c>
      <c r="H239" s="11" t="str">
        <f aca="false">IF(C239="","",IF(G239="","Thiếu thông tin",IF(G239&lt;6,"Trẻ em",IF(G239&lt;23,"Học sinh / Sinh viên",IF(G239&lt;60,"Đang đi làm","Nghỉ hưu")))))</f>
        <v>Đang đi làm</v>
      </c>
      <c r="I239" s="6"/>
      <c r="J239" s="11" t="str">
        <f aca="false">IF(B239="","",IFERROR(INDEX('Hộ gia đình'!$B$2:$B$2000,MATCH(B239,'Hộ gia đình'!$A$2:$A$2000,0)),"Mã hộ không tồn tại"))</f>
        <v>36B ngõ 17 Tạ Quang Bửu</v>
      </c>
      <c r="K239" s="14" t="s">
        <v>1031</v>
      </c>
      <c r="L239" s="14"/>
      <c r="M239" s="6" t="s">
        <v>1032</v>
      </c>
      <c r="N239" s="6" t="s">
        <v>388</v>
      </c>
      <c r="O239" s="6" t="s">
        <v>389</v>
      </c>
      <c r="P239" s="6"/>
      <c r="Q239" s="6" t="s">
        <v>410</v>
      </c>
      <c r="R239" s="12"/>
    </row>
    <row r="240" customFormat="false" ht="15" hidden="false" customHeight="true" outlineLevel="0" collapsed="false">
      <c r="A240" s="6" t="s">
        <v>1033</v>
      </c>
      <c r="B240" s="6" t="s">
        <v>158</v>
      </c>
      <c r="C240" s="6" t="s">
        <v>1034</v>
      </c>
      <c r="D240" s="6" t="s">
        <v>385</v>
      </c>
      <c r="E240" s="13" t="n">
        <v>18044</v>
      </c>
      <c r="F240" s="6" t="n">
        <v>1949</v>
      </c>
      <c r="G240" s="11" t="n">
        <f aca="true">IF(F240="","",YEAR(TODAY())-F240)</f>
        <v>77</v>
      </c>
      <c r="H240" s="11" t="str">
        <f aca="false">IF(C240="","",IF(G240="","Thiếu thông tin",IF(G240&lt;6,"Trẻ em",IF(G240&lt;23,"Học sinh / Sinh viên",IF(G240&lt;60,"Đang đi làm","Nghỉ hưu")))))</f>
        <v>Nghỉ hưu</v>
      </c>
      <c r="I240" s="6" t="s">
        <v>52</v>
      </c>
      <c r="J240" s="11" t="str">
        <f aca="false">IF(B240="","",IFERROR(INDEX('Hộ gia đình'!$B$2:$B$2000,MATCH(B240,'Hộ gia đình'!$A$2:$A$2000,0)),"Mã hộ không tồn tại"))</f>
        <v>38 ngõ 17 Tạ Quang Bửu</v>
      </c>
      <c r="K240" s="14" t="s">
        <v>1035</v>
      </c>
      <c r="L240" s="14"/>
      <c r="M240" s="6" t="s">
        <v>451</v>
      </c>
      <c r="N240" s="6" t="s">
        <v>388</v>
      </c>
      <c r="O240" s="6" t="s">
        <v>389</v>
      </c>
      <c r="P240" s="6"/>
      <c r="Q240" s="6" t="s">
        <v>391</v>
      </c>
      <c r="R240" s="12"/>
    </row>
    <row r="241" customFormat="false" ht="15" hidden="false" customHeight="true" outlineLevel="0" collapsed="false">
      <c r="A241" s="6" t="s">
        <v>1036</v>
      </c>
      <c r="B241" s="6" t="s">
        <v>158</v>
      </c>
      <c r="C241" s="6" t="s">
        <v>1037</v>
      </c>
      <c r="D241" s="6" t="s">
        <v>408</v>
      </c>
      <c r="E241" s="13" t="n">
        <v>14885</v>
      </c>
      <c r="F241" s="6" t="n">
        <v>1940</v>
      </c>
      <c r="G241" s="11" t="n">
        <f aca="true">IF(F241="","",YEAR(TODAY())-F241)</f>
        <v>86</v>
      </c>
      <c r="H241" s="11" t="str">
        <f aca="false">IF(C241="","",IF(G241="","Thiếu thông tin",IF(G241&lt;6,"Trẻ em",IF(G241&lt;23,"Học sinh / Sinh viên",IF(G241&lt;60,"Đang đi làm","Nghỉ hưu")))))</f>
        <v>Nghỉ hưu</v>
      </c>
      <c r="I241" s="6"/>
      <c r="J241" s="11" t="str">
        <f aca="false">IF(B241="","",IFERROR(INDEX('Hộ gia đình'!$B$2:$B$2000,MATCH(B241,'Hộ gia đình'!$A$2:$A$2000,0)),"Mã hộ không tồn tại"))</f>
        <v>38 ngõ 17 Tạ Quang Bửu</v>
      </c>
      <c r="K241" s="14" t="s">
        <v>1038</v>
      </c>
      <c r="L241" s="14"/>
      <c r="M241" s="6" t="s">
        <v>451</v>
      </c>
      <c r="N241" s="6" t="s">
        <v>388</v>
      </c>
      <c r="O241" s="6" t="s">
        <v>389</v>
      </c>
      <c r="P241" s="6"/>
      <c r="Q241" s="6" t="s">
        <v>391</v>
      </c>
      <c r="R241" s="12"/>
    </row>
    <row r="242" customFormat="false" ht="15" hidden="false" customHeight="true" outlineLevel="0" collapsed="false">
      <c r="A242" s="6" t="s">
        <v>1039</v>
      </c>
      <c r="B242" s="6" t="s">
        <v>158</v>
      </c>
      <c r="C242" s="6" t="s">
        <v>1040</v>
      </c>
      <c r="D242" s="6" t="s">
        <v>408</v>
      </c>
      <c r="E242" s="13" t="n">
        <v>29461</v>
      </c>
      <c r="F242" s="6" t="n">
        <v>1980</v>
      </c>
      <c r="G242" s="11" t="n">
        <f aca="true">IF(F242="","",YEAR(TODAY())-F242)</f>
        <v>46</v>
      </c>
      <c r="H242" s="11" t="str">
        <f aca="false">IF(C242="","",IF(G242="","Thiếu thông tin",IF(G242&lt;6,"Trẻ em",IF(G242&lt;23,"Học sinh / Sinh viên",IF(G242&lt;60,"Đang đi làm","Nghỉ hưu")))))</f>
        <v>Đang đi làm</v>
      </c>
      <c r="I242" s="6"/>
      <c r="J242" s="11" t="str">
        <f aca="false">IF(B242="","",IFERROR(INDEX('Hộ gia đình'!$B$2:$B$2000,MATCH(B242,'Hộ gia đình'!$A$2:$A$2000,0)),"Mã hộ không tồn tại"))</f>
        <v>38 ngõ 17 Tạ Quang Bửu</v>
      </c>
      <c r="K242" s="14" t="s">
        <v>1041</v>
      </c>
      <c r="L242" s="14"/>
      <c r="M242" s="6" t="s">
        <v>459</v>
      </c>
      <c r="N242" s="6" t="s">
        <v>388</v>
      </c>
      <c r="O242" s="6" t="s">
        <v>389</v>
      </c>
      <c r="P242" s="6"/>
      <c r="Q242" s="6" t="s">
        <v>391</v>
      </c>
      <c r="R242" s="12" t="s">
        <v>1042</v>
      </c>
    </row>
    <row r="243" customFormat="false" ht="15" hidden="false" customHeight="true" outlineLevel="0" collapsed="false">
      <c r="A243" s="6" t="s">
        <v>1043</v>
      </c>
      <c r="B243" s="6" t="s">
        <v>158</v>
      </c>
      <c r="C243" s="6" t="s">
        <v>1044</v>
      </c>
      <c r="D243" s="6" t="s">
        <v>385</v>
      </c>
      <c r="E243" s="13" t="n">
        <v>29786</v>
      </c>
      <c r="F243" s="6" t="n">
        <v>1981</v>
      </c>
      <c r="G243" s="11" t="n">
        <f aca="true">IF(F243="","",YEAR(TODAY())-F243)</f>
        <v>45</v>
      </c>
      <c r="H243" s="11" t="str">
        <f aca="false">IF(C243="","",IF(G243="","Thiếu thông tin",IF(G243&lt;6,"Trẻ em",IF(G243&lt;23,"Học sinh / Sinh viên",IF(G243&lt;60,"Đang đi làm","Nghỉ hưu")))))</f>
        <v>Đang đi làm</v>
      </c>
      <c r="I243" s="6"/>
      <c r="J243" s="11" t="str">
        <f aca="false">IF(B243="","",IFERROR(INDEX('Hộ gia đình'!$B$2:$B$2000,MATCH(B243,'Hộ gia đình'!$A$2:$A$2000,0)),"Mã hộ không tồn tại"))</f>
        <v>38 ngõ 17 Tạ Quang Bửu</v>
      </c>
      <c r="K243" s="14" t="s">
        <v>1045</v>
      </c>
      <c r="L243" s="14"/>
      <c r="M243" s="6" t="s">
        <v>459</v>
      </c>
      <c r="N243" s="6" t="s">
        <v>388</v>
      </c>
      <c r="O243" s="6" t="s">
        <v>389</v>
      </c>
      <c r="P243" s="6"/>
      <c r="Q243" s="6" t="s">
        <v>391</v>
      </c>
      <c r="R243" s="12"/>
    </row>
    <row r="244" customFormat="false" ht="15" hidden="false" customHeight="true" outlineLevel="0" collapsed="false">
      <c r="A244" s="6" t="s">
        <v>1046</v>
      </c>
      <c r="B244" s="6" t="s">
        <v>158</v>
      </c>
      <c r="C244" s="6" t="s">
        <v>1047</v>
      </c>
      <c r="D244" s="6"/>
      <c r="E244" s="13"/>
      <c r="F244" s="6" t="n">
        <v>2007</v>
      </c>
      <c r="G244" s="11" t="n">
        <f aca="true">IF(F244="","",YEAR(TODAY())-F244)</f>
        <v>19</v>
      </c>
      <c r="H244" s="11" t="str">
        <f aca="false">IF(C244="","",IF(G244="","Thiếu thông tin",IF(G244&lt;6,"Trẻ em",IF(G244&lt;23,"Học sinh / Sinh viên",IF(G244&lt;60,"Đang đi làm","Nghỉ hưu")))))</f>
        <v>Học sinh / Sinh viên</v>
      </c>
      <c r="I244" s="6"/>
      <c r="J244" s="11" t="str">
        <f aca="false">IF(B244="","",IFERROR(INDEX('Hộ gia đình'!$B$2:$B$2000,MATCH(B244,'Hộ gia đình'!$A$2:$A$2000,0)),"Mã hộ không tồn tại"))</f>
        <v>38 ngõ 17 Tạ Quang Bửu</v>
      </c>
      <c r="K244" s="14"/>
      <c r="L244" s="14"/>
      <c r="M244" s="6"/>
      <c r="N244" s="6" t="s">
        <v>395</v>
      </c>
      <c r="O244" s="6" t="s">
        <v>389</v>
      </c>
      <c r="P244" s="6"/>
      <c r="Q244" s="6" t="s">
        <v>403</v>
      </c>
      <c r="R244" s="12"/>
    </row>
    <row r="245" customFormat="false" ht="15" hidden="false" customHeight="true" outlineLevel="0" collapsed="false">
      <c r="A245" s="6" t="s">
        <v>1048</v>
      </c>
      <c r="B245" s="6" t="s">
        <v>158</v>
      </c>
      <c r="C245" s="6" t="s">
        <v>1049</v>
      </c>
      <c r="D245" s="6"/>
      <c r="E245" s="13"/>
      <c r="F245" s="6" t="n">
        <v>2020</v>
      </c>
      <c r="G245" s="11" t="n">
        <f aca="true">IF(F245="","",YEAR(TODAY())-F245)</f>
        <v>6</v>
      </c>
      <c r="H245" s="11" t="str">
        <f aca="false">IF(C245="","",IF(G245="","Thiếu thông tin",IF(G245&lt;6,"Trẻ em",IF(G245&lt;23,"Học sinh / Sinh viên",IF(G245&lt;60,"Đang đi làm","Nghỉ hưu")))))</f>
        <v>Học sinh / Sinh viên</v>
      </c>
      <c r="I245" s="6"/>
      <c r="J245" s="11" t="str">
        <f aca="false">IF(B245="","",IFERROR(INDEX('Hộ gia đình'!$B$2:$B$2000,MATCH(B245,'Hộ gia đình'!$A$2:$A$2000,0)),"Mã hộ không tồn tại"))</f>
        <v>38 ngõ 17 Tạ Quang Bửu</v>
      </c>
      <c r="K245" s="14"/>
      <c r="L245" s="14"/>
      <c r="M245" s="6"/>
      <c r="N245" s="6" t="s">
        <v>395</v>
      </c>
      <c r="O245" s="6" t="s">
        <v>389</v>
      </c>
      <c r="P245" s="6"/>
      <c r="Q245" s="6" t="s">
        <v>403</v>
      </c>
      <c r="R245" s="12"/>
    </row>
    <row r="246" customFormat="false" ht="15" hidden="false" customHeight="true" outlineLevel="0" collapsed="false">
      <c r="A246" s="6" t="s">
        <v>1050</v>
      </c>
      <c r="B246" s="6" t="s">
        <v>158</v>
      </c>
      <c r="C246" s="6" t="s">
        <v>1051</v>
      </c>
      <c r="D246" s="6" t="s">
        <v>408</v>
      </c>
      <c r="E246" s="13" t="n">
        <v>30606</v>
      </c>
      <c r="F246" s="6" t="n">
        <v>1983</v>
      </c>
      <c r="G246" s="11" t="n">
        <f aca="true">IF(F246="","",YEAR(TODAY())-F246)</f>
        <v>43</v>
      </c>
      <c r="H246" s="11" t="str">
        <f aca="false">IF(C246="","",IF(G246="","Thiếu thông tin",IF(G246&lt;6,"Trẻ em",IF(G246&lt;23,"Học sinh / Sinh viên",IF(G246&lt;60,"Đang đi làm","Nghỉ hưu")))))</f>
        <v>Đang đi làm</v>
      </c>
      <c r="I246" s="6"/>
      <c r="J246" s="11" t="str">
        <f aca="false">IF(B246="","",IFERROR(INDEX('Hộ gia đình'!$B$2:$B$2000,MATCH(B246,'Hộ gia đình'!$A$2:$A$2000,0)),"Mã hộ không tồn tại"))</f>
        <v>38 ngõ 17 Tạ Quang Bửu</v>
      </c>
      <c r="K246" s="14" t="s">
        <v>1052</v>
      </c>
      <c r="L246" s="14"/>
      <c r="M246" s="6" t="s">
        <v>459</v>
      </c>
      <c r="N246" s="6" t="s">
        <v>388</v>
      </c>
      <c r="O246" s="6" t="s">
        <v>389</v>
      </c>
      <c r="P246" s="6"/>
      <c r="Q246" s="6" t="s">
        <v>391</v>
      </c>
      <c r="R246" s="12"/>
    </row>
    <row r="247" customFormat="false" ht="15" hidden="false" customHeight="true" outlineLevel="0" collapsed="false">
      <c r="A247" s="6" t="s">
        <v>1053</v>
      </c>
      <c r="B247" s="6" t="s">
        <v>158</v>
      </c>
      <c r="C247" s="6" t="s">
        <v>1054</v>
      </c>
      <c r="D247" s="6" t="s">
        <v>385</v>
      </c>
      <c r="E247" s="13" t="n">
        <v>31267</v>
      </c>
      <c r="F247" s="6" t="n">
        <v>1985</v>
      </c>
      <c r="G247" s="11" t="n">
        <f aca="true">IF(F247="","",YEAR(TODAY())-F247)</f>
        <v>41</v>
      </c>
      <c r="H247" s="11" t="str">
        <f aca="false">IF(C247="","",IF(G247="","Thiếu thông tin",IF(G247&lt;6,"Trẻ em",IF(G247&lt;23,"Học sinh / Sinh viên",IF(G247&lt;60,"Đang đi làm","Nghỉ hưu")))))</f>
        <v>Đang đi làm</v>
      </c>
      <c r="I247" s="6"/>
      <c r="J247" s="11" t="str">
        <f aca="false">IF(B247="","",IFERROR(INDEX('Hộ gia đình'!$B$2:$B$2000,MATCH(B247,'Hộ gia đình'!$A$2:$A$2000,0)),"Mã hộ không tồn tại"))</f>
        <v>38 ngõ 17 Tạ Quang Bửu</v>
      </c>
      <c r="K247" s="14" t="s">
        <v>1055</v>
      </c>
      <c r="L247" s="14"/>
      <c r="M247" s="6" t="s">
        <v>459</v>
      </c>
      <c r="N247" s="6" t="s">
        <v>388</v>
      </c>
      <c r="O247" s="6" t="s">
        <v>389</v>
      </c>
      <c r="P247" s="6"/>
      <c r="Q247" s="6" t="s">
        <v>391</v>
      </c>
      <c r="R247" s="12"/>
    </row>
    <row r="248" customFormat="false" ht="15" hidden="false" customHeight="true" outlineLevel="0" collapsed="false">
      <c r="A248" s="6" t="s">
        <v>1056</v>
      </c>
      <c r="B248" s="6" t="s">
        <v>158</v>
      </c>
      <c r="C248" s="6" t="s">
        <v>1057</v>
      </c>
      <c r="D248" s="6"/>
      <c r="E248" s="13"/>
      <c r="F248" s="6" t="n">
        <v>2010</v>
      </c>
      <c r="G248" s="11" t="n">
        <f aca="true">IF(F248="","",YEAR(TODAY())-F248)</f>
        <v>16</v>
      </c>
      <c r="H248" s="11" t="str">
        <f aca="false">IF(C248="","",IF(G248="","Thiếu thông tin",IF(G248&lt;6,"Trẻ em",IF(G248&lt;23,"Học sinh / Sinh viên",IF(G248&lt;60,"Đang đi làm","Nghỉ hưu")))))</f>
        <v>Học sinh / Sinh viên</v>
      </c>
      <c r="I248" s="6"/>
      <c r="J248" s="11" t="str">
        <f aca="false">IF(B248="","",IFERROR(INDEX('Hộ gia đình'!$B$2:$B$2000,MATCH(B248,'Hộ gia đình'!$A$2:$A$2000,0)),"Mã hộ không tồn tại"))</f>
        <v>38 ngõ 17 Tạ Quang Bửu</v>
      </c>
      <c r="K248" s="14"/>
      <c r="L248" s="14"/>
      <c r="M248" s="6"/>
      <c r="N248" s="6" t="s">
        <v>395</v>
      </c>
      <c r="O248" s="6" t="s">
        <v>389</v>
      </c>
      <c r="P248" s="6"/>
      <c r="Q248" s="6" t="s">
        <v>403</v>
      </c>
      <c r="R248" s="12"/>
    </row>
    <row r="249" customFormat="false" ht="15" hidden="false" customHeight="true" outlineLevel="0" collapsed="false">
      <c r="A249" s="6" t="s">
        <v>1058</v>
      </c>
      <c r="B249" s="6" t="s">
        <v>158</v>
      </c>
      <c r="C249" s="6" t="s">
        <v>1059</v>
      </c>
      <c r="D249" s="6"/>
      <c r="E249" s="13"/>
      <c r="F249" s="6" t="n">
        <v>2014</v>
      </c>
      <c r="G249" s="11" t="n">
        <f aca="true">IF(F249="","",YEAR(TODAY())-F249)</f>
        <v>12</v>
      </c>
      <c r="H249" s="11" t="str">
        <f aca="false">IF(C249="","",IF(G249="","Thiếu thông tin",IF(G249&lt;6,"Trẻ em",IF(G249&lt;23,"Học sinh / Sinh viên",IF(G249&lt;60,"Đang đi làm","Nghỉ hưu")))))</f>
        <v>Học sinh / Sinh viên</v>
      </c>
      <c r="I249" s="6"/>
      <c r="J249" s="11" t="str">
        <f aca="false">IF(B249="","",IFERROR(INDEX('Hộ gia đình'!$B$2:$B$2000,MATCH(B249,'Hộ gia đình'!$A$2:$A$2000,0)),"Mã hộ không tồn tại"))</f>
        <v>38 ngõ 17 Tạ Quang Bửu</v>
      </c>
      <c r="K249" s="14"/>
      <c r="L249" s="14"/>
      <c r="M249" s="6"/>
      <c r="N249" s="6" t="s">
        <v>395</v>
      </c>
      <c r="O249" s="6" t="s">
        <v>389</v>
      </c>
      <c r="P249" s="6"/>
      <c r="Q249" s="6" t="s">
        <v>403</v>
      </c>
      <c r="R249" s="12"/>
    </row>
    <row r="250" customFormat="false" ht="15" hidden="false" customHeight="true" outlineLevel="0" collapsed="false">
      <c r="A250" s="6" t="s">
        <v>1060</v>
      </c>
      <c r="B250" s="6" t="s">
        <v>160</v>
      </c>
      <c r="C250" s="6" t="s">
        <v>815</v>
      </c>
      <c r="D250" s="6"/>
      <c r="E250" s="13"/>
      <c r="F250" s="6" t="n">
        <v>1984</v>
      </c>
      <c r="G250" s="11" t="n">
        <f aca="true">IF(F250="","",YEAR(TODAY())-F250)</f>
        <v>42</v>
      </c>
      <c r="H250" s="11" t="str">
        <f aca="false">IF(C250="","",IF(G250="","Thiếu thông tin",IF(G250&lt;6,"Trẻ em",IF(G250&lt;23,"Học sinh / Sinh viên",IF(G250&lt;60,"Đang đi làm","Nghỉ hưu")))))</f>
        <v>Đang đi làm</v>
      </c>
      <c r="I250" s="6" t="s">
        <v>52</v>
      </c>
      <c r="J250" s="11" t="str">
        <f aca="false">IF(B250="","",IFERROR(INDEX('Hộ gia đình'!$B$2:$B$2000,MATCH(B250,'Hộ gia đình'!$A$2:$A$2000,0)),"Mã hộ không tồn tại"))</f>
        <v>3 ngõ 17 Tạ Quang Bửu</v>
      </c>
      <c r="K250" s="14"/>
      <c r="L250" s="14" t="s">
        <v>1061</v>
      </c>
      <c r="M250" s="6"/>
      <c r="N250" s="6" t="s">
        <v>395</v>
      </c>
      <c r="O250" s="6" t="s">
        <v>389</v>
      </c>
      <c r="P250" s="6"/>
      <c r="Q250" s="6" t="s">
        <v>818</v>
      </c>
      <c r="R250" s="12"/>
    </row>
    <row r="251" customFormat="false" ht="15" hidden="false" customHeight="true" outlineLevel="0" collapsed="false">
      <c r="A251" s="6" t="s">
        <v>1062</v>
      </c>
      <c r="B251" s="6" t="s">
        <v>160</v>
      </c>
      <c r="C251" s="6" t="s">
        <v>817</v>
      </c>
      <c r="D251" s="6"/>
      <c r="E251" s="13"/>
      <c r="F251" s="6" t="n">
        <v>1986</v>
      </c>
      <c r="G251" s="11" t="n">
        <f aca="true">IF(F251="","",YEAR(TODAY())-F251)</f>
        <v>40</v>
      </c>
      <c r="H251" s="11" t="str">
        <f aca="false">IF(C251="","",IF(G251="","Thiếu thông tin",IF(G251&lt;6,"Trẻ em",IF(G251&lt;23,"Học sinh / Sinh viên",IF(G251&lt;60,"Đang đi làm","Nghỉ hưu")))))</f>
        <v>Đang đi làm</v>
      </c>
      <c r="I251" s="6"/>
      <c r="J251" s="11" t="str">
        <f aca="false">IF(B251="","",IFERROR(INDEX('Hộ gia đình'!$B$2:$B$2000,MATCH(B251,'Hộ gia đình'!$A$2:$A$2000,0)),"Mã hộ không tồn tại"))</f>
        <v>3 ngõ 17 Tạ Quang Bửu</v>
      </c>
      <c r="K251" s="14"/>
      <c r="L251" s="14"/>
      <c r="M251" s="6"/>
      <c r="N251" s="6" t="s">
        <v>395</v>
      </c>
      <c r="O251" s="6" t="s">
        <v>389</v>
      </c>
      <c r="P251" s="6"/>
      <c r="Q251" s="6" t="s">
        <v>396</v>
      </c>
      <c r="R251" s="12"/>
    </row>
    <row r="252" customFormat="false" ht="15" hidden="false" customHeight="true" outlineLevel="0" collapsed="false">
      <c r="A252" s="6" t="s">
        <v>1063</v>
      </c>
      <c r="B252" s="6" t="s">
        <v>160</v>
      </c>
      <c r="C252" s="6" t="s">
        <v>1064</v>
      </c>
      <c r="D252" s="6"/>
      <c r="E252" s="13" t="n">
        <v>42161</v>
      </c>
      <c r="F252" s="6" t="n">
        <v>2015</v>
      </c>
      <c r="G252" s="11" t="n">
        <f aca="true">IF(F252="","",YEAR(TODAY())-F252)</f>
        <v>11</v>
      </c>
      <c r="H252" s="11" t="str">
        <f aca="false">IF(C252="","",IF(G252="","Thiếu thông tin",IF(G252&lt;6,"Trẻ em",IF(G252&lt;23,"Học sinh / Sinh viên",IF(G252&lt;60,"Đang đi làm","Nghỉ hưu")))))</f>
        <v>Học sinh / Sinh viên</v>
      </c>
      <c r="I252" s="6"/>
      <c r="J252" s="11" t="str">
        <f aca="false">IF(B252="","",IFERROR(INDEX('Hộ gia đình'!$B$2:$B$2000,MATCH(B252,'Hộ gia đình'!$A$2:$A$2000,0)),"Mã hộ không tồn tại"))</f>
        <v>3 ngõ 17 Tạ Quang Bửu</v>
      </c>
      <c r="K252" s="14"/>
      <c r="L252" s="14"/>
      <c r="M252" s="6"/>
      <c r="N252" s="6" t="s">
        <v>395</v>
      </c>
      <c r="O252" s="6" t="s">
        <v>389</v>
      </c>
      <c r="P252" s="6"/>
      <c r="Q252" s="6" t="s">
        <v>403</v>
      </c>
      <c r="R252" s="12"/>
    </row>
    <row r="253" customFormat="false" ht="15" hidden="false" customHeight="true" outlineLevel="0" collapsed="false">
      <c r="A253" s="6" t="s">
        <v>1065</v>
      </c>
      <c r="B253" s="6" t="s">
        <v>160</v>
      </c>
      <c r="C253" s="6" t="s">
        <v>1066</v>
      </c>
      <c r="D253" s="6"/>
      <c r="E253" s="13" t="n">
        <v>39821</v>
      </c>
      <c r="F253" s="6" t="n">
        <v>2009</v>
      </c>
      <c r="G253" s="11" t="n">
        <f aca="true">IF(F253="","",YEAR(TODAY())-F253)</f>
        <v>17</v>
      </c>
      <c r="H253" s="11" t="str">
        <f aca="false">IF(C253="","",IF(G253="","Thiếu thông tin",IF(G253&lt;6,"Trẻ em",IF(G253&lt;23,"Học sinh / Sinh viên",IF(G253&lt;60,"Đang đi làm","Nghỉ hưu")))))</f>
        <v>Học sinh / Sinh viên</v>
      </c>
      <c r="I253" s="6"/>
      <c r="J253" s="11" t="str">
        <f aca="false">IF(B253="","",IFERROR(INDEX('Hộ gia đình'!$B$2:$B$2000,MATCH(B253,'Hộ gia đình'!$A$2:$A$2000,0)),"Mã hộ không tồn tại"))</f>
        <v>3 ngõ 17 Tạ Quang Bửu</v>
      </c>
      <c r="K253" s="14"/>
      <c r="L253" s="14"/>
      <c r="M253" s="6"/>
      <c r="N253" s="6" t="s">
        <v>395</v>
      </c>
      <c r="O253" s="6" t="s">
        <v>389</v>
      </c>
      <c r="P253" s="6"/>
      <c r="Q253" s="6" t="s">
        <v>1067</v>
      </c>
      <c r="R253" s="12"/>
    </row>
    <row r="254" customFormat="false" ht="15" hidden="false" customHeight="true" outlineLevel="0" collapsed="false">
      <c r="A254" s="6" t="s">
        <v>1068</v>
      </c>
      <c r="B254" s="6" t="s">
        <v>162</v>
      </c>
      <c r="C254" s="6" t="s">
        <v>1069</v>
      </c>
      <c r="D254" s="6" t="s">
        <v>408</v>
      </c>
      <c r="E254" s="13" t="n">
        <v>14632</v>
      </c>
      <c r="F254" s="6" t="n">
        <v>1940</v>
      </c>
      <c r="G254" s="11" t="n">
        <f aca="true">IF(F254="","",YEAR(TODAY())-F254)</f>
        <v>86</v>
      </c>
      <c r="H254" s="11" t="str">
        <f aca="false">IF(C254="","",IF(G254="","Thiếu thông tin",IF(G254&lt;6,"Trẻ em",IF(G254&lt;23,"Học sinh / Sinh viên",IF(G254&lt;60,"Đang đi làm","Nghỉ hưu")))))</f>
        <v>Nghỉ hưu</v>
      </c>
      <c r="I254" s="6" t="s">
        <v>52</v>
      </c>
      <c r="J254" s="11" t="str">
        <f aca="false">IF(B254="","",IFERROR(INDEX('Hộ gia đình'!$B$2:$B$2000,MATCH(B254,'Hộ gia đình'!$A$2:$A$2000,0)),"Mã hộ không tồn tại"))</f>
        <v>7 ngõ 17 Tạ Quang Bửu</v>
      </c>
      <c r="K254" s="14" t="s">
        <v>1070</v>
      </c>
      <c r="L254" s="14"/>
      <c r="M254" s="6" t="s">
        <v>451</v>
      </c>
      <c r="N254" s="6" t="s">
        <v>388</v>
      </c>
      <c r="O254" s="6" t="s">
        <v>389</v>
      </c>
      <c r="P254" s="6"/>
      <c r="Q254" s="6" t="s">
        <v>1071</v>
      </c>
      <c r="R254" s="12"/>
    </row>
    <row r="255" customFormat="false" ht="15" hidden="false" customHeight="true" outlineLevel="0" collapsed="false">
      <c r="A255" s="6" t="s">
        <v>1072</v>
      </c>
      <c r="B255" s="6" t="s">
        <v>162</v>
      </c>
      <c r="C255" s="6" t="s">
        <v>1073</v>
      </c>
      <c r="D255" s="6" t="s">
        <v>385</v>
      </c>
      <c r="E255" s="13" t="n">
        <v>16665</v>
      </c>
      <c r="F255" s="6" t="n">
        <v>1945</v>
      </c>
      <c r="G255" s="11" t="n">
        <f aca="true">IF(F255="","",YEAR(TODAY())-F255)</f>
        <v>81</v>
      </c>
      <c r="H255" s="11" t="str">
        <f aca="false">IF(C255="","",IF(G255="","Thiếu thông tin",IF(G255&lt;6,"Trẻ em",IF(G255&lt;23,"Học sinh / Sinh viên",IF(G255&lt;60,"Đang đi làm","Nghỉ hưu")))))</f>
        <v>Nghỉ hưu</v>
      </c>
      <c r="I255" s="6"/>
      <c r="J255" s="11" t="str">
        <f aca="false">IF(B255="","",IFERROR(INDEX('Hộ gia đình'!$B$2:$B$2000,MATCH(B255,'Hộ gia đình'!$A$2:$A$2000,0)),"Mã hộ không tồn tại"))</f>
        <v>7 ngõ 17 Tạ Quang Bửu</v>
      </c>
      <c r="K255" s="14" t="s">
        <v>1074</v>
      </c>
      <c r="L255" s="14"/>
      <c r="M255" s="6" t="s">
        <v>451</v>
      </c>
      <c r="N255" s="6" t="s">
        <v>388</v>
      </c>
      <c r="O255" s="6" t="s">
        <v>389</v>
      </c>
      <c r="P255" s="6"/>
      <c r="Q255" s="6" t="s">
        <v>1071</v>
      </c>
      <c r="R255" s="12"/>
    </row>
    <row r="256" customFormat="false" ht="15" hidden="false" customHeight="true" outlineLevel="0" collapsed="false">
      <c r="A256" s="6" t="s">
        <v>1075</v>
      </c>
      <c r="B256" s="6" t="s">
        <v>162</v>
      </c>
      <c r="C256" s="6" t="s">
        <v>1076</v>
      </c>
      <c r="D256" s="6" t="s">
        <v>408</v>
      </c>
      <c r="E256" s="13" t="n">
        <v>26907</v>
      </c>
      <c r="F256" s="6" t="n">
        <v>1973</v>
      </c>
      <c r="G256" s="11" t="n">
        <f aca="true">IF(F256="","",YEAR(TODAY())-F256)</f>
        <v>53</v>
      </c>
      <c r="H256" s="11" t="str">
        <f aca="false">IF(C256="","",IF(G256="","Thiếu thông tin",IF(G256&lt;6,"Trẻ em",IF(G256&lt;23,"Học sinh / Sinh viên",IF(G256&lt;60,"Đang đi làm","Nghỉ hưu")))))</f>
        <v>Đang đi làm</v>
      </c>
      <c r="I256" s="6"/>
      <c r="J256" s="11" t="str">
        <f aca="false">IF(B256="","",IFERROR(INDEX('Hộ gia đình'!$B$2:$B$2000,MATCH(B256,'Hộ gia đình'!$A$2:$A$2000,0)),"Mã hộ không tồn tại"))</f>
        <v>7 ngõ 17 Tạ Quang Bửu</v>
      </c>
      <c r="K256" s="14" t="s">
        <v>1077</v>
      </c>
      <c r="L256" s="14"/>
      <c r="M256" s="6" t="s">
        <v>459</v>
      </c>
      <c r="N256" s="6" t="s">
        <v>388</v>
      </c>
      <c r="O256" s="6" t="s">
        <v>389</v>
      </c>
      <c r="P256" s="6"/>
      <c r="Q256" s="6" t="s">
        <v>391</v>
      </c>
      <c r="R256" s="12"/>
    </row>
    <row r="257" customFormat="false" ht="15" hidden="false" customHeight="true" outlineLevel="0" collapsed="false">
      <c r="A257" s="6" t="s">
        <v>1078</v>
      </c>
      <c r="B257" s="6" t="s">
        <v>162</v>
      </c>
      <c r="C257" s="6" t="s">
        <v>1079</v>
      </c>
      <c r="D257" s="6" t="s">
        <v>385</v>
      </c>
      <c r="E257" s="13" t="n">
        <v>27086</v>
      </c>
      <c r="F257" s="6" t="n">
        <v>1974</v>
      </c>
      <c r="G257" s="11" t="n">
        <f aca="true">IF(F257="","",YEAR(TODAY())-F257)</f>
        <v>52</v>
      </c>
      <c r="H257" s="11" t="str">
        <f aca="false">IF(C257="","",IF(G257="","Thiếu thông tin",IF(G257&lt;6,"Trẻ em",IF(G257&lt;23,"Học sinh / Sinh viên",IF(G257&lt;60,"Đang đi làm","Nghỉ hưu")))))</f>
        <v>Đang đi làm</v>
      </c>
      <c r="I257" s="6"/>
      <c r="J257" s="11" t="str">
        <f aca="false">IF(B257="","",IFERROR(INDEX('Hộ gia đình'!$B$2:$B$2000,MATCH(B257,'Hộ gia đình'!$A$2:$A$2000,0)),"Mã hộ không tồn tại"))</f>
        <v>7 ngõ 17 Tạ Quang Bửu</v>
      </c>
      <c r="K257" s="14" t="s">
        <v>1080</v>
      </c>
      <c r="L257" s="14"/>
      <c r="M257" s="6" t="s">
        <v>459</v>
      </c>
      <c r="N257" s="6" t="s">
        <v>388</v>
      </c>
      <c r="O257" s="6" t="s">
        <v>389</v>
      </c>
      <c r="P257" s="6"/>
      <c r="Q257" s="6" t="s">
        <v>391</v>
      </c>
      <c r="R257" s="12"/>
    </row>
    <row r="258" customFormat="false" ht="15" hidden="false" customHeight="true" outlineLevel="0" collapsed="false">
      <c r="A258" s="6" t="s">
        <v>1081</v>
      </c>
      <c r="B258" s="6" t="s">
        <v>162</v>
      </c>
      <c r="C258" s="6" t="s">
        <v>1082</v>
      </c>
      <c r="D258" s="6" t="s">
        <v>385</v>
      </c>
      <c r="E258" s="13" t="n">
        <v>29459</v>
      </c>
      <c r="F258" s="6" t="n">
        <v>1980</v>
      </c>
      <c r="G258" s="11" t="n">
        <f aca="true">IF(F258="","",YEAR(TODAY())-F258)</f>
        <v>46</v>
      </c>
      <c r="H258" s="11" t="str">
        <f aca="false">IF(C258="","",IF(G258="","Thiếu thông tin",IF(G258&lt;6,"Trẻ em",IF(G258&lt;23,"Học sinh / Sinh viên",IF(G258&lt;60,"Đang đi làm","Nghỉ hưu")))))</f>
        <v>Đang đi làm</v>
      </c>
      <c r="I258" s="6"/>
      <c r="J258" s="11" t="str">
        <f aca="false">IF(B258="","",IFERROR(INDEX('Hộ gia đình'!$B$2:$B$2000,MATCH(B258,'Hộ gia đình'!$A$2:$A$2000,0)),"Mã hộ không tồn tại"))</f>
        <v>7 ngõ 17 Tạ Quang Bửu</v>
      </c>
      <c r="K258" s="14" t="s">
        <v>1083</v>
      </c>
      <c r="L258" s="14"/>
      <c r="M258" s="6" t="s">
        <v>459</v>
      </c>
      <c r="N258" s="6" t="s">
        <v>388</v>
      </c>
      <c r="O258" s="6" t="s">
        <v>389</v>
      </c>
      <c r="P258" s="6"/>
      <c r="Q258" s="6" t="s">
        <v>1071</v>
      </c>
      <c r="R258" s="12" t="s">
        <v>1084</v>
      </c>
    </row>
    <row r="259" customFormat="false" ht="15" hidden="false" customHeight="true" outlineLevel="0" collapsed="false">
      <c r="A259" s="6" t="s">
        <v>1085</v>
      </c>
      <c r="B259" s="6" t="s">
        <v>162</v>
      </c>
      <c r="C259" s="6" t="s">
        <v>1086</v>
      </c>
      <c r="D259" s="6" t="s">
        <v>385</v>
      </c>
      <c r="E259" s="13" t="n">
        <v>37463</v>
      </c>
      <c r="F259" s="6" t="n">
        <v>2002</v>
      </c>
      <c r="G259" s="11" t="n">
        <f aca="true">IF(F259="","",YEAR(TODAY())-F259)</f>
        <v>24</v>
      </c>
      <c r="H259" s="11" t="str">
        <f aca="false">IF(C259="","",IF(G259="","Thiếu thông tin",IF(G259&lt;6,"Trẻ em",IF(G259&lt;23,"Học sinh / Sinh viên",IF(G259&lt;60,"Đang đi làm","Nghỉ hưu")))))</f>
        <v>Đang đi làm</v>
      </c>
      <c r="I259" s="6"/>
      <c r="J259" s="11" t="str">
        <f aca="false">IF(B259="","",IFERROR(INDEX('Hộ gia đình'!$B$2:$B$2000,MATCH(B259,'Hộ gia đình'!$A$2:$A$2000,0)),"Mã hộ không tồn tại"))</f>
        <v>7 ngõ 17 Tạ Quang Bửu</v>
      </c>
      <c r="K259" s="14" t="s">
        <v>1087</v>
      </c>
      <c r="L259" s="14"/>
      <c r="M259" s="6" t="s">
        <v>459</v>
      </c>
      <c r="N259" s="6" t="s">
        <v>388</v>
      </c>
      <c r="O259" s="6" t="s">
        <v>389</v>
      </c>
      <c r="P259" s="6"/>
      <c r="Q259" s="6" t="s">
        <v>583</v>
      </c>
      <c r="R259" s="12" t="s">
        <v>1088</v>
      </c>
    </row>
    <row r="260" customFormat="false" ht="15" hidden="false" customHeight="true" outlineLevel="0" collapsed="false">
      <c r="A260" s="6" t="s">
        <v>1089</v>
      </c>
      <c r="B260" s="6" t="s">
        <v>162</v>
      </c>
      <c r="C260" s="6" t="s">
        <v>1090</v>
      </c>
      <c r="D260" s="6" t="s">
        <v>408</v>
      </c>
      <c r="E260" s="13" t="n">
        <v>36373</v>
      </c>
      <c r="F260" s="6" t="n">
        <v>1999</v>
      </c>
      <c r="G260" s="11" t="n">
        <f aca="true">IF(F260="","",YEAR(TODAY())-F260)</f>
        <v>27</v>
      </c>
      <c r="H260" s="11" t="str">
        <f aca="false">IF(C260="","",IF(G260="","Thiếu thông tin",IF(G260&lt;6,"Trẻ em",IF(G260&lt;23,"Học sinh / Sinh viên",IF(G260&lt;60,"Đang đi làm","Nghỉ hưu")))))</f>
        <v>Đang đi làm</v>
      </c>
      <c r="I260" s="6"/>
      <c r="J260" s="11" t="str">
        <f aca="false">IF(B260="","",IFERROR(INDEX('Hộ gia đình'!$B$2:$B$2000,MATCH(B260,'Hộ gia đình'!$A$2:$A$2000,0)),"Mã hộ không tồn tại"))</f>
        <v>7 ngõ 17 Tạ Quang Bửu</v>
      </c>
      <c r="K260" s="14" t="s">
        <v>1091</v>
      </c>
      <c r="L260" s="14"/>
      <c r="M260" s="6" t="s">
        <v>459</v>
      </c>
      <c r="N260" s="6" t="s">
        <v>388</v>
      </c>
      <c r="O260" s="6" t="s">
        <v>389</v>
      </c>
      <c r="P260" s="6"/>
      <c r="Q260" s="6" t="s">
        <v>583</v>
      </c>
      <c r="R260" s="12" t="s">
        <v>1092</v>
      </c>
    </row>
    <row r="261" customFormat="false" ht="15" hidden="false" customHeight="true" outlineLevel="0" collapsed="false">
      <c r="A261" s="6" t="s">
        <v>1093</v>
      </c>
      <c r="B261" s="6" t="s">
        <v>162</v>
      </c>
      <c r="C261" s="6" t="s">
        <v>1094</v>
      </c>
      <c r="D261" s="6" t="s">
        <v>408</v>
      </c>
      <c r="E261" s="13" t="n">
        <v>39807</v>
      </c>
      <c r="F261" s="6" t="n">
        <v>2008</v>
      </c>
      <c r="G261" s="11" t="n">
        <f aca="true">IF(F261="","",YEAR(TODAY())-F261)</f>
        <v>18</v>
      </c>
      <c r="H261" s="11" t="str">
        <f aca="false">IF(C261="","",IF(G261="","Thiếu thông tin",IF(G261&lt;6,"Trẻ em",IF(G261&lt;23,"Học sinh / Sinh viên",IF(G261&lt;60,"Đang đi làm","Nghỉ hưu")))))</f>
        <v>Học sinh / Sinh viên</v>
      </c>
      <c r="I261" s="6"/>
      <c r="J261" s="11" t="str">
        <f aca="false">IF(B261="","",IFERROR(INDEX('Hộ gia đình'!$B$2:$B$2000,MATCH(B261,'Hộ gia đình'!$A$2:$A$2000,0)),"Mã hộ không tồn tại"))</f>
        <v>7 ngõ 17 Tạ Quang Bửu</v>
      </c>
      <c r="K261" s="14" t="s">
        <v>1095</v>
      </c>
      <c r="L261" s="14"/>
      <c r="M261" s="6"/>
      <c r="N261" s="6" t="s">
        <v>395</v>
      </c>
      <c r="O261" s="6" t="s">
        <v>389</v>
      </c>
      <c r="P261" s="6"/>
      <c r="Q261" s="6" t="s">
        <v>1067</v>
      </c>
      <c r="R261" s="12"/>
    </row>
    <row r="262" customFormat="false" ht="15" hidden="false" customHeight="true" outlineLevel="0" collapsed="false">
      <c r="A262" s="6" t="s">
        <v>1096</v>
      </c>
      <c r="B262" s="6" t="s">
        <v>162</v>
      </c>
      <c r="C262" s="6" t="s">
        <v>1097</v>
      </c>
      <c r="D262" s="6" t="s">
        <v>408</v>
      </c>
      <c r="E262" s="13" t="n">
        <v>40428</v>
      </c>
      <c r="F262" s="6" t="n">
        <v>2010</v>
      </c>
      <c r="G262" s="11" t="n">
        <f aca="true">IF(F262="","",YEAR(TODAY())-F262)</f>
        <v>16</v>
      </c>
      <c r="H262" s="11" t="str">
        <f aca="false">IF(C262="","",IF(G262="","Thiếu thông tin",IF(G262&lt;6,"Trẻ em",IF(G262&lt;23,"Học sinh / Sinh viên",IF(G262&lt;60,"Đang đi làm","Nghỉ hưu")))))</f>
        <v>Học sinh / Sinh viên</v>
      </c>
      <c r="I262" s="6"/>
      <c r="J262" s="11" t="str">
        <f aca="false">IF(B262="","",IFERROR(INDEX('Hộ gia đình'!$B$2:$B$2000,MATCH(B262,'Hộ gia đình'!$A$2:$A$2000,0)),"Mã hộ không tồn tại"))</f>
        <v>7 ngõ 17 Tạ Quang Bửu</v>
      </c>
      <c r="K262" s="14"/>
      <c r="L262" s="14"/>
      <c r="M262" s="6"/>
      <c r="N262" s="6" t="s">
        <v>395</v>
      </c>
      <c r="O262" s="6" t="s">
        <v>389</v>
      </c>
      <c r="P262" s="6"/>
      <c r="Q262" s="6" t="s">
        <v>1067</v>
      </c>
      <c r="R262" s="12"/>
    </row>
    <row r="263" customFormat="false" ht="15" hidden="false" customHeight="true" outlineLevel="0" collapsed="false">
      <c r="A263" s="6" t="s">
        <v>1098</v>
      </c>
      <c r="B263" s="6" t="s">
        <v>164</v>
      </c>
      <c r="C263" s="6" t="s">
        <v>1099</v>
      </c>
      <c r="D263" s="6" t="s">
        <v>408</v>
      </c>
      <c r="E263" s="13" t="n">
        <v>29587</v>
      </c>
      <c r="F263" s="6" t="n">
        <v>1981</v>
      </c>
      <c r="G263" s="11" t="n">
        <f aca="true">IF(F263="","",YEAR(TODAY())-F263)</f>
        <v>45</v>
      </c>
      <c r="H263" s="11" t="str">
        <f aca="false">IF(C263="","",IF(G263="","Thiếu thông tin",IF(G263&lt;6,"Trẻ em",IF(G263&lt;23,"Học sinh / Sinh viên",IF(G263&lt;60,"Đang đi làm","Nghỉ hưu")))))</f>
        <v>Đang đi làm</v>
      </c>
      <c r="I263" s="6" t="s">
        <v>52</v>
      </c>
      <c r="J263" s="11" t="str">
        <f aca="false">IF(B263="","",IFERROR(INDEX('Hộ gia đình'!$B$2:$B$2000,MATCH(B263,'Hộ gia đình'!$A$2:$A$2000,0)),"Mã hộ không tồn tại"))</f>
        <v>9 ngõ 17 Tạ Quang Bửu</v>
      </c>
      <c r="K263" s="14" t="s">
        <v>1100</v>
      </c>
      <c r="L263" s="14" t="s">
        <v>1101</v>
      </c>
      <c r="M263" s="6" t="s">
        <v>459</v>
      </c>
      <c r="N263" s="6" t="s">
        <v>388</v>
      </c>
      <c r="O263" s="6" t="s">
        <v>389</v>
      </c>
      <c r="P263" s="6"/>
      <c r="Q263" s="6" t="s">
        <v>1071</v>
      </c>
      <c r="R263" s="12"/>
    </row>
    <row r="264" customFormat="false" ht="15" hidden="false" customHeight="true" outlineLevel="0" collapsed="false">
      <c r="A264" s="6" t="s">
        <v>1102</v>
      </c>
      <c r="B264" s="6" t="s">
        <v>164</v>
      </c>
      <c r="C264" s="6" t="s">
        <v>1103</v>
      </c>
      <c r="D264" s="6" t="s">
        <v>385</v>
      </c>
      <c r="E264" s="13" t="n">
        <v>30416</v>
      </c>
      <c r="F264" s="6" t="n">
        <v>1983</v>
      </c>
      <c r="G264" s="11" t="n">
        <f aca="true">IF(F264="","",YEAR(TODAY())-F264)</f>
        <v>43</v>
      </c>
      <c r="H264" s="11" t="str">
        <f aca="false">IF(C264="","",IF(G264="","Thiếu thông tin",IF(G264&lt;6,"Trẻ em",IF(G264&lt;23,"Học sinh / Sinh viên",IF(G264&lt;60,"Đang đi làm","Nghỉ hưu")))))</f>
        <v>Đang đi làm</v>
      </c>
      <c r="I264" s="6"/>
      <c r="J264" s="11" t="str">
        <f aca="false">IF(B264="","",IFERROR(INDEX('Hộ gia đình'!$B$2:$B$2000,MATCH(B264,'Hộ gia đình'!$A$2:$A$2000,0)),"Mã hộ không tồn tại"))</f>
        <v>9 ngõ 17 Tạ Quang Bửu</v>
      </c>
      <c r="K264" s="14" t="s">
        <v>1104</v>
      </c>
      <c r="L264" s="14"/>
      <c r="M264" s="6" t="s">
        <v>459</v>
      </c>
      <c r="N264" s="6" t="s">
        <v>388</v>
      </c>
      <c r="O264" s="6" t="s">
        <v>389</v>
      </c>
      <c r="P264" s="6"/>
      <c r="Q264" s="6" t="s">
        <v>1071</v>
      </c>
      <c r="R264" s="12" t="s">
        <v>1105</v>
      </c>
    </row>
    <row r="265" customFormat="false" ht="15" hidden="false" customHeight="true" outlineLevel="0" collapsed="false">
      <c r="A265" s="6" t="s">
        <v>1106</v>
      </c>
      <c r="B265" s="6" t="s">
        <v>164</v>
      </c>
      <c r="C265" s="6" t="s">
        <v>1107</v>
      </c>
      <c r="D265" s="6"/>
      <c r="E265" s="13"/>
      <c r="F265" s="6" t="n">
        <v>2013</v>
      </c>
      <c r="G265" s="11" t="n">
        <f aca="true">IF(F265="","",YEAR(TODAY())-F265)</f>
        <v>13</v>
      </c>
      <c r="H265" s="11" t="str">
        <f aca="false">IF(C265="","",IF(G265="","Thiếu thông tin",IF(G265&lt;6,"Trẻ em",IF(G265&lt;23,"Học sinh / Sinh viên",IF(G265&lt;60,"Đang đi làm","Nghỉ hưu")))))</f>
        <v>Học sinh / Sinh viên</v>
      </c>
      <c r="I265" s="6"/>
      <c r="J265" s="11" t="str">
        <f aca="false">IF(B265="","",IFERROR(INDEX('Hộ gia đình'!$B$2:$B$2000,MATCH(B265,'Hộ gia đình'!$A$2:$A$2000,0)),"Mã hộ không tồn tại"))</f>
        <v>9 ngõ 17 Tạ Quang Bửu</v>
      </c>
      <c r="K265" s="14"/>
      <c r="L265" s="14"/>
      <c r="M265" s="6"/>
      <c r="N265" s="6" t="s">
        <v>395</v>
      </c>
      <c r="O265" s="6" t="s">
        <v>389</v>
      </c>
      <c r="P265" s="6"/>
      <c r="Q265" s="6" t="s">
        <v>403</v>
      </c>
      <c r="R265" s="12"/>
    </row>
    <row r="266" customFormat="false" ht="15" hidden="false" customHeight="true" outlineLevel="0" collapsed="false">
      <c r="A266" s="6" t="s">
        <v>1108</v>
      </c>
      <c r="B266" s="6" t="s">
        <v>164</v>
      </c>
      <c r="C266" s="6" t="s">
        <v>1109</v>
      </c>
      <c r="D266" s="6"/>
      <c r="E266" s="13"/>
      <c r="F266" s="6" t="n">
        <v>2014</v>
      </c>
      <c r="G266" s="11" t="n">
        <f aca="true">IF(F266="","",YEAR(TODAY())-F266)</f>
        <v>12</v>
      </c>
      <c r="H266" s="11" t="str">
        <f aca="false">IF(C266="","",IF(G266="","Thiếu thông tin",IF(G266&lt;6,"Trẻ em",IF(G266&lt;23,"Học sinh / Sinh viên",IF(G266&lt;60,"Đang đi làm","Nghỉ hưu")))))</f>
        <v>Học sinh / Sinh viên</v>
      </c>
      <c r="I266" s="6"/>
      <c r="J266" s="11" t="str">
        <f aca="false">IF(B266="","",IFERROR(INDEX('Hộ gia đình'!$B$2:$B$2000,MATCH(B266,'Hộ gia đình'!$A$2:$A$2000,0)),"Mã hộ không tồn tại"))</f>
        <v>9 ngõ 17 Tạ Quang Bửu</v>
      </c>
      <c r="K266" s="14"/>
      <c r="L266" s="14"/>
      <c r="M266" s="6"/>
      <c r="N266" s="6" t="s">
        <v>395</v>
      </c>
      <c r="O266" s="6" t="s">
        <v>389</v>
      </c>
      <c r="P266" s="6"/>
      <c r="Q266" s="6" t="s">
        <v>403</v>
      </c>
      <c r="R266" s="12"/>
    </row>
    <row r="267" customFormat="false" ht="15" hidden="false" customHeight="true" outlineLevel="0" collapsed="false">
      <c r="A267" s="6" t="s">
        <v>1110</v>
      </c>
      <c r="B267" s="6" t="s">
        <v>166</v>
      </c>
      <c r="C267" s="6" t="s">
        <v>1111</v>
      </c>
      <c r="D267" s="6" t="s">
        <v>408</v>
      </c>
      <c r="E267" s="13" t="n">
        <v>26202</v>
      </c>
      <c r="F267" s="6" t="n">
        <v>1971</v>
      </c>
      <c r="G267" s="11" t="n">
        <f aca="true">IF(F267="","",YEAR(TODAY())-F267)</f>
        <v>55</v>
      </c>
      <c r="H267" s="11" t="str">
        <f aca="false">IF(C267="","",IF(G267="","Thiếu thông tin",IF(G267&lt;6,"Trẻ em",IF(G267&lt;23,"Học sinh / Sinh viên",IF(G267&lt;60,"Đang đi làm","Nghỉ hưu")))))</f>
        <v>Đang đi làm</v>
      </c>
      <c r="I267" s="6" t="s">
        <v>52</v>
      </c>
      <c r="J267" s="11" t="str">
        <f aca="false">IF(B267="","",IFERROR(INDEX('Hộ gia đình'!$B$2:$B$2000,MATCH(B267,'Hộ gia đình'!$A$2:$A$2000,0)),"Mã hộ không tồn tại"))</f>
        <v>9 ngõ 17 Tạ Quang Bửu</v>
      </c>
      <c r="K267" s="14" t="s">
        <v>1112</v>
      </c>
      <c r="L267" s="14" t="s">
        <v>1113</v>
      </c>
      <c r="M267" s="6" t="s">
        <v>459</v>
      </c>
      <c r="N267" s="6" t="s">
        <v>388</v>
      </c>
      <c r="O267" s="6" t="s">
        <v>389</v>
      </c>
      <c r="P267" s="6"/>
      <c r="Q267" s="6" t="s">
        <v>1071</v>
      </c>
      <c r="R267" s="12"/>
    </row>
    <row r="268" customFormat="false" ht="15" hidden="false" customHeight="true" outlineLevel="0" collapsed="false">
      <c r="A268" s="6" t="s">
        <v>1114</v>
      </c>
      <c r="B268" s="6" t="s">
        <v>166</v>
      </c>
      <c r="C268" s="6" t="s">
        <v>1115</v>
      </c>
      <c r="D268" s="6" t="s">
        <v>385</v>
      </c>
      <c r="E268" s="13" t="n">
        <v>27062</v>
      </c>
      <c r="F268" s="6" t="n">
        <v>1974</v>
      </c>
      <c r="G268" s="11" t="n">
        <f aca="true">IF(F268="","",YEAR(TODAY())-F268)</f>
        <v>52</v>
      </c>
      <c r="H268" s="11" t="str">
        <f aca="false">IF(C268="","",IF(G268="","Thiếu thông tin",IF(G268&lt;6,"Trẻ em",IF(G268&lt;23,"Học sinh / Sinh viên",IF(G268&lt;60,"Đang đi làm","Nghỉ hưu")))))</f>
        <v>Đang đi làm</v>
      </c>
      <c r="I268" s="6"/>
      <c r="J268" s="11" t="str">
        <f aca="false">IF(B268="","",IFERROR(INDEX('Hộ gia đình'!$B$2:$B$2000,MATCH(B268,'Hộ gia đình'!$A$2:$A$2000,0)),"Mã hộ không tồn tại"))</f>
        <v>9 ngõ 17 Tạ Quang Bửu</v>
      </c>
      <c r="K268" s="14" t="s">
        <v>1116</v>
      </c>
      <c r="L268" s="14"/>
      <c r="M268" s="6" t="s">
        <v>732</v>
      </c>
      <c r="N268" s="6" t="s">
        <v>388</v>
      </c>
      <c r="O268" s="6" t="s">
        <v>389</v>
      </c>
      <c r="P268" s="6"/>
      <c r="Q268" s="6" t="s">
        <v>1071</v>
      </c>
      <c r="R268" s="12"/>
    </row>
    <row r="269" customFormat="false" ht="15" hidden="false" customHeight="true" outlineLevel="0" collapsed="false">
      <c r="A269" s="6" t="s">
        <v>1117</v>
      </c>
      <c r="B269" s="6" t="s">
        <v>166</v>
      </c>
      <c r="C269" s="6" t="s">
        <v>1118</v>
      </c>
      <c r="D269" s="6" t="s">
        <v>408</v>
      </c>
      <c r="E269" s="13" t="n">
        <v>35614</v>
      </c>
      <c r="F269" s="6" t="n">
        <v>1997</v>
      </c>
      <c r="G269" s="11" t="n">
        <f aca="true">IF(F269="","",YEAR(TODAY())-F269)</f>
        <v>29</v>
      </c>
      <c r="H269" s="11" t="str">
        <f aca="false">IF(C269="","",IF(G269="","Thiếu thông tin",IF(G269&lt;6,"Trẻ em",IF(G269&lt;23,"Học sinh / Sinh viên",IF(G269&lt;60,"Đang đi làm","Nghỉ hưu")))))</f>
        <v>Đang đi làm</v>
      </c>
      <c r="I269" s="6"/>
      <c r="J269" s="11" t="str">
        <f aca="false">IF(B269="","",IFERROR(INDEX('Hộ gia đình'!$B$2:$B$2000,MATCH(B269,'Hộ gia đình'!$A$2:$A$2000,0)),"Mã hộ không tồn tại"))</f>
        <v>9 ngõ 17 Tạ Quang Bửu</v>
      </c>
      <c r="K269" s="14" t="s">
        <v>1119</v>
      </c>
      <c r="L269" s="14"/>
      <c r="M269" s="6" t="s">
        <v>459</v>
      </c>
      <c r="N269" s="6" t="s">
        <v>388</v>
      </c>
      <c r="O269" s="6" t="s">
        <v>389</v>
      </c>
      <c r="P269" s="6"/>
      <c r="Q269" s="6" t="s">
        <v>1120</v>
      </c>
      <c r="R269" s="12"/>
    </row>
    <row r="270" customFormat="false" ht="15" hidden="false" customHeight="true" outlineLevel="0" collapsed="false">
      <c r="A270" s="6" t="s">
        <v>1121</v>
      </c>
      <c r="B270" s="6" t="s">
        <v>166</v>
      </c>
      <c r="C270" s="6" t="s">
        <v>1122</v>
      </c>
      <c r="D270" s="6" t="s">
        <v>408</v>
      </c>
      <c r="E270" s="13" t="n">
        <v>36591</v>
      </c>
      <c r="F270" s="6" t="n">
        <v>2000</v>
      </c>
      <c r="G270" s="11" t="n">
        <f aca="true">IF(F270="","",YEAR(TODAY())-F270)</f>
        <v>26</v>
      </c>
      <c r="H270" s="11" t="str">
        <f aca="false">IF(C270="","",IF(G270="","Thiếu thông tin",IF(G270&lt;6,"Trẻ em",IF(G270&lt;23,"Học sinh / Sinh viên",IF(G270&lt;60,"Đang đi làm","Nghỉ hưu")))))</f>
        <v>Đang đi làm</v>
      </c>
      <c r="I270" s="6"/>
      <c r="J270" s="11" t="str">
        <f aca="false">IF(B270="","",IFERROR(INDEX('Hộ gia đình'!$B$2:$B$2000,MATCH(B270,'Hộ gia đình'!$A$2:$A$2000,0)),"Mã hộ không tồn tại"))</f>
        <v>9 ngõ 17 Tạ Quang Bửu</v>
      </c>
      <c r="K270" s="14" t="s">
        <v>1123</v>
      </c>
      <c r="L270" s="14"/>
      <c r="M270" s="6" t="s">
        <v>459</v>
      </c>
      <c r="N270" s="6" t="s">
        <v>388</v>
      </c>
      <c r="O270" s="6" t="s">
        <v>389</v>
      </c>
      <c r="P270" s="6"/>
      <c r="Q270" s="6" t="s">
        <v>1120</v>
      </c>
      <c r="R270" s="12"/>
    </row>
    <row r="271" customFormat="false" ht="15" hidden="false" customHeight="true" outlineLevel="0" collapsed="false">
      <c r="A271" s="6" t="s">
        <v>1124</v>
      </c>
      <c r="B271" s="6" t="s">
        <v>167</v>
      </c>
      <c r="C271" s="6" t="s">
        <v>1125</v>
      </c>
      <c r="D271" s="6" t="s">
        <v>408</v>
      </c>
      <c r="E271" s="13" t="n">
        <v>13130</v>
      </c>
      <c r="F271" s="6" t="n">
        <v>1935</v>
      </c>
      <c r="G271" s="11" t="n">
        <f aca="true">IF(F271="","",YEAR(TODAY())-F271)</f>
        <v>91</v>
      </c>
      <c r="H271" s="11" t="str">
        <f aca="false">IF(C271="","",IF(G271="","Thiếu thông tin",IF(G271&lt;6,"Trẻ em",IF(G271&lt;23,"Học sinh / Sinh viên",IF(G271&lt;60,"Đang đi làm","Nghỉ hưu")))))</f>
        <v>Nghỉ hưu</v>
      </c>
      <c r="I271" s="6" t="s">
        <v>52</v>
      </c>
      <c r="J271" s="11" t="str">
        <f aca="false">IF(B271="","",IFERROR(INDEX('Hộ gia đình'!$B$2:$B$2000,MATCH(B271,'Hộ gia đình'!$A$2:$A$2000,0)),"Mã hộ không tồn tại"))</f>
        <v>11 ngõ 17 Tạ Quang Bửu</v>
      </c>
      <c r="K271" s="14" t="s">
        <v>1126</v>
      </c>
      <c r="L271" s="14" t="s">
        <v>1127</v>
      </c>
      <c r="M271" s="6" t="s">
        <v>451</v>
      </c>
      <c r="N271" s="6" t="s">
        <v>388</v>
      </c>
      <c r="O271" s="6" t="s">
        <v>389</v>
      </c>
      <c r="P271" s="6"/>
      <c r="Q271" s="6" t="s">
        <v>1071</v>
      </c>
      <c r="R271" s="12" t="s">
        <v>1128</v>
      </c>
    </row>
    <row r="272" customFormat="false" ht="15" hidden="false" customHeight="true" outlineLevel="0" collapsed="false">
      <c r="A272" s="6" t="s">
        <v>1129</v>
      </c>
      <c r="B272" s="6" t="s">
        <v>167</v>
      </c>
      <c r="C272" s="6" t="s">
        <v>1130</v>
      </c>
      <c r="D272" s="6" t="s">
        <v>385</v>
      </c>
      <c r="E272" s="13" t="n">
        <v>26316</v>
      </c>
      <c r="F272" s="6" t="n">
        <v>1972</v>
      </c>
      <c r="G272" s="11" t="n">
        <f aca="true">IF(F272="","",YEAR(TODAY())-F272)</f>
        <v>54</v>
      </c>
      <c r="H272" s="11" t="str">
        <f aca="false">IF(C272="","",IF(G272="","Thiếu thông tin",IF(G272&lt;6,"Trẻ em",IF(G272&lt;23,"Học sinh / Sinh viên",IF(G272&lt;60,"Đang đi làm","Nghỉ hưu")))))</f>
        <v>Đang đi làm</v>
      </c>
      <c r="I272" s="6"/>
      <c r="J272" s="11" t="str">
        <f aca="false">IF(B272="","",IFERROR(INDEX('Hộ gia đình'!$B$2:$B$2000,MATCH(B272,'Hộ gia đình'!$A$2:$A$2000,0)),"Mã hộ không tồn tại"))</f>
        <v>11 ngõ 17 Tạ Quang Bửu</v>
      </c>
      <c r="K272" s="14" t="s">
        <v>1131</v>
      </c>
      <c r="L272" s="14"/>
      <c r="M272" s="6" t="s">
        <v>459</v>
      </c>
      <c r="N272" s="6" t="s">
        <v>388</v>
      </c>
      <c r="O272" s="6" t="s">
        <v>389</v>
      </c>
      <c r="P272" s="6"/>
      <c r="Q272" s="6" t="s">
        <v>1071</v>
      </c>
      <c r="R272" s="12"/>
    </row>
    <row r="273" customFormat="false" ht="15" hidden="false" customHeight="true" outlineLevel="0" collapsed="false">
      <c r="A273" s="6" t="s">
        <v>1132</v>
      </c>
      <c r="B273" s="6" t="s">
        <v>167</v>
      </c>
      <c r="C273" s="6" t="s">
        <v>1133</v>
      </c>
      <c r="D273" s="6" t="s">
        <v>408</v>
      </c>
      <c r="E273" s="13" t="n">
        <v>27202</v>
      </c>
      <c r="F273" s="6" t="n">
        <v>1974</v>
      </c>
      <c r="G273" s="11" t="n">
        <f aca="true">IF(F273="","",YEAR(TODAY())-F273)</f>
        <v>52</v>
      </c>
      <c r="H273" s="11" t="str">
        <f aca="false">IF(C273="","",IF(G273="","Thiếu thông tin",IF(G273&lt;6,"Trẻ em",IF(G273&lt;23,"Học sinh / Sinh viên",IF(G273&lt;60,"Đang đi làm","Nghỉ hưu")))))</f>
        <v>Đang đi làm</v>
      </c>
      <c r="I273" s="6"/>
      <c r="J273" s="11" t="str">
        <f aca="false">IF(B273="","",IFERROR(INDEX('Hộ gia đình'!$B$2:$B$2000,MATCH(B273,'Hộ gia đình'!$A$2:$A$2000,0)),"Mã hộ không tồn tại"))</f>
        <v>11 ngõ 17 Tạ Quang Bửu</v>
      </c>
      <c r="K273" s="14" t="s">
        <v>1134</v>
      </c>
      <c r="L273" s="14"/>
      <c r="M273" s="6" t="s">
        <v>459</v>
      </c>
      <c r="N273" s="6" t="s">
        <v>388</v>
      </c>
      <c r="O273" s="6" t="s">
        <v>389</v>
      </c>
      <c r="P273" s="6"/>
      <c r="Q273" s="6" t="s">
        <v>1071</v>
      </c>
      <c r="R273" s="12" t="s">
        <v>1135</v>
      </c>
    </row>
    <row r="274" customFormat="false" ht="15" hidden="false" customHeight="true" outlineLevel="0" collapsed="false">
      <c r="A274" s="6" t="s">
        <v>1136</v>
      </c>
      <c r="B274" s="6" t="s">
        <v>167</v>
      </c>
      <c r="C274" s="6" t="s">
        <v>1137</v>
      </c>
      <c r="D274" s="6" t="s">
        <v>408</v>
      </c>
      <c r="E274" s="13" t="n">
        <v>39517</v>
      </c>
      <c r="F274" s="6" t="n">
        <v>2008</v>
      </c>
      <c r="G274" s="11" t="n">
        <f aca="true">IF(F274="","",YEAR(TODAY())-F274)</f>
        <v>18</v>
      </c>
      <c r="H274" s="11" t="str">
        <f aca="false">IF(C274="","",IF(G274="","Thiếu thông tin",IF(G274&lt;6,"Trẻ em",IF(G274&lt;23,"Học sinh / Sinh viên",IF(G274&lt;60,"Đang đi làm","Nghỉ hưu")))))</f>
        <v>Học sinh / Sinh viên</v>
      </c>
      <c r="I274" s="6"/>
      <c r="J274" s="11" t="str">
        <f aca="false">IF(B274="","",IFERROR(INDEX('Hộ gia đình'!$B$2:$B$2000,MATCH(B274,'Hộ gia đình'!$A$2:$A$2000,0)),"Mã hộ không tồn tại"))</f>
        <v>11 ngõ 17 Tạ Quang Bửu</v>
      </c>
      <c r="K274" s="14" t="s">
        <v>1138</v>
      </c>
      <c r="L274" s="14"/>
      <c r="M274" s="6" t="s">
        <v>422</v>
      </c>
      <c r="N274" s="6" t="s">
        <v>388</v>
      </c>
      <c r="O274" s="6" t="s">
        <v>389</v>
      </c>
      <c r="P274" s="6"/>
      <c r="Q274" s="6" t="s">
        <v>1120</v>
      </c>
      <c r="R274" s="12" t="s">
        <v>1139</v>
      </c>
    </row>
    <row r="275" customFormat="false" ht="15" hidden="false" customHeight="true" outlineLevel="0" collapsed="false">
      <c r="A275" s="6" t="s">
        <v>1140</v>
      </c>
      <c r="B275" s="6" t="s">
        <v>167</v>
      </c>
      <c r="C275" s="6" t="s">
        <v>1141</v>
      </c>
      <c r="D275" s="6" t="s">
        <v>385</v>
      </c>
      <c r="E275" s="13" t="n">
        <v>40187</v>
      </c>
      <c r="F275" s="6" t="n">
        <v>2010</v>
      </c>
      <c r="G275" s="11" t="n">
        <f aca="true">IF(F275="","",YEAR(TODAY())-F275)</f>
        <v>16</v>
      </c>
      <c r="H275" s="11" t="str">
        <f aca="false">IF(C275="","",IF(G275="","Thiếu thông tin",IF(G275&lt;6,"Trẻ em",IF(G275&lt;23,"Học sinh / Sinh viên",IF(G275&lt;60,"Đang đi làm","Nghỉ hưu")))))</f>
        <v>Học sinh / Sinh viên</v>
      </c>
      <c r="I275" s="6"/>
      <c r="J275" s="11" t="str">
        <f aca="false">IF(B275="","",IFERROR(INDEX('Hộ gia đình'!$B$2:$B$2000,MATCH(B275,'Hộ gia đình'!$A$2:$A$2000,0)),"Mã hộ không tồn tại"))</f>
        <v>11 ngõ 17 Tạ Quang Bửu</v>
      </c>
      <c r="K275" s="14"/>
      <c r="L275" s="14"/>
      <c r="M275" s="6"/>
      <c r="N275" s="6" t="s">
        <v>395</v>
      </c>
      <c r="O275" s="6" t="s">
        <v>389</v>
      </c>
      <c r="P275" s="6"/>
      <c r="Q275" s="6" t="s">
        <v>1067</v>
      </c>
      <c r="R275" s="12"/>
    </row>
    <row r="276" customFormat="false" ht="15" hidden="false" customHeight="true" outlineLevel="0" collapsed="false">
      <c r="A276" s="6" t="s">
        <v>1142</v>
      </c>
      <c r="B276" s="6" t="s">
        <v>167</v>
      </c>
      <c r="C276" s="6" t="s">
        <v>1143</v>
      </c>
      <c r="D276" s="6" t="s">
        <v>408</v>
      </c>
      <c r="E276" s="13"/>
      <c r="F276" s="6" t="n">
        <v>1969</v>
      </c>
      <c r="G276" s="11" t="n">
        <f aca="true">IF(F276="","",YEAR(TODAY())-F276)</f>
        <v>57</v>
      </c>
      <c r="H276" s="11" t="str">
        <f aca="false">IF(C276="","",IF(G276="","Thiếu thông tin",IF(G276&lt;6,"Trẻ em",IF(G276&lt;23,"Học sinh / Sinh viên",IF(G276&lt;60,"Đang đi làm","Nghỉ hưu")))))</f>
        <v>Đang đi làm</v>
      </c>
      <c r="I276" s="6"/>
      <c r="J276" s="11" t="str">
        <f aca="false">IF(B276="","",IFERROR(INDEX('Hộ gia đình'!$B$2:$B$2000,MATCH(B276,'Hộ gia đình'!$A$2:$A$2000,0)),"Mã hộ không tồn tại"))</f>
        <v>11 ngõ 17 Tạ Quang Bửu</v>
      </c>
      <c r="K276" s="14" t="s">
        <v>1144</v>
      </c>
      <c r="L276" s="14" t="s">
        <v>1145</v>
      </c>
      <c r="M276" s="6" t="s">
        <v>451</v>
      </c>
      <c r="N276" s="6" t="s">
        <v>388</v>
      </c>
      <c r="O276" s="6" t="s">
        <v>389</v>
      </c>
      <c r="P276" s="6"/>
      <c r="Q276" s="6" t="s">
        <v>1071</v>
      </c>
      <c r="R276" s="12" t="s">
        <v>1146</v>
      </c>
    </row>
    <row r="277" customFormat="false" ht="15" hidden="false" customHeight="true" outlineLevel="0" collapsed="false">
      <c r="A277" s="6" t="s">
        <v>1147</v>
      </c>
      <c r="B277" s="6" t="s">
        <v>167</v>
      </c>
      <c r="C277" s="6" t="s">
        <v>1148</v>
      </c>
      <c r="D277" s="6"/>
      <c r="E277" s="13"/>
      <c r="F277" s="6" t="n">
        <v>1968</v>
      </c>
      <c r="G277" s="11" t="n">
        <f aca="true">IF(F277="","",YEAR(TODAY())-F277)</f>
        <v>58</v>
      </c>
      <c r="H277" s="11" t="str">
        <f aca="false">IF(C277="","",IF(G277="","Thiếu thông tin",IF(G277&lt;6,"Trẻ em",IF(G277&lt;23,"Học sinh / Sinh viên",IF(G277&lt;60,"Đang đi làm","Nghỉ hưu")))))</f>
        <v>Đang đi làm</v>
      </c>
      <c r="I277" s="6"/>
      <c r="J277" s="11" t="str">
        <f aca="false">IF(B277="","",IFERROR(INDEX('Hộ gia đình'!$B$2:$B$2000,MATCH(B277,'Hộ gia đình'!$A$2:$A$2000,0)),"Mã hộ không tồn tại"))</f>
        <v>11 ngõ 17 Tạ Quang Bửu</v>
      </c>
      <c r="K277" s="14"/>
      <c r="L277" s="14"/>
      <c r="M277" s="6"/>
      <c r="N277" s="6" t="s">
        <v>395</v>
      </c>
      <c r="O277" s="6" t="s">
        <v>389</v>
      </c>
      <c r="P277" s="6"/>
      <c r="Q277" s="6" t="s">
        <v>818</v>
      </c>
      <c r="R277" s="12"/>
    </row>
    <row r="278" customFormat="false" ht="15" hidden="false" customHeight="true" outlineLevel="0" collapsed="false">
      <c r="A278" s="6" t="s">
        <v>1149</v>
      </c>
      <c r="B278" s="6" t="s">
        <v>167</v>
      </c>
      <c r="C278" s="6" t="s">
        <v>1150</v>
      </c>
      <c r="D278" s="6"/>
      <c r="E278" s="13"/>
      <c r="F278" s="6" t="n">
        <v>1999</v>
      </c>
      <c r="G278" s="11" t="n">
        <f aca="true">IF(F278="","",YEAR(TODAY())-F278)</f>
        <v>27</v>
      </c>
      <c r="H278" s="11" t="str">
        <f aca="false">IF(C278="","",IF(G278="","Thiếu thông tin",IF(G278&lt;6,"Trẻ em",IF(G278&lt;23,"Học sinh / Sinh viên",IF(G278&lt;60,"Đang đi làm","Nghỉ hưu")))))</f>
        <v>Đang đi làm</v>
      </c>
      <c r="I278" s="6"/>
      <c r="J278" s="11" t="str">
        <f aca="false">IF(B278="","",IFERROR(INDEX('Hộ gia đình'!$B$2:$B$2000,MATCH(B278,'Hộ gia đình'!$A$2:$A$2000,0)),"Mã hộ không tồn tại"))</f>
        <v>11 ngõ 17 Tạ Quang Bửu</v>
      </c>
      <c r="K278" s="14"/>
      <c r="L278" s="14"/>
      <c r="M278" s="6"/>
      <c r="N278" s="6" t="s">
        <v>395</v>
      </c>
      <c r="O278" s="6" t="s">
        <v>389</v>
      </c>
      <c r="P278" s="6"/>
      <c r="Q278" s="6" t="s">
        <v>1067</v>
      </c>
      <c r="R278" s="12"/>
    </row>
    <row r="279" customFormat="false" ht="15" hidden="false" customHeight="true" outlineLevel="0" collapsed="false">
      <c r="A279" s="6" t="s">
        <v>1151</v>
      </c>
      <c r="B279" s="6" t="s">
        <v>167</v>
      </c>
      <c r="C279" s="6" t="s">
        <v>1152</v>
      </c>
      <c r="D279" s="6" t="s">
        <v>408</v>
      </c>
      <c r="E279" s="13" t="n">
        <v>37546</v>
      </c>
      <c r="F279" s="6" t="n">
        <v>2002</v>
      </c>
      <c r="G279" s="11" t="n">
        <f aca="true">IF(F279="","",YEAR(TODAY())-F279)</f>
        <v>24</v>
      </c>
      <c r="H279" s="11" t="str">
        <f aca="false">IF(C279="","",IF(G279="","Thiếu thông tin",IF(G279&lt;6,"Trẻ em",IF(G279&lt;23,"Học sinh / Sinh viên",IF(G279&lt;60,"Đang đi làm","Nghỉ hưu")))))</f>
        <v>Đang đi làm</v>
      </c>
      <c r="I279" s="6"/>
      <c r="J279" s="11" t="str">
        <f aca="false">IF(B279="","",IFERROR(INDEX('Hộ gia đình'!$B$2:$B$2000,MATCH(B279,'Hộ gia đình'!$A$2:$A$2000,0)),"Mã hộ không tồn tại"))</f>
        <v>11 ngõ 17 Tạ Quang Bửu</v>
      </c>
      <c r="K279" s="14" t="s">
        <v>1153</v>
      </c>
      <c r="L279" s="14"/>
      <c r="M279" s="6" t="s">
        <v>422</v>
      </c>
      <c r="N279" s="6" t="s">
        <v>388</v>
      </c>
      <c r="O279" s="6" t="s">
        <v>389</v>
      </c>
      <c r="P279" s="6"/>
      <c r="Q279" s="6" t="s">
        <v>1120</v>
      </c>
      <c r="R279" s="12" t="s">
        <v>1154</v>
      </c>
    </row>
    <row r="280" customFormat="false" ht="15" hidden="false" customHeight="true" outlineLevel="0" collapsed="false">
      <c r="A280" s="6" t="s">
        <v>1155</v>
      </c>
      <c r="B280" s="6" t="s">
        <v>169</v>
      </c>
      <c r="C280" s="6" t="s">
        <v>1156</v>
      </c>
      <c r="D280" s="6" t="s">
        <v>385</v>
      </c>
      <c r="E280" s="13" t="n">
        <v>16139</v>
      </c>
      <c r="F280" s="6" t="n">
        <v>1944</v>
      </c>
      <c r="G280" s="11" t="n">
        <f aca="true">IF(F280="","",YEAR(TODAY())-F280)</f>
        <v>82</v>
      </c>
      <c r="H280" s="11" t="str">
        <f aca="false">IF(C280="","",IF(G280="","Thiếu thông tin",IF(G280&lt;6,"Trẻ em",IF(G280&lt;23,"Học sinh / Sinh viên",IF(G280&lt;60,"Đang đi làm","Nghỉ hưu")))))</f>
        <v>Nghỉ hưu</v>
      </c>
      <c r="I280" s="6" t="s">
        <v>52</v>
      </c>
      <c r="J280" s="11" t="str">
        <f aca="false">IF(B280="","",IFERROR(INDEX('Hộ gia đình'!$B$2:$B$2000,MATCH(B280,'Hộ gia đình'!$A$2:$A$2000,0)),"Mã hộ không tồn tại"))</f>
        <v>11A ngõ 17 Tạ Quang Bửu</v>
      </c>
      <c r="K280" s="14" t="s">
        <v>1157</v>
      </c>
      <c r="L280" s="14" t="s">
        <v>1158</v>
      </c>
      <c r="M280" s="6" t="s">
        <v>451</v>
      </c>
      <c r="N280" s="6" t="s">
        <v>388</v>
      </c>
      <c r="O280" s="6" t="s">
        <v>389</v>
      </c>
      <c r="P280" s="6"/>
      <c r="Q280" s="6" t="s">
        <v>1071</v>
      </c>
      <c r="R280" s="12"/>
    </row>
    <row r="281" customFormat="false" ht="15" hidden="false" customHeight="true" outlineLevel="0" collapsed="false">
      <c r="A281" s="6" t="s">
        <v>1159</v>
      </c>
      <c r="B281" s="6" t="s">
        <v>169</v>
      </c>
      <c r="C281" s="6" t="s">
        <v>1160</v>
      </c>
      <c r="D281" s="6" t="s">
        <v>408</v>
      </c>
      <c r="E281" s="13" t="n">
        <v>28073</v>
      </c>
      <c r="F281" s="6" t="n">
        <v>1976</v>
      </c>
      <c r="G281" s="11" t="n">
        <f aca="true">IF(F281="","",YEAR(TODAY())-F281)</f>
        <v>50</v>
      </c>
      <c r="H281" s="11" t="str">
        <f aca="false">IF(C281="","",IF(G281="","Thiếu thông tin",IF(G281&lt;6,"Trẻ em",IF(G281&lt;23,"Học sinh / Sinh viên",IF(G281&lt;60,"Đang đi làm","Nghỉ hưu")))))</f>
        <v>Đang đi làm</v>
      </c>
      <c r="I281" s="6"/>
      <c r="J281" s="11" t="str">
        <f aca="false">IF(B281="","",IFERROR(INDEX('Hộ gia đình'!$B$2:$B$2000,MATCH(B281,'Hộ gia đình'!$A$2:$A$2000,0)),"Mã hộ không tồn tại"))</f>
        <v>11A ngõ 17 Tạ Quang Bửu</v>
      </c>
      <c r="K281" s="14" t="s">
        <v>1161</v>
      </c>
      <c r="L281" s="14"/>
      <c r="M281" s="6" t="s">
        <v>459</v>
      </c>
      <c r="N281" s="6" t="s">
        <v>388</v>
      </c>
      <c r="O281" s="6" t="s">
        <v>389</v>
      </c>
      <c r="P281" s="6"/>
      <c r="Q281" s="6" t="s">
        <v>1071</v>
      </c>
      <c r="R281" s="12"/>
    </row>
    <row r="282" customFormat="false" ht="15" hidden="false" customHeight="true" outlineLevel="0" collapsed="false">
      <c r="A282" s="6" t="s">
        <v>1162</v>
      </c>
      <c r="B282" s="6" t="s">
        <v>171</v>
      </c>
      <c r="C282" s="6" t="s">
        <v>1163</v>
      </c>
      <c r="D282" s="6"/>
      <c r="E282" s="13"/>
      <c r="F282" s="6"/>
      <c r="G282" s="11" t="str">
        <f aca="true">IF(F282="","",YEAR(TODAY())-F282)</f>
        <v/>
      </c>
      <c r="H282" s="11" t="str">
        <f aca="false">IF(C282="","",IF(G282="","Thiếu thông tin",IF(G282&lt;6,"Trẻ em",IF(G282&lt;23,"Học sinh / Sinh viên",IF(G282&lt;60,"Đang đi làm","Nghỉ hưu")))))</f>
        <v>Thiếu thông tin</v>
      </c>
      <c r="I282" s="6" t="s">
        <v>52</v>
      </c>
      <c r="J282" s="11" t="str">
        <f aca="false">IF(B282="","",IFERROR(INDEX('Hộ gia đình'!$B$2:$B$2000,MATCH(B282,'Hộ gia đình'!$A$2:$A$2000,0)),"Mã hộ không tồn tại"))</f>
        <v>15 ngõ 17 Tạ Quang Bửu</v>
      </c>
      <c r="K282" s="14"/>
      <c r="L282" s="14"/>
      <c r="M282" s="6"/>
      <c r="N282" s="6" t="s">
        <v>395</v>
      </c>
      <c r="O282" s="6" t="s">
        <v>389</v>
      </c>
      <c r="P282" s="6"/>
      <c r="Q282" s="6" t="s">
        <v>1067</v>
      </c>
      <c r="R282" s="12" t="s">
        <v>522</v>
      </c>
    </row>
    <row r="283" customFormat="false" ht="15" hidden="false" customHeight="true" outlineLevel="0" collapsed="false">
      <c r="A283" s="6" t="s">
        <v>1164</v>
      </c>
      <c r="B283" s="6" t="s">
        <v>171</v>
      </c>
      <c r="C283" s="6" t="s">
        <v>1165</v>
      </c>
      <c r="D283" s="6"/>
      <c r="E283" s="13"/>
      <c r="F283" s="6"/>
      <c r="G283" s="11" t="str">
        <f aca="true">IF(F283="","",YEAR(TODAY())-F283)</f>
        <v/>
      </c>
      <c r="H283" s="11" t="str">
        <f aca="false">IF(C283="","",IF(G283="","Thiếu thông tin",IF(G283&lt;6,"Trẻ em",IF(G283&lt;23,"Học sinh / Sinh viên",IF(G283&lt;60,"Đang đi làm","Nghỉ hưu")))))</f>
        <v>Thiếu thông tin</v>
      </c>
      <c r="I283" s="6"/>
      <c r="J283" s="11" t="str">
        <f aca="false">IF(B283="","",IFERROR(INDEX('Hộ gia đình'!$B$2:$B$2000,MATCH(B283,'Hộ gia đình'!$A$2:$A$2000,0)),"Mã hộ không tồn tại"))</f>
        <v>15 ngõ 17 Tạ Quang Bửu</v>
      </c>
      <c r="K283" s="14"/>
      <c r="L283" s="14"/>
      <c r="M283" s="6"/>
      <c r="N283" s="6" t="s">
        <v>395</v>
      </c>
      <c r="O283" s="6" t="s">
        <v>389</v>
      </c>
      <c r="P283" s="6"/>
      <c r="Q283" s="6" t="s">
        <v>1067</v>
      </c>
      <c r="R283" s="12" t="s">
        <v>522</v>
      </c>
    </row>
    <row r="284" customFormat="false" ht="15" hidden="false" customHeight="true" outlineLevel="0" collapsed="false">
      <c r="A284" s="6" t="s">
        <v>1166</v>
      </c>
      <c r="B284" s="6" t="s">
        <v>171</v>
      </c>
      <c r="C284" s="6" t="s">
        <v>1167</v>
      </c>
      <c r="D284" s="6"/>
      <c r="E284" s="13"/>
      <c r="F284" s="6"/>
      <c r="G284" s="11" t="str">
        <f aca="true">IF(F284="","",YEAR(TODAY())-F284)</f>
        <v/>
      </c>
      <c r="H284" s="11" t="str">
        <f aca="false">IF(C284="","",IF(G284="","Thiếu thông tin",IF(G284&lt;6,"Trẻ em",IF(G284&lt;23,"Học sinh / Sinh viên",IF(G284&lt;60,"Đang đi làm","Nghỉ hưu")))))</f>
        <v>Thiếu thông tin</v>
      </c>
      <c r="I284" s="6"/>
      <c r="J284" s="11" t="str">
        <f aca="false">IF(B284="","",IFERROR(INDEX('Hộ gia đình'!$B$2:$B$2000,MATCH(B284,'Hộ gia đình'!$A$2:$A$2000,0)),"Mã hộ không tồn tại"))</f>
        <v>15 ngõ 17 Tạ Quang Bửu</v>
      </c>
      <c r="K284" s="14"/>
      <c r="L284" s="14"/>
      <c r="M284" s="6"/>
      <c r="N284" s="6" t="s">
        <v>395</v>
      </c>
      <c r="O284" s="6" t="s">
        <v>389</v>
      </c>
      <c r="P284" s="6"/>
      <c r="Q284" s="6" t="s">
        <v>396</v>
      </c>
      <c r="R284" s="12" t="s">
        <v>1168</v>
      </c>
    </row>
    <row r="285" customFormat="false" ht="15" hidden="false" customHeight="true" outlineLevel="0" collapsed="false">
      <c r="A285" s="6" t="s">
        <v>1169</v>
      </c>
      <c r="B285" s="6" t="s">
        <v>171</v>
      </c>
      <c r="C285" s="6" t="s">
        <v>1170</v>
      </c>
      <c r="D285" s="6"/>
      <c r="E285" s="13"/>
      <c r="F285" s="6"/>
      <c r="G285" s="11" t="str">
        <f aca="true">IF(F285="","",YEAR(TODAY())-F285)</f>
        <v/>
      </c>
      <c r="H285" s="11" t="str">
        <f aca="false">IF(C285="","",IF(G285="","Thiếu thông tin",IF(G285&lt;6,"Trẻ em",IF(G285&lt;23,"Học sinh / Sinh viên",IF(G285&lt;60,"Đang đi làm","Nghỉ hưu")))))</f>
        <v>Thiếu thông tin</v>
      </c>
      <c r="I285" s="6"/>
      <c r="J285" s="11" t="str">
        <f aca="false">IF(B285="","",IFERROR(INDEX('Hộ gia đình'!$B$2:$B$2000,MATCH(B285,'Hộ gia đình'!$A$2:$A$2000,0)),"Mã hộ không tồn tại"))</f>
        <v>15 ngõ 17 Tạ Quang Bửu</v>
      </c>
      <c r="K285" s="14"/>
      <c r="L285" s="14"/>
      <c r="M285" s="6"/>
      <c r="N285" s="6" t="s">
        <v>395</v>
      </c>
      <c r="O285" s="6" t="s">
        <v>389</v>
      </c>
      <c r="P285" s="6" t="s">
        <v>1171</v>
      </c>
      <c r="Q285" s="6" t="s">
        <v>396</v>
      </c>
      <c r="R285" s="12" t="s">
        <v>1172</v>
      </c>
    </row>
    <row r="286" customFormat="false" ht="15" hidden="false" customHeight="true" outlineLevel="0" collapsed="false">
      <c r="A286" s="6" t="s">
        <v>1173</v>
      </c>
      <c r="B286" s="6" t="s">
        <v>171</v>
      </c>
      <c r="C286" s="6" t="s">
        <v>1174</v>
      </c>
      <c r="D286" s="6"/>
      <c r="E286" s="13"/>
      <c r="F286" s="6"/>
      <c r="G286" s="11" t="str">
        <f aca="true">IF(F286="","",YEAR(TODAY())-F286)</f>
        <v/>
      </c>
      <c r="H286" s="11" t="str">
        <f aca="false">IF(C286="","",IF(G286="","Thiếu thông tin",IF(G286&lt;6,"Trẻ em",IF(G286&lt;23,"Học sinh / Sinh viên",IF(G286&lt;60,"Đang đi làm","Nghỉ hưu")))))</f>
        <v>Thiếu thông tin</v>
      </c>
      <c r="I286" s="6"/>
      <c r="J286" s="11" t="str">
        <f aca="false">IF(B286="","",IFERROR(INDEX('Hộ gia đình'!$B$2:$B$2000,MATCH(B286,'Hộ gia đình'!$A$2:$A$2000,0)),"Mã hộ không tồn tại"))</f>
        <v>15 ngõ 17 Tạ Quang Bửu</v>
      </c>
      <c r="K286" s="14"/>
      <c r="L286" s="14"/>
      <c r="M286" s="6"/>
      <c r="N286" s="6" t="s">
        <v>395</v>
      </c>
      <c r="O286" s="6" t="s">
        <v>389</v>
      </c>
      <c r="P286" s="6"/>
      <c r="Q286" s="6" t="s">
        <v>396</v>
      </c>
      <c r="R286" s="12" t="s">
        <v>1175</v>
      </c>
    </row>
    <row r="287" customFormat="false" ht="15" hidden="false" customHeight="true" outlineLevel="0" collapsed="false">
      <c r="A287" s="6" t="s">
        <v>1176</v>
      </c>
      <c r="B287" s="6" t="s">
        <v>173</v>
      </c>
      <c r="C287" s="6" t="s">
        <v>1177</v>
      </c>
      <c r="D287" s="6" t="s">
        <v>385</v>
      </c>
      <c r="E287" s="13" t="n">
        <v>27639</v>
      </c>
      <c r="F287" s="6" t="n">
        <v>1975</v>
      </c>
      <c r="G287" s="11" t="n">
        <f aca="true">IF(F287="","",YEAR(TODAY())-F287)</f>
        <v>51</v>
      </c>
      <c r="H287" s="11" t="str">
        <f aca="false">IF(C287="","",IF(G287="","Thiếu thông tin",IF(G287&lt;6,"Trẻ em",IF(G287&lt;23,"Học sinh / Sinh viên",IF(G287&lt;60,"Đang đi làm","Nghỉ hưu")))))</f>
        <v>Đang đi làm</v>
      </c>
      <c r="I287" s="6" t="s">
        <v>52</v>
      </c>
      <c r="J287" s="11" t="str">
        <f aca="false">IF(B287="","",IFERROR(INDEX('Hộ gia đình'!$B$2:$B$2000,MATCH(B287,'Hộ gia đình'!$A$2:$A$2000,0)),"Mã hộ không tồn tại"))</f>
        <v>2 ngách 17/2 Tạ Quang Bửu</v>
      </c>
      <c r="K287" s="14" t="s">
        <v>1178</v>
      </c>
      <c r="L287" s="14"/>
      <c r="M287" s="6" t="s">
        <v>451</v>
      </c>
      <c r="N287" s="6" t="s">
        <v>388</v>
      </c>
      <c r="O287" s="6" t="s">
        <v>389</v>
      </c>
      <c r="P287" s="6" t="s">
        <v>1179</v>
      </c>
      <c r="Q287" s="6" t="s">
        <v>391</v>
      </c>
      <c r="R287" s="12" t="s">
        <v>1180</v>
      </c>
    </row>
    <row r="288" customFormat="false" ht="15" hidden="false" customHeight="true" outlineLevel="0" collapsed="false">
      <c r="A288" s="6" t="s">
        <v>1181</v>
      </c>
      <c r="B288" s="6" t="s">
        <v>173</v>
      </c>
      <c r="C288" s="6" t="s">
        <v>1182</v>
      </c>
      <c r="D288" s="6" t="s">
        <v>408</v>
      </c>
      <c r="E288" s="13" t="n">
        <v>36267</v>
      </c>
      <c r="F288" s="6" t="n">
        <v>1999</v>
      </c>
      <c r="G288" s="11" t="n">
        <f aca="true">IF(F288="","",YEAR(TODAY())-F288)</f>
        <v>27</v>
      </c>
      <c r="H288" s="11" t="str">
        <f aca="false">IF(C288="","",IF(G288="","Thiếu thông tin",IF(G288&lt;6,"Trẻ em",IF(G288&lt;23,"Học sinh / Sinh viên",IF(G288&lt;60,"Đang đi làm","Nghỉ hưu")))))</f>
        <v>Đang đi làm</v>
      </c>
      <c r="I288" s="6"/>
      <c r="J288" s="11" t="str">
        <f aca="false">IF(B288="","",IFERROR(INDEX('Hộ gia đình'!$B$2:$B$2000,MATCH(B288,'Hộ gia đình'!$A$2:$A$2000,0)),"Mã hộ không tồn tại"))</f>
        <v>2 ngách 17/2 Tạ Quang Bửu</v>
      </c>
      <c r="K288" s="14" t="s">
        <v>1183</v>
      </c>
      <c r="L288" s="14"/>
      <c r="M288" s="6" t="s">
        <v>1184</v>
      </c>
      <c r="N288" s="6" t="s">
        <v>388</v>
      </c>
      <c r="O288" s="6" t="s">
        <v>389</v>
      </c>
      <c r="P288" s="6"/>
      <c r="Q288" s="6" t="s">
        <v>583</v>
      </c>
      <c r="R288" s="12" t="s">
        <v>1185</v>
      </c>
    </row>
    <row r="289" customFormat="false" ht="15" hidden="false" customHeight="true" outlineLevel="0" collapsed="false">
      <c r="A289" s="6" t="s">
        <v>1186</v>
      </c>
      <c r="B289" s="6" t="s">
        <v>175</v>
      </c>
      <c r="C289" s="6" t="s">
        <v>1187</v>
      </c>
      <c r="D289" s="6" t="s">
        <v>385</v>
      </c>
      <c r="E289" s="13" t="n">
        <v>19798</v>
      </c>
      <c r="F289" s="6" t="n">
        <v>1954</v>
      </c>
      <c r="G289" s="11" t="n">
        <f aca="true">IF(F289="","",YEAR(TODAY())-F289)</f>
        <v>72</v>
      </c>
      <c r="H289" s="11" t="str">
        <f aca="false">IF(C289="","",IF(G289="","Thiếu thông tin",IF(G289&lt;6,"Trẻ em",IF(G289&lt;23,"Học sinh / Sinh viên",IF(G289&lt;60,"Đang đi làm","Nghỉ hưu")))))</f>
        <v>Nghỉ hưu</v>
      </c>
      <c r="I289" s="6" t="s">
        <v>52</v>
      </c>
      <c r="J289" s="11" t="str">
        <f aca="false">IF(B289="","",IFERROR(INDEX('Hộ gia đình'!$B$2:$B$2000,MATCH(B289,'Hộ gia đình'!$A$2:$A$2000,0)),"Mã hộ không tồn tại"))</f>
        <v>4 ngách 17/2 Tạ Quang Bửu</v>
      </c>
      <c r="K289" s="14" t="s">
        <v>1188</v>
      </c>
      <c r="L289" s="14"/>
      <c r="M289" s="6" t="s">
        <v>451</v>
      </c>
      <c r="N289" s="6" t="s">
        <v>388</v>
      </c>
      <c r="O289" s="6" t="s">
        <v>389</v>
      </c>
      <c r="P289" s="6"/>
      <c r="Q289" s="6" t="s">
        <v>391</v>
      </c>
      <c r="R289" s="12" t="s">
        <v>1189</v>
      </c>
    </row>
    <row r="290" customFormat="false" ht="15" hidden="false" customHeight="true" outlineLevel="0" collapsed="false">
      <c r="A290" s="6" t="s">
        <v>1190</v>
      </c>
      <c r="B290" s="6" t="s">
        <v>175</v>
      </c>
      <c r="C290" s="6" t="s">
        <v>1191</v>
      </c>
      <c r="D290" s="6" t="s">
        <v>408</v>
      </c>
      <c r="E290" s="13" t="n">
        <v>16903</v>
      </c>
      <c r="F290" s="6" t="n">
        <v>1946</v>
      </c>
      <c r="G290" s="11" t="n">
        <f aca="true">IF(F290="","",YEAR(TODAY())-F290)</f>
        <v>80</v>
      </c>
      <c r="H290" s="11" t="str">
        <f aca="false">IF(C290="","",IF(G290="","Thiếu thông tin",IF(G290&lt;6,"Trẻ em",IF(G290&lt;23,"Học sinh / Sinh viên",IF(G290&lt;60,"Đang đi làm","Nghỉ hưu")))))</f>
        <v>Nghỉ hưu</v>
      </c>
      <c r="I290" s="6"/>
      <c r="J290" s="11" t="str">
        <f aca="false">IF(B290="","",IFERROR(INDEX('Hộ gia đình'!$B$2:$B$2000,MATCH(B290,'Hộ gia đình'!$A$2:$A$2000,0)),"Mã hộ không tồn tại"))</f>
        <v>4 ngách 17/2 Tạ Quang Bửu</v>
      </c>
      <c r="K290" s="14" t="s">
        <v>1192</v>
      </c>
      <c r="L290" s="14"/>
      <c r="M290" s="6" t="s">
        <v>451</v>
      </c>
      <c r="N290" s="6" t="s">
        <v>388</v>
      </c>
      <c r="O290" s="6" t="s">
        <v>979</v>
      </c>
      <c r="P290" s="6" t="s">
        <v>979</v>
      </c>
      <c r="Q290" s="6" t="s">
        <v>391</v>
      </c>
      <c r="R290" s="12" t="s">
        <v>1193</v>
      </c>
    </row>
    <row r="291" customFormat="false" ht="15" hidden="false" customHeight="true" outlineLevel="0" collapsed="false">
      <c r="A291" s="6" t="s">
        <v>1194</v>
      </c>
      <c r="B291" s="6" t="s">
        <v>177</v>
      </c>
      <c r="C291" s="6" t="s">
        <v>1195</v>
      </c>
      <c r="D291" s="6" t="s">
        <v>408</v>
      </c>
      <c r="E291" s="13" t="n">
        <v>31094</v>
      </c>
      <c r="F291" s="6" t="n">
        <v>1985</v>
      </c>
      <c r="G291" s="11" t="n">
        <f aca="true">IF(F291="","",YEAR(TODAY())-F291)</f>
        <v>41</v>
      </c>
      <c r="H291" s="11" t="str">
        <f aca="false">IF(C291="","",IF(G291="","Thiếu thông tin",IF(G291&lt;6,"Trẻ em",IF(G291&lt;23,"Học sinh / Sinh viên",IF(G291&lt;60,"Đang đi làm","Nghỉ hưu")))))</f>
        <v>Đang đi làm</v>
      </c>
      <c r="I291" s="6" t="s">
        <v>52</v>
      </c>
      <c r="J291" s="11" t="str">
        <f aca="false">IF(B291="","",IFERROR(INDEX('Hộ gia đình'!$B$2:$B$2000,MATCH(B291,'Hộ gia đình'!$A$2:$A$2000,0)),"Mã hộ không tồn tại"))</f>
        <v>4 ngách 17/2 Tạ Quang Bửu</v>
      </c>
      <c r="K291" s="14" t="s">
        <v>1196</v>
      </c>
      <c r="L291" s="14"/>
      <c r="M291" s="6" t="s">
        <v>732</v>
      </c>
      <c r="N291" s="6" t="s">
        <v>388</v>
      </c>
      <c r="O291" s="6" t="s">
        <v>389</v>
      </c>
      <c r="P291" s="6"/>
      <c r="Q291" s="6" t="s">
        <v>391</v>
      </c>
      <c r="R291" s="12" t="s">
        <v>1197</v>
      </c>
    </row>
    <row r="292" customFormat="false" ht="15" hidden="false" customHeight="true" outlineLevel="0" collapsed="false">
      <c r="A292" s="6" t="s">
        <v>1198</v>
      </c>
      <c r="B292" s="6" t="s">
        <v>177</v>
      </c>
      <c r="C292" s="6" t="s">
        <v>1199</v>
      </c>
      <c r="D292" s="6" t="s">
        <v>385</v>
      </c>
      <c r="E292" s="13" t="n">
        <v>33863</v>
      </c>
      <c r="F292" s="6" t="n">
        <v>1992</v>
      </c>
      <c r="G292" s="11" t="n">
        <f aca="true">IF(F292="","",YEAR(TODAY())-F292)</f>
        <v>34</v>
      </c>
      <c r="H292" s="11" t="str">
        <f aca="false">IF(C292="","",IF(G292="","Thiếu thông tin",IF(G292&lt;6,"Trẻ em",IF(G292&lt;23,"Học sinh / Sinh viên",IF(G292&lt;60,"Đang đi làm","Nghỉ hưu")))))</f>
        <v>Đang đi làm</v>
      </c>
      <c r="I292" s="6"/>
      <c r="J292" s="11" t="str">
        <f aca="false">IF(B292="","",IFERROR(INDEX('Hộ gia đình'!$B$2:$B$2000,MATCH(B292,'Hộ gia đình'!$A$2:$A$2000,0)),"Mã hộ không tồn tại"))</f>
        <v>4 ngách 17/2 Tạ Quang Bửu</v>
      </c>
      <c r="K292" s="14" t="s">
        <v>1200</v>
      </c>
      <c r="L292" s="14"/>
      <c r="M292" s="6" t="s">
        <v>459</v>
      </c>
      <c r="N292" s="6" t="s">
        <v>388</v>
      </c>
      <c r="O292" s="6" t="s">
        <v>389</v>
      </c>
      <c r="P292" s="6"/>
      <c r="Q292" s="6" t="s">
        <v>391</v>
      </c>
      <c r="R292" s="12"/>
    </row>
    <row r="293" customFormat="false" ht="15" hidden="false" customHeight="true" outlineLevel="0" collapsed="false">
      <c r="A293" s="6" t="s">
        <v>1201</v>
      </c>
      <c r="B293" s="6" t="s">
        <v>177</v>
      </c>
      <c r="C293" s="6" t="s">
        <v>1202</v>
      </c>
      <c r="D293" s="6"/>
      <c r="E293" s="13"/>
      <c r="F293" s="6" t="n">
        <v>2016</v>
      </c>
      <c r="G293" s="11" t="n">
        <f aca="true">IF(F293="","",YEAR(TODAY())-F293)</f>
        <v>10</v>
      </c>
      <c r="H293" s="11" t="str">
        <f aca="false">IF(C293="","",IF(G293="","Thiếu thông tin",IF(G293&lt;6,"Trẻ em",IF(G293&lt;23,"Học sinh / Sinh viên",IF(G293&lt;60,"Đang đi làm","Nghỉ hưu")))))</f>
        <v>Học sinh / Sinh viên</v>
      </c>
      <c r="I293" s="6"/>
      <c r="J293" s="11" t="str">
        <f aca="false">IF(B293="","",IFERROR(INDEX('Hộ gia đình'!$B$2:$B$2000,MATCH(B293,'Hộ gia đình'!$A$2:$A$2000,0)),"Mã hộ không tồn tại"))</f>
        <v>4 ngách 17/2 Tạ Quang Bửu</v>
      </c>
      <c r="K293" s="14"/>
      <c r="L293" s="14"/>
      <c r="M293" s="6"/>
      <c r="N293" s="6" t="s">
        <v>395</v>
      </c>
      <c r="O293" s="6" t="s">
        <v>389</v>
      </c>
      <c r="P293" s="6"/>
      <c r="Q293" s="6" t="s">
        <v>403</v>
      </c>
      <c r="R293" s="12"/>
    </row>
    <row r="294" customFormat="false" ht="15" hidden="false" customHeight="true" outlineLevel="0" collapsed="false">
      <c r="A294" s="6" t="s">
        <v>1203</v>
      </c>
      <c r="B294" s="6" t="s">
        <v>178</v>
      </c>
      <c r="C294" s="6" t="s">
        <v>1204</v>
      </c>
      <c r="D294" s="6" t="s">
        <v>408</v>
      </c>
      <c r="E294" s="13" t="n">
        <v>29203</v>
      </c>
      <c r="F294" s="6" t="n">
        <v>1979</v>
      </c>
      <c r="G294" s="11" t="n">
        <f aca="true">IF(F294="","",YEAR(TODAY())-F294)</f>
        <v>47</v>
      </c>
      <c r="H294" s="11" t="str">
        <f aca="false">IF(C294="","",IF(G294="","Thiếu thông tin",IF(G294&lt;6,"Trẻ em",IF(G294&lt;23,"Học sinh / Sinh viên",IF(G294&lt;60,"Đang đi làm","Nghỉ hưu")))))</f>
        <v>Đang đi làm</v>
      </c>
      <c r="I294" s="6" t="s">
        <v>52</v>
      </c>
      <c r="J294" s="11" t="str">
        <f aca="false">IF(B294="","",IFERROR(INDEX('Hộ gia đình'!$B$2:$B$2000,MATCH(B294,'Hộ gia đình'!$A$2:$A$2000,0)),"Mã hộ không tồn tại"))</f>
        <v>4 ngách 17/2 Tạ Quang Bửu</v>
      </c>
      <c r="K294" s="14" t="s">
        <v>1205</v>
      </c>
      <c r="L294" s="14"/>
      <c r="M294" s="6" t="s">
        <v>459</v>
      </c>
      <c r="N294" s="6" t="s">
        <v>388</v>
      </c>
      <c r="O294" s="6" t="s">
        <v>389</v>
      </c>
      <c r="P294" s="6"/>
      <c r="Q294" s="6" t="s">
        <v>391</v>
      </c>
      <c r="R294" s="12"/>
    </row>
    <row r="295" customFormat="false" ht="15" hidden="false" customHeight="true" outlineLevel="0" collapsed="false">
      <c r="A295" s="6" t="s">
        <v>1206</v>
      </c>
      <c r="B295" s="6" t="s">
        <v>178</v>
      </c>
      <c r="C295" s="6" t="s">
        <v>1207</v>
      </c>
      <c r="D295" s="6" t="s">
        <v>385</v>
      </c>
      <c r="E295" s="13" t="n">
        <v>30820</v>
      </c>
      <c r="F295" s="6" t="n">
        <v>1984</v>
      </c>
      <c r="G295" s="11" t="n">
        <f aca="true">IF(F295="","",YEAR(TODAY())-F295)</f>
        <v>42</v>
      </c>
      <c r="H295" s="11" t="str">
        <f aca="false">IF(C295="","",IF(G295="","Thiếu thông tin",IF(G295&lt;6,"Trẻ em",IF(G295&lt;23,"Học sinh / Sinh viên",IF(G295&lt;60,"Đang đi làm","Nghỉ hưu")))))</f>
        <v>Đang đi làm</v>
      </c>
      <c r="I295" s="6"/>
      <c r="J295" s="11" t="str">
        <f aca="false">IF(B295="","",IFERROR(INDEX('Hộ gia đình'!$B$2:$B$2000,MATCH(B295,'Hộ gia đình'!$A$2:$A$2000,0)),"Mã hộ không tồn tại"))</f>
        <v>4 ngách 17/2 Tạ Quang Bửu</v>
      </c>
      <c r="K295" s="14" t="s">
        <v>1208</v>
      </c>
      <c r="L295" s="14"/>
      <c r="M295" s="6" t="s">
        <v>459</v>
      </c>
      <c r="N295" s="6" t="s">
        <v>388</v>
      </c>
      <c r="O295" s="6" t="s">
        <v>389</v>
      </c>
      <c r="P295" s="6"/>
      <c r="Q295" s="6" t="s">
        <v>391</v>
      </c>
      <c r="R295" s="12"/>
    </row>
    <row r="296" customFormat="false" ht="15" hidden="false" customHeight="true" outlineLevel="0" collapsed="false">
      <c r="A296" s="6" t="s">
        <v>1209</v>
      </c>
      <c r="B296" s="6" t="s">
        <v>178</v>
      </c>
      <c r="C296" s="6" t="s">
        <v>1210</v>
      </c>
      <c r="D296" s="6" t="s">
        <v>408</v>
      </c>
      <c r="E296" s="13" t="n">
        <v>38890</v>
      </c>
      <c r="F296" s="6" t="n">
        <v>2006</v>
      </c>
      <c r="G296" s="11" t="n">
        <f aca="true">IF(F296="","",YEAR(TODAY())-F296)</f>
        <v>20</v>
      </c>
      <c r="H296" s="11" t="str">
        <f aca="false">IF(C296="","",IF(G296="","Thiếu thông tin",IF(G296&lt;6,"Trẻ em",IF(G296&lt;23,"Học sinh / Sinh viên",IF(G296&lt;60,"Đang đi làm","Nghỉ hưu")))))</f>
        <v>Học sinh / Sinh viên</v>
      </c>
      <c r="I296" s="6"/>
      <c r="J296" s="11" t="str">
        <f aca="false">IF(B296="","",IFERROR(INDEX('Hộ gia đình'!$B$2:$B$2000,MATCH(B296,'Hộ gia đình'!$A$2:$A$2000,0)),"Mã hộ không tồn tại"))</f>
        <v>4 ngách 17/2 Tạ Quang Bửu</v>
      </c>
      <c r="K296" s="14" t="s">
        <v>1211</v>
      </c>
      <c r="L296" s="14"/>
      <c r="M296" s="6" t="s">
        <v>422</v>
      </c>
      <c r="N296" s="6" t="s">
        <v>388</v>
      </c>
      <c r="O296" s="6" t="s">
        <v>389</v>
      </c>
      <c r="P296" s="6"/>
      <c r="Q296" s="6" t="s">
        <v>583</v>
      </c>
      <c r="R296" s="12"/>
    </row>
    <row r="297" customFormat="false" ht="15" hidden="false" customHeight="true" outlineLevel="0" collapsed="false">
      <c r="A297" s="6" t="s">
        <v>1212</v>
      </c>
      <c r="B297" s="6" t="s">
        <v>178</v>
      </c>
      <c r="C297" s="6" t="s">
        <v>1213</v>
      </c>
      <c r="D297" s="6" t="s">
        <v>408</v>
      </c>
      <c r="E297" s="13" t="n">
        <v>39413</v>
      </c>
      <c r="F297" s="6" t="n">
        <v>2007</v>
      </c>
      <c r="G297" s="11" t="n">
        <f aca="true">IF(F297="","",YEAR(TODAY())-F297)</f>
        <v>19</v>
      </c>
      <c r="H297" s="11" t="str">
        <f aca="false">IF(C297="","",IF(G297="","Thiếu thông tin",IF(G297&lt;6,"Trẻ em",IF(G297&lt;23,"Học sinh / Sinh viên",IF(G297&lt;60,"Đang đi làm","Nghỉ hưu")))))</f>
        <v>Học sinh / Sinh viên</v>
      </c>
      <c r="I297" s="6"/>
      <c r="J297" s="11" t="str">
        <f aca="false">IF(B297="","",IFERROR(INDEX('Hộ gia đình'!$B$2:$B$2000,MATCH(B297,'Hộ gia đình'!$A$2:$A$2000,0)),"Mã hộ không tồn tại"))</f>
        <v>4 ngách 17/2 Tạ Quang Bửu</v>
      </c>
      <c r="K297" s="14" t="s">
        <v>1214</v>
      </c>
      <c r="L297" s="14"/>
      <c r="M297" s="6" t="s">
        <v>422</v>
      </c>
      <c r="N297" s="6" t="s">
        <v>388</v>
      </c>
      <c r="O297" s="6" t="s">
        <v>389</v>
      </c>
      <c r="P297" s="6"/>
      <c r="Q297" s="6" t="s">
        <v>583</v>
      </c>
      <c r="R297" s="12"/>
    </row>
    <row r="298" customFormat="false" ht="15" hidden="false" customHeight="true" outlineLevel="0" collapsed="false">
      <c r="A298" s="6" t="s">
        <v>1215</v>
      </c>
      <c r="B298" s="6" t="s">
        <v>179</v>
      </c>
      <c r="C298" s="6" t="s">
        <v>1216</v>
      </c>
      <c r="D298" s="6" t="s">
        <v>408</v>
      </c>
      <c r="E298" s="13" t="n">
        <v>25534</v>
      </c>
      <c r="F298" s="6" t="n">
        <v>1969</v>
      </c>
      <c r="G298" s="11" t="n">
        <f aca="true">IF(F298="","",YEAR(TODAY())-F298)</f>
        <v>57</v>
      </c>
      <c r="H298" s="11" t="str">
        <f aca="false">IF(C298="","",IF(G298="","Thiếu thông tin",IF(G298&lt;6,"Trẻ em",IF(G298&lt;23,"Học sinh / Sinh viên",IF(G298&lt;60,"Đang đi làm","Nghỉ hưu")))))</f>
        <v>Đang đi làm</v>
      </c>
      <c r="I298" s="6" t="s">
        <v>52</v>
      </c>
      <c r="J298" s="11" t="str">
        <f aca="false">IF(B298="","",IFERROR(INDEX('Hộ gia đình'!$B$2:$B$2000,MATCH(B298,'Hộ gia đình'!$A$2:$A$2000,0)),"Mã hộ không tồn tại"))</f>
        <v>6 ngách 17/2 Tạ Quang Bửu</v>
      </c>
      <c r="K298" s="14" t="s">
        <v>1217</v>
      </c>
      <c r="L298" s="14"/>
      <c r="M298" s="6" t="s">
        <v>451</v>
      </c>
      <c r="N298" s="6" t="s">
        <v>388</v>
      </c>
      <c r="O298" s="6" t="s">
        <v>389</v>
      </c>
      <c r="P298" s="6"/>
      <c r="Q298" s="6" t="s">
        <v>391</v>
      </c>
      <c r="R298" s="12"/>
    </row>
    <row r="299" customFormat="false" ht="15" hidden="false" customHeight="true" outlineLevel="0" collapsed="false">
      <c r="A299" s="6" t="s">
        <v>1218</v>
      </c>
      <c r="B299" s="6" t="s">
        <v>179</v>
      </c>
      <c r="C299" s="6" t="s">
        <v>1219</v>
      </c>
      <c r="D299" s="6" t="s">
        <v>385</v>
      </c>
      <c r="E299" s="13" t="n">
        <v>28656</v>
      </c>
      <c r="F299" s="6" t="n">
        <v>1978</v>
      </c>
      <c r="G299" s="11" t="n">
        <f aca="true">IF(F299="","",YEAR(TODAY())-F299)</f>
        <v>48</v>
      </c>
      <c r="H299" s="11" t="str">
        <f aca="false">IF(C299="","",IF(G299="","Thiếu thông tin",IF(G299&lt;6,"Trẻ em",IF(G299&lt;23,"Học sinh / Sinh viên",IF(G299&lt;60,"Đang đi làm","Nghỉ hưu")))))</f>
        <v>Đang đi làm</v>
      </c>
      <c r="I299" s="6"/>
      <c r="J299" s="11" t="str">
        <f aca="false">IF(B299="","",IFERROR(INDEX('Hộ gia đình'!$B$2:$B$2000,MATCH(B299,'Hộ gia đình'!$A$2:$A$2000,0)),"Mã hộ không tồn tại"))</f>
        <v>6 ngách 17/2 Tạ Quang Bửu</v>
      </c>
      <c r="K299" s="14" t="s">
        <v>1220</v>
      </c>
      <c r="L299" s="14"/>
      <c r="M299" s="6" t="s">
        <v>459</v>
      </c>
      <c r="N299" s="6" t="s">
        <v>388</v>
      </c>
      <c r="O299" s="6" t="s">
        <v>389</v>
      </c>
      <c r="P299" s="6"/>
      <c r="Q299" s="6" t="s">
        <v>391</v>
      </c>
      <c r="R299" s="12" t="s">
        <v>1221</v>
      </c>
    </row>
    <row r="300" customFormat="false" ht="15" hidden="false" customHeight="true" outlineLevel="0" collapsed="false">
      <c r="A300" s="6" t="s">
        <v>1222</v>
      </c>
      <c r="B300" s="6" t="s">
        <v>179</v>
      </c>
      <c r="C300" s="6" t="s">
        <v>1223</v>
      </c>
      <c r="D300" s="6"/>
      <c r="E300" s="13"/>
      <c r="F300" s="6" t="n">
        <v>2005</v>
      </c>
      <c r="G300" s="11" t="n">
        <f aca="true">IF(F300="","",YEAR(TODAY())-F300)</f>
        <v>21</v>
      </c>
      <c r="H300" s="11" t="str">
        <f aca="false">IF(C300="","",IF(G300="","Thiếu thông tin",IF(G300&lt;6,"Trẻ em",IF(G300&lt;23,"Học sinh / Sinh viên",IF(G300&lt;60,"Đang đi làm","Nghỉ hưu")))))</f>
        <v>Học sinh / Sinh viên</v>
      </c>
      <c r="I300" s="6"/>
      <c r="J300" s="11" t="str">
        <f aca="false">IF(B300="","",IFERROR(INDEX('Hộ gia đình'!$B$2:$B$2000,MATCH(B300,'Hộ gia đình'!$A$2:$A$2000,0)),"Mã hộ không tồn tại"))</f>
        <v>6 ngách 17/2 Tạ Quang Bửu</v>
      </c>
      <c r="K300" s="14"/>
      <c r="L300" s="14"/>
      <c r="M300" s="6"/>
      <c r="N300" s="6" t="s">
        <v>395</v>
      </c>
      <c r="O300" s="6" t="s">
        <v>389</v>
      </c>
      <c r="P300" s="6"/>
      <c r="Q300" s="6" t="s">
        <v>403</v>
      </c>
      <c r="R300" s="12"/>
    </row>
    <row r="301" customFormat="false" ht="15" hidden="false" customHeight="true" outlineLevel="0" collapsed="false">
      <c r="A301" s="6" t="s">
        <v>1224</v>
      </c>
      <c r="B301" s="6" t="s">
        <v>179</v>
      </c>
      <c r="C301" s="6" t="s">
        <v>1225</v>
      </c>
      <c r="D301" s="6"/>
      <c r="E301" s="13"/>
      <c r="F301" s="6" t="n">
        <v>2012</v>
      </c>
      <c r="G301" s="11" t="n">
        <f aca="true">IF(F301="","",YEAR(TODAY())-F301)</f>
        <v>14</v>
      </c>
      <c r="H301" s="11" t="str">
        <f aca="false">IF(C301="","",IF(G301="","Thiếu thông tin",IF(G301&lt;6,"Trẻ em",IF(G301&lt;23,"Học sinh / Sinh viên",IF(G301&lt;60,"Đang đi làm","Nghỉ hưu")))))</f>
        <v>Học sinh / Sinh viên</v>
      </c>
      <c r="I301" s="6"/>
      <c r="J301" s="11" t="str">
        <f aca="false">IF(B301="","",IFERROR(INDEX('Hộ gia đình'!$B$2:$B$2000,MATCH(B301,'Hộ gia đình'!$A$2:$A$2000,0)),"Mã hộ không tồn tại"))</f>
        <v>6 ngách 17/2 Tạ Quang Bửu</v>
      </c>
      <c r="K301" s="14"/>
      <c r="L301" s="14"/>
      <c r="M301" s="6"/>
      <c r="N301" s="6" t="s">
        <v>395</v>
      </c>
      <c r="O301" s="6" t="s">
        <v>389</v>
      </c>
      <c r="P301" s="6"/>
      <c r="Q301" s="6" t="s">
        <v>403</v>
      </c>
      <c r="R301" s="12"/>
    </row>
    <row r="302" customFormat="false" ht="15" hidden="false" customHeight="true" outlineLevel="0" collapsed="false">
      <c r="A302" s="6" t="s">
        <v>1226</v>
      </c>
      <c r="B302" s="6" t="s">
        <v>181</v>
      </c>
      <c r="C302" s="6" t="s">
        <v>1227</v>
      </c>
      <c r="D302" s="6" t="s">
        <v>408</v>
      </c>
      <c r="E302" s="13" t="n">
        <v>25288</v>
      </c>
      <c r="F302" s="6" t="n">
        <v>1969</v>
      </c>
      <c r="G302" s="11" t="n">
        <f aca="true">IF(F302="","",YEAR(TODAY())-F302)</f>
        <v>57</v>
      </c>
      <c r="H302" s="11" t="str">
        <f aca="false">IF(C302="","",IF(G302="","Thiếu thông tin",IF(G302&lt;6,"Trẻ em",IF(G302&lt;23,"Học sinh / Sinh viên",IF(G302&lt;60,"Đang đi làm","Nghỉ hưu")))))</f>
        <v>Đang đi làm</v>
      </c>
      <c r="I302" s="6" t="s">
        <v>52</v>
      </c>
      <c r="J302" s="11" t="str">
        <f aca="false">IF(B302="","",IFERROR(INDEX('Hộ gia đình'!$B$2:$B$2000,MATCH(B302,'Hộ gia đình'!$A$2:$A$2000,0)),"Mã hộ không tồn tại"))</f>
        <v>7 ngách 17/2 Tạ Quang Bửu</v>
      </c>
      <c r="K302" s="14" t="s">
        <v>1228</v>
      </c>
      <c r="L302" s="14"/>
      <c r="M302" s="6" t="s">
        <v>459</v>
      </c>
      <c r="N302" s="6" t="s">
        <v>388</v>
      </c>
      <c r="O302" s="6" t="s">
        <v>389</v>
      </c>
      <c r="P302" s="6"/>
      <c r="Q302" s="6" t="s">
        <v>391</v>
      </c>
      <c r="R302" s="12" t="s">
        <v>1229</v>
      </c>
    </row>
    <row r="303" customFormat="false" ht="15" hidden="false" customHeight="true" outlineLevel="0" collapsed="false">
      <c r="A303" s="6" t="s">
        <v>1230</v>
      </c>
      <c r="B303" s="6" t="s">
        <v>181</v>
      </c>
      <c r="C303" s="6" t="s">
        <v>1231</v>
      </c>
      <c r="D303" s="6" t="s">
        <v>385</v>
      </c>
      <c r="E303" s="13" t="n">
        <v>27302</v>
      </c>
      <c r="F303" s="6" t="n">
        <v>1974</v>
      </c>
      <c r="G303" s="11" t="n">
        <f aca="true">IF(F303="","",YEAR(TODAY())-F303)</f>
        <v>52</v>
      </c>
      <c r="H303" s="11" t="str">
        <f aca="false">IF(C303="","",IF(G303="","Thiếu thông tin",IF(G303&lt;6,"Trẻ em",IF(G303&lt;23,"Học sinh / Sinh viên",IF(G303&lt;60,"Đang đi làm","Nghỉ hưu")))))</f>
        <v>Đang đi làm</v>
      </c>
      <c r="I303" s="6"/>
      <c r="J303" s="11" t="str">
        <f aca="false">IF(B303="","",IFERROR(INDEX('Hộ gia đình'!$B$2:$B$2000,MATCH(B303,'Hộ gia đình'!$A$2:$A$2000,0)),"Mã hộ không tồn tại"))</f>
        <v>7 ngách 17/2 Tạ Quang Bửu</v>
      </c>
      <c r="K303" s="14" t="s">
        <v>1232</v>
      </c>
      <c r="L303" s="14"/>
      <c r="M303" s="6" t="s">
        <v>459</v>
      </c>
      <c r="N303" s="6" t="s">
        <v>388</v>
      </c>
      <c r="O303" s="6" t="s">
        <v>389</v>
      </c>
      <c r="P303" s="6"/>
      <c r="Q303" s="6" t="s">
        <v>391</v>
      </c>
      <c r="R303" s="12"/>
    </row>
    <row r="304" customFormat="false" ht="15" hidden="false" customHeight="true" outlineLevel="0" collapsed="false">
      <c r="A304" s="6" t="s">
        <v>1233</v>
      </c>
      <c r="B304" s="6" t="s">
        <v>181</v>
      </c>
      <c r="C304" s="6" t="s">
        <v>1234</v>
      </c>
      <c r="D304" s="6"/>
      <c r="E304" s="13" t="n">
        <v>38027</v>
      </c>
      <c r="F304" s="6" t="n">
        <v>2004</v>
      </c>
      <c r="G304" s="11" t="n">
        <f aca="true">IF(F304="","",YEAR(TODAY())-F304)</f>
        <v>22</v>
      </c>
      <c r="H304" s="11" t="str">
        <f aca="false">IF(C304="","",IF(G304="","Thiếu thông tin",IF(G304&lt;6,"Trẻ em",IF(G304&lt;23,"Học sinh / Sinh viên",IF(G304&lt;60,"Đang đi làm","Nghỉ hưu")))))</f>
        <v>Học sinh / Sinh viên</v>
      </c>
      <c r="I304" s="6"/>
      <c r="J304" s="11" t="str">
        <f aca="false">IF(B304="","",IFERROR(INDEX('Hộ gia đình'!$B$2:$B$2000,MATCH(B304,'Hộ gia đình'!$A$2:$A$2000,0)),"Mã hộ không tồn tại"))</f>
        <v>7 ngách 17/2 Tạ Quang Bửu</v>
      </c>
      <c r="K304" s="14"/>
      <c r="L304" s="14"/>
      <c r="M304" s="6"/>
      <c r="N304" s="6" t="s">
        <v>395</v>
      </c>
      <c r="O304" s="6" t="s">
        <v>389</v>
      </c>
      <c r="P304" s="6"/>
      <c r="Q304" s="6" t="s">
        <v>403</v>
      </c>
      <c r="R304" s="12"/>
    </row>
    <row r="305" customFormat="false" ht="15" hidden="false" customHeight="true" outlineLevel="0" collapsed="false">
      <c r="A305" s="6" t="s">
        <v>1235</v>
      </c>
      <c r="B305" s="6" t="s">
        <v>181</v>
      </c>
      <c r="C305" s="6" t="s">
        <v>1236</v>
      </c>
      <c r="D305" s="6" t="s">
        <v>385</v>
      </c>
      <c r="E305" s="13" t="n">
        <v>39189</v>
      </c>
      <c r="F305" s="6" t="n">
        <v>2007</v>
      </c>
      <c r="G305" s="11" t="n">
        <f aca="true">IF(F305="","",YEAR(TODAY())-F305)</f>
        <v>19</v>
      </c>
      <c r="H305" s="11" t="str">
        <f aca="false">IF(C305="","",IF(G305="","Thiếu thông tin",IF(G305&lt;6,"Trẻ em",IF(G305&lt;23,"Học sinh / Sinh viên",IF(G305&lt;60,"Đang đi làm","Nghỉ hưu")))))</f>
        <v>Học sinh / Sinh viên</v>
      </c>
      <c r="I305" s="6"/>
      <c r="J305" s="11" t="str">
        <f aca="false">IF(B305="","",IFERROR(INDEX('Hộ gia đình'!$B$2:$B$2000,MATCH(B305,'Hộ gia đình'!$A$2:$A$2000,0)),"Mã hộ không tồn tại"))</f>
        <v>7 ngách 17/2 Tạ Quang Bửu</v>
      </c>
      <c r="K305" s="14" t="s">
        <v>1237</v>
      </c>
      <c r="L305" s="14"/>
      <c r="M305" s="6" t="s">
        <v>422</v>
      </c>
      <c r="N305" s="6" t="s">
        <v>388</v>
      </c>
      <c r="O305" s="6" t="s">
        <v>389</v>
      </c>
      <c r="P305" s="6"/>
      <c r="Q305" s="6" t="s">
        <v>583</v>
      </c>
      <c r="R305" s="12"/>
    </row>
    <row r="306" customFormat="false" ht="15" hidden="false" customHeight="true" outlineLevel="0" collapsed="false">
      <c r="A306" s="6" t="s">
        <v>1238</v>
      </c>
      <c r="B306" s="6" t="s">
        <v>181</v>
      </c>
      <c r="C306" s="6" t="s">
        <v>1239</v>
      </c>
      <c r="D306" s="6"/>
      <c r="E306" s="13" t="n">
        <v>41655</v>
      </c>
      <c r="F306" s="6" t="n">
        <v>2014</v>
      </c>
      <c r="G306" s="11" t="n">
        <f aca="true">IF(F306="","",YEAR(TODAY())-F306)</f>
        <v>12</v>
      </c>
      <c r="H306" s="11" t="str">
        <f aca="false">IF(C306="","",IF(G306="","Thiếu thông tin",IF(G306&lt;6,"Trẻ em",IF(G306&lt;23,"Học sinh / Sinh viên",IF(G306&lt;60,"Đang đi làm","Nghỉ hưu")))))</f>
        <v>Học sinh / Sinh viên</v>
      </c>
      <c r="I306" s="6"/>
      <c r="J306" s="11" t="str">
        <f aca="false">IF(B306="","",IFERROR(INDEX('Hộ gia đình'!$B$2:$B$2000,MATCH(B306,'Hộ gia đình'!$A$2:$A$2000,0)),"Mã hộ không tồn tại"))</f>
        <v>7 ngách 17/2 Tạ Quang Bửu</v>
      </c>
      <c r="K306" s="14"/>
      <c r="L306" s="14"/>
      <c r="M306" s="6"/>
      <c r="N306" s="6" t="s">
        <v>395</v>
      </c>
      <c r="O306" s="6" t="s">
        <v>389</v>
      </c>
      <c r="P306" s="6"/>
      <c r="Q306" s="6" t="s">
        <v>403</v>
      </c>
      <c r="R306" s="12"/>
    </row>
    <row r="307" customFormat="false" ht="15" hidden="false" customHeight="true" outlineLevel="0" collapsed="false">
      <c r="A307" s="6" t="s">
        <v>1240</v>
      </c>
      <c r="B307" s="6" t="s">
        <v>183</v>
      </c>
      <c r="C307" s="6" t="s">
        <v>1241</v>
      </c>
      <c r="D307" s="6" t="s">
        <v>408</v>
      </c>
      <c r="E307" s="13" t="n">
        <v>24841</v>
      </c>
      <c r="F307" s="6" t="n">
        <v>1968</v>
      </c>
      <c r="G307" s="11" t="n">
        <f aca="true">IF(F307="","",YEAR(TODAY())-F307)</f>
        <v>58</v>
      </c>
      <c r="H307" s="11" t="str">
        <f aca="false">IF(C307="","",IF(G307="","Thiếu thông tin",IF(G307&lt;6,"Trẻ em",IF(G307&lt;23,"Học sinh / Sinh viên",IF(G307&lt;60,"Đang đi làm","Nghỉ hưu")))))</f>
        <v>Đang đi làm</v>
      </c>
      <c r="I307" s="6" t="s">
        <v>52</v>
      </c>
      <c r="J307" s="11" t="str">
        <f aca="false">IF(B307="","",IFERROR(INDEX('Hộ gia đình'!$B$2:$B$2000,MATCH(B307,'Hộ gia đình'!$A$2:$A$2000,0)),"Mã hộ không tồn tại"))</f>
        <v>8 ngách 17/2 Tạ Quang Bửu</v>
      </c>
      <c r="K307" s="14" t="s">
        <v>1242</v>
      </c>
      <c r="L307" s="14"/>
      <c r="M307" s="6" t="s">
        <v>459</v>
      </c>
      <c r="N307" s="6" t="s">
        <v>388</v>
      </c>
      <c r="O307" s="6" t="s">
        <v>389</v>
      </c>
      <c r="P307" s="6"/>
      <c r="Q307" s="6" t="s">
        <v>391</v>
      </c>
      <c r="R307" s="12"/>
    </row>
    <row r="308" customFormat="false" ht="15" hidden="false" customHeight="true" outlineLevel="0" collapsed="false">
      <c r="A308" s="6" t="s">
        <v>1243</v>
      </c>
      <c r="B308" s="6" t="s">
        <v>183</v>
      </c>
      <c r="C308" s="6" t="s">
        <v>1244</v>
      </c>
      <c r="D308" s="6" t="s">
        <v>385</v>
      </c>
      <c r="E308" s="13" t="n">
        <v>29103</v>
      </c>
      <c r="F308" s="6" t="n">
        <v>1979</v>
      </c>
      <c r="G308" s="11" t="n">
        <f aca="true">IF(F308="","",YEAR(TODAY())-F308)</f>
        <v>47</v>
      </c>
      <c r="H308" s="11" t="str">
        <f aca="false">IF(C308="","",IF(G308="","Thiếu thông tin",IF(G308&lt;6,"Trẻ em",IF(G308&lt;23,"Học sinh / Sinh viên",IF(G308&lt;60,"Đang đi làm","Nghỉ hưu")))))</f>
        <v>Đang đi làm</v>
      </c>
      <c r="I308" s="6"/>
      <c r="J308" s="11" t="str">
        <f aca="false">IF(B308="","",IFERROR(INDEX('Hộ gia đình'!$B$2:$B$2000,MATCH(B308,'Hộ gia đình'!$A$2:$A$2000,0)),"Mã hộ không tồn tại"))</f>
        <v>8 ngách 17/2 Tạ Quang Bửu</v>
      </c>
      <c r="K308" s="14" t="s">
        <v>1245</v>
      </c>
      <c r="L308" s="14"/>
      <c r="M308" s="6" t="s">
        <v>459</v>
      </c>
      <c r="N308" s="6" t="s">
        <v>388</v>
      </c>
      <c r="O308" s="6" t="s">
        <v>389</v>
      </c>
      <c r="P308" s="6"/>
      <c r="Q308" s="6" t="s">
        <v>391</v>
      </c>
      <c r="R308" s="12"/>
    </row>
    <row r="309" customFormat="false" ht="15" hidden="false" customHeight="true" outlineLevel="0" collapsed="false">
      <c r="A309" s="6" t="s">
        <v>1246</v>
      </c>
      <c r="B309" s="6" t="s">
        <v>183</v>
      </c>
      <c r="C309" s="6" t="s">
        <v>1247</v>
      </c>
      <c r="D309" s="6" t="s">
        <v>408</v>
      </c>
      <c r="E309" s="13" t="n">
        <v>36733</v>
      </c>
      <c r="F309" s="6" t="n">
        <v>2000</v>
      </c>
      <c r="G309" s="11" t="n">
        <f aca="true">IF(F309="","",YEAR(TODAY())-F309)</f>
        <v>26</v>
      </c>
      <c r="H309" s="11" t="str">
        <f aca="false">IF(C309="","",IF(G309="","Thiếu thông tin",IF(G309&lt;6,"Trẻ em",IF(G309&lt;23,"Học sinh / Sinh viên",IF(G309&lt;60,"Đang đi làm","Nghỉ hưu")))))</f>
        <v>Đang đi làm</v>
      </c>
      <c r="I309" s="6"/>
      <c r="J309" s="11" t="str">
        <f aca="false">IF(B309="","",IFERROR(INDEX('Hộ gia đình'!$B$2:$B$2000,MATCH(B309,'Hộ gia đình'!$A$2:$A$2000,0)),"Mã hộ không tồn tại"))</f>
        <v>8 ngách 17/2 Tạ Quang Bửu</v>
      </c>
      <c r="K309" s="14" t="s">
        <v>1248</v>
      </c>
      <c r="L309" s="14"/>
      <c r="M309" s="6" t="s">
        <v>459</v>
      </c>
      <c r="N309" s="6" t="s">
        <v>388</v>
      </c>
      <c r="O309" s="6" t="s">
        <v>389</v>
      </c>
      <c r="P309" s="6"/>
      <c r="Q309" s="6" t="s">
        <v>583</v>
      </c>
      <c r="R309" s="12"/>
    </row>
    <row r="310" customFormat="false" ht="15" hidden="false" customHeight="true" outlineLevel="0" collapsed="false">
      <c r="A310" s="6" t="s">
        <v>1249</v>
      </c>
      <c r="B310" s="6" t="s">
        <v>183</v>
      </c>
      <c r="C310" s="6" t="s">
        <v>1250</v>
      </c>
      <c r="D310" s="6"/>
      <c r="E310" s="13" t="n">
        <v>38108</v>
      </c>
      <c r="F310" s="6" t="n">
        <v>2004</v>
      </c>
      <c r="G310" s="11" t="n">
        <f aca="true">IF(F310="","",YEAR(TODAY())-F310)</f>
        <v>22</v>
      </c>
      <c r="H310" s="11" t="str">
        <f aca="false">IF(C310="","",IF(G310="","Thiếu thông tin",IF(G310&lt;6,"Trẻ em",IF(G310&lt;23,"Học sinh / Sinh viên",IF(G310&lt;60,"Đang đi làm","Nghỉ hưu")))))</f>
        <v>Học sinh / Sinh viên</v>
      </c>
      <c r="I310" s="6"/>
      <c r="J310" s="11" t="str">
        <f aca="false">IF(B310="","",IFERROR(INDEX('Hộ gia đình'!$B$2:$B$2000,MATCH(B310,'Hộ gia đình'!$A$2:$A$2000,0)),"Mã hộ không tồn tại"))</f>
        <v>8 ngách 17/2 Tạ Quang Bửu</v>
      </c>
      <c r="K310" s="14" t="s">
        <v>1251</v>
      </c>
      <c r="L310" s="14"/>
      <c r="M310" s="6" t="s">
        <v>422</v>
      </c>
      <c r="N310" s="6" t="s">
        <v>388</v>
      </c>
      <c r="O310" s="6" t="s">
        <v>389</v>
      </c>
      <c r="P310" s="6"/>
      <c r="Q310" s="6" t="s">
        <v>583</v>
      </c>
      <c r="R310" s="12"/>
    </row>
    <row r="311" customFormat="false" ht="15" hidden="false" customHeight="true" outlineLevel="0" collapsed="false">
      <c r="A311" s="6" t="s">
        <v>1252</v>
      </c>
      <c r="B311" s="6" t="s">
        <v>183</v>
      </c>
      <c r="C311" s="6" t="s">
        <v>1253</v>
      </c>
      <c r="D311" s="6" t="s">
        <v>408</v>
      </c>
      <c r="E311" s="13" t="n">
        <v>31897</v>
      </c>
      <c r="F311" s="6" t="n">
        <v>1987</v>
      </c>
      <c r="G311" s="11" t="n">
        <f aca="true">IF(F311="","",YEAR(TODAY())-F311)</f>
        <v>39</v>
      </c>
      <c r="H311" s="11" t="str">
        <f aca="false">IF(C311="","",IF(G311="","Thiếu thông tin",IF(G311&lt;6,"Trẻ em",IF(G311&lt;23,"Học sinh / Sinh viên",IF(G311&lt;60,"Đang đi làm","Nghỉ hưu")))))</f>
        <v>Đang đi làm</v>
      </c>
      <c r="I311" s="6"/>
      <c r="J311" s="11" t="str">
        <f aca="false">IF(B311="","",IFERROR(INDEX('Hộ gia đình'!$B$2:$B$2000,MATCH(B311,'Hộ gia đình'!$A$2:$A$2000,0)),"Mã hộ không tồn tại"))</f>
        <v>8 ngách 17/2 Tạ Quang Bửu</v>
      </c>
      <c r="K311" s="14" t="s">
        <v>1254</v>
      </c>
      <c r="L311" s="14"/>
      <c r="M311" s="6" t="s">
        <v>459</v>
      </c>
      <c r="N311" s="6" t="s">
        <v>388</v>
      </c>
      <c r="O311" s="6" t="s">
        <v>389</v>
      </c>
      <c r="P311" s="6"/>
      <c r="Q311" s="6" t="s">
        <v>410</v>
      </c>
      <c r="R311" s="12"/>
    </row>
    <row r="312" customFormat="false" ht="15" hidden="false" customHeight="true" outlineLevel="0" collapsed="false">
      <c r="A312" s="6" t="s">
        <v>1255</v>
      </c>
      <c r="B312" s="6" t="s">
        <v>183</v>
      </c>
      <c r="C312" s="6" t="s">
        <v>1256</v>
      </c>
      <c r="D312" s="6" t="s">
        <v>385</v>
      </c>
      <c r="E312" s="13" t="n">
        <v>31898</v>
      </c>
      <c r="F312" s="6" t="n">
        <v>1987</v>
      </c>
      <c r="G312" s="11" t="n">
        <f aca="true">IF(F312="","",YEAR(TODAY())-F312)</f>
        <v>39</v>
      </c>
      <c r="H312" s="11" t="str">
        <f aca="false">IF(C312="","",IF(G312="","Thiếu thông tin",IF(G312&lt;6,"Trẻ em",IF(G312&lt;23,"Học sinh / Sinh viên",IF(G312&lt;60,"Đang đi làm","Nghỉ hưu")))))</f>
        <v>Đang đi làm</v>
      </c>
      <c r="I312" s="6"/>
      <c r="J312" s="11" t="str">
        <f aca="false">IF(B312="","",IFERROR(INDEX('Hộ gia đình'!$B$2:$B$2000,MATCH(B312,'Hộ gia đình'!$A$2:$A$2000,0)),"Mã hộ không tồn tại"))</f>
        <v>8 ngách 17/2 Tạ Quang Bửu</v>
      </c>
      <c r="K312" s="14" t="s">
        <v>1257</v>
      </c>
      <c r="L312" s="14"/>
      <c r="M312" s="6" t="s">
        <v>459</v>
      </c>
      <c r="N312" s="6" t="s">
        <v>388</v>
      </c>
      <c r="O312" s="6" t="s">
        <v>389</v>
      </c>
      <c r="P312" s="6"/>
      <c r="Q312" s="6" t="s">
        <v>410</v>
      </c>
      <c r="R312" s="12"/>
    </row>
    <row r="313" customFormat="false" ht="15" hidden="false" customHeight="true" outlineLevel="0" collapsed="false">
      <c r="A313" s="6" t="s">
        <v>1258</v>
      </c>
      <c r="B313" s="6" t="s">
        <v>183</v>
      </c>
      <c r="C313" s="6" t="s">
        <v>1259</v>
      </c>
      <c r="D313" s="6" t="s">
        <v>385</v>
      </c>
      <c r="E313" s="13" t="n">
        <v>38959</v>
      </c>
      <c r="F313" s="6" t="n">
        <v>2006</v>
      </c>
      <c r="G313" s="11" t="n">
        <f aca="true">IF(F313="","",YEAR(TODAY())-F313)</f>
        <v>20</v>
      </c>
      <c r="H313" s="11" t="str">
        <f aca="false">IF(C313="","",IF(G313="","Thiếu thông tin",IF(G313&lt;6,"Trẻ em",IF(G313&lt;23,"Học sinh / Sinh viên",IF(G313&lt;60,"Đang đi làm","Nghỉ hưu")))))</f>
        <v>Học sinh / Sinh viên</v>
      </c>
      <c r="I313" s="6"/>
      <c r="J313" s="11" t="str">
        <f aca="false">IF(B313="","",IFERROR(INDEX('Hộ gia đình'!$B$2:$B$2000,MATCH(B313,'Hộ gia đình'!$A$2:$A$2000,0)),"Mã hộ không tồn tại"))</f>
        <v>8 ngách 17/2 Tạ Quang Bửu</v>
      </c>
      <c r="K313" s="14" t="s">
        <v>1260</v>
      </c>
      <c r="L313" s="14"/>
      <c r="M313" s="6" t="s">
        <v>422</v>
      </c>
      <c r="N313" s="6" t="s">
        <v>388</v>
      </c>
      <c r="O313" s="6" t="s">
        <v>389</v>
      </c>
      <c r="P313" s="6"/>
      <c r="Q313" s="6" t="s">
        <v>410</v>
      </c>
      <c r="R313" s="12"/>
    </row>
    <row r="314" customFormat="false" ht="15" hidden="false" customHeight="true" outlineLevel="0" collapsed="false">
      <c r="A314" s="6" t="s">
        <v>1261</v>
      </c>
      <c r="B314" s="6" t="s">
        <v>185</v>
      </c>
      <c r="C314" s="6" t="s">
        <v>1262</v>
      </c>
      <c r="D314" s="6" t="s">
        <v>408</v>
      </c>
      <c r="E314" s="13" t="n">
        <v>17664</v>
      </c>
      <c r="F314" s="6" t="n">
        <v>1948</v>
      </c>
      <c r="G314" s="11" t="n">
        <f aca="true">IF(F314="","",YEAR(TODAY())-F314)</f>
        <v>78</v>
      </c>
      <c r="H314" s="11" t="str">
        <f aca="false">IF(C314="","",IF(G314="","Thiếu thông tin",IF(G314&lt;6,"Trẻ em",IF(G314&lt;23,"Học sinh / Sinh viên",IF(G314&lt;60,"Đang đi làm","Nghỉ hưu")))))</f>
        <v>Nghỉ hưu</v>
      </c>
      <c r="I314" s="6" t="s">
        <v>52</v>
      </c>
      <c r="J314" s="11" t="str">
        <f aca="false">IF(B314="","",IFERROR(INDEX('Hộ gia đình'!$B$2:$B$2000,MATCH(B314,'Hộ gia đình'!$A$2:$A$2000,0)),"Mã hộ không tồn tại"))</f>
        <v>10 ngách 17/2 Tạ Quang Bửu</v>
      </c>
      <c r="K314" s="14" t="s">
        <v>1263</v>
      </c>
      <c r="L314" s="14"/>
      <c r="M314" s="6" t="s">
        <v>387</v>
      </c>
      <c r="N314" s="6" t="s">
        <v>388</v>
      </c>
      <c r="O314" s="6" t="s">
        <v>389</v>
      </c>
      <c r="P314" s="6"/>
      <c r="Q314" s="6" t="s">
        <v>391</v>
      </c>
      <c r="R314" s="12"/>
    </row>
    <row r="315" customFormat="false" ht="15" hidden="false" customHeight="true" outlineLevel="0" collapsed="false">
      <c r="A315" s="6" t="s">
        <v>1264</v>
      </c>
      <c r="B315" s="6" t="s">
        <v>185</v>
      </c>
      <c r="C315" s="6" t="s">
        <v>1265</v>
      </c>
      <c r="D315" s="6" t="s">
        <v>385</v>
      </c>
      <c r="E315" s="13" t="n">
        <v>19578</v>
      </c>
      <c r="F315" s="6" t="n">
        <v>1953</v>
      </c>
      <c r="G315" s="11" t="n">
        <f aca="true">IF(F315="","",YEAR(TODAY())-F315)</f>
        <v>73</v>
      </c>
      <c r="H315" s="11" t="str">
        <f aca="false">IF(C315="","",IF(G315="","Thiếu thông tin",IF(G315&lt;6,"Trẻ em",IF(G315&lt;23,"Học sinh / Sinh viên",IF(G315&lt;60,"Đang đi làm","Nghỉ hưu")))))</f>
        <v>Nghỉ hưu</v>
      </c>
      <c r="I315" s="6"/>
      <c r="J315" s="11" t="str">
        <f aca="false">IF(B315="","",IFERROR(INDEX('Hộ gia đình'!$B$2:$B$2000,MATCH(B315,'Hộ gia đình'!$A$2:$A$2000,0)),"Mã hộ không tồn tại"))</f>
        <v>10 ngách 17/2 Tạ Quang Bửu</v>
      </c>
      <c r="K315" s="14" t="s">
        <v>1266</v>
      </c>
      <c r="L315" s="14"/>
      <c r="M315" s="6" t="s">
        <v>387</v>
      </c>
      <c r="N315" s="6" t="s">
        <v>388</v>
      </c>
      <c r="O315" s="6" t="s">
        <v>389</v>
      </c>
      <c r="P315" s="6"/>
      <c r="Q315" s="6" t="s">
        <v>391</v>
      </c>
      <c r="R315" s="12"/>
    </row>
    <row r="316" customFormat="false" ht="15" hidden="false" customHeight="true" outlineLevel="0" collapsed="false">
      <c r="A316" s="6" t="s">
        <v>1267</v>
      </c>
      <c r="B316" s="6" t="s">
        <v>185</v>
      </c>
      <c r="C316" s="6" t="s">
        <v>1268</v>
      </c>
      <c r="D316" s="6"/>
      <c r="E316" s="13"/>
      <c r="F316" s="6" t="n">
        <v>1983</v>
      </c>
      <c r="G316" s="11" t="n">
        <f aca="true">IF(F316="","",YEAR(TODAY())-F316)</f>
        <v>43</v>
      </c>
      <c r="H316" s="11" t="str">
        <f aca="false">IF(C316="","",IF(G316="","Thiếu thông tin",IF(G316&lt;6,"Trẻ em",IF(G316&lt;23,"Học sinh / Sinh viên",IF(G316&lt;60,"Đang đi làm","Nghỉ hưu")))))</f>
        <v>Đang đi làm</v>
      </c>
      <c r="I316" s="6"/>
      <c r="J316" s="11" t="str">
        <f aca="false">IF(B316="","",IFERROR(INDEX('Hộ gia đình'!$B$2:$B$2000,MATCH(B316,'Hộ gia đình'!$A$2:$A$2000,0)),"Mã hộ không tồn tại"))</f>
        <v>10 ngách 17/2 Tạ Quang Bửu</v>
      </c>
      <c r="K316" s="14"/>
      <c r="L316" s="14"/>
      <c r="M316" s="6"/>
      <c r="N316" s="6" t="s">
        <v>395</v>
      </c>
      <c r="O316" s="6" t="s">
        <v>389</v>
      </c>
      <c r="P316" s="6"/>
      <c r="Q316" s="6" t="s">
        <v>396</v>
      </c>
      <c r="R316" s="12"/>
    </row>
    <row r="317" customFormat="false" ht="15" hidden="false" customHeight="true" outlineLevel="0" collapsed="false">
      <c r="A317" s="6" t="s">
        <v>1269</v>
      </c>
      <c r="B317" s="6" t="s">
        <v>185</v>
      </c>
      <c r="C317" s="6" t="s">
        <v>1270</v>
      </c>
      <c r="D317" s="6"/>
      <c r="E317" s="13"/>
      <c r="F317" s="6" t="n">
        <v>2017</v>
      </c>
      <c r="G317" s="11" t="n">
        <f aca="true">IF(F317="","",YEAR(TODAY())-F317)</f>
        <v>9</v>
      </c>
      <c r="H317" s="11" t="str">
        <f aca="false">IF(C317="","",IF(G317="","Thiếu thông tin",IF(G317&lt;6,"Trẻ em",IF(G317&lt;23,"Học sinh / Sinh viên",IF(G317&lt;60,"Đang đi làm","Nghỉ hưu")))))</f>
        <v>Học sinh / Sinh viên</v>
      </c>
      <c r="I317" s="6"/>
      <c r="J317" s="11" t="str">
        <f aca="false">IF(B317="","",IFERROR(INDEX('Hộ gia đình'!$B$2:$B$2000,MATCH(B317,'Hộ gia đình'!$A$2:$A$2000,0)),"Mã hộ không tồn tại"))</f>
        <v>10 ngách 17/2 Tạ Quang Bửu</v>
      </c>
      <c r="K317" s="14"/>
      <c r="L317" s="14"/>
      <c r="M317" s="6"/>
      <c r="N317" s="6" t="s">
        <v>395</v>
      </c>
      <c r="O317" s="6" t="s">
        <v>389</v>
      </c>
      <c r="P317" s="6"/>
      <c r="Q317" s="6" t="s">
        <v>403</v>
      </c>
      <c r="R317" s="12"/>
    </row>
    <row r="318" customFormat="false" ht="15" hidden="false" customHeight="true" outlineLevel="0" collapsed="false">
      <c r="A318" s="6" t="s">
        <v>1271</v>
      </c>
      <c r="B318" s="6" t="s">
        <v>185</v>
      </c>
      <c r="C318" s="6" t="s">
        <v>1272</v>
      </c>
      <c r="D318" s="6"/>
      <c r="E318" s="13"/>
      <c r="F318" s="6" t="n">
        <v>1979</v>
      </c>
      <c r="G318" s="11" t="n">
        <f aca="true">IF(F318="","",YEAR(TODAY())-F318)</f>
        <v>47</v>
      </c>
      <c r="H318" s="11" t="str">
        <f aca="false">IF(C318="","",IF(G318="","Thiếu thông tin",IF(G318&lt;6,"Trẻ em",IF(G318&lt;23,"Học sinh / Sinh viên",IF(G318&lt;60,"Đang đi làm","Nghỉ hưu")))))</f>
        <v>Đang đi làm</v>
      </c>
      <c r="I318" s="6"/>
      <c r="J318" s="11" t="str">
        <f aca="false">IF(B318="","",IFERROR(INDEX('Hộ gia đình'!$B$2:$B$2000,MATCH(B318,'Hộ gia đình'!$A$2:$A$2000,0)),"Mã hộ không tồn tại"))</f>
        <v>10 ngách 17/2 Tạ Quang Bửu</v>
      </c>
      <c r="K318" s="14"/>
      <c r="L318" s="14"/>
      <c r="M318" s="6"/>
      <c r="N318" s="6" t="s">
        <v>395</v>
      </c>
      <c r="O318" s="6" t="s">
        <v>389</v>
      </c>
      <c r="P318" s="6"/>
      <c r="Q318" s="6" t="s">
        <v>396</v>
      </c>
      <c r="R318" s="12"/>
    </row>
    <row r="319" customFormat="false" ht="15" hidden="false" customHeight="true" outlineLevel="0" collapsed="false">
      <c r="A319" s="6" t="s">
        <v>1273</v>
      </c>
      <c r="B319" s="6" t="s">
        <v>185</v>
      </c>
      <c r="C319" s="6" t="s">
        <v>1274</v>
      </c>
      <c r="D319" s="6"/>
      <c r="E319" s="13"/>
      <c r="F319" s="6" t="n">
        <v>2009</v>
      </c>
      <c r="G319" s="11" t="n">
        <f aca="true">IF(F319="","",YEAR(TODAY())-F319)</f>
        <v>17</v>
      </c>
      <c r="H319" s="11" t="str">
        <f aca="false">IF(C319="","",IF(G319="","Thiếu thông tin",IF(G319&lt;6,"Trẻ em",IF(G319&lt;23,"Học sinh / Sinh viên",IF(G319&lt;60,"Đang đi làm","Nghỉ hưu")))))</f>
        <v>Học sinh / Sinh viên</v>
      </c>
      <c r="I319" s="6"/>
      <c r="J319" s="11" t="str">
        <f aca="false">IF(B319="","",IFERROR(INDEX('Hộ gia đình'!$B$2:$B$2000,MATCH(B319,'Hộ gia đình'!$A$2:$A$2000,0)),"Mã hộ không tồn tại"))</f>
        <v>10 ngách 17/2 Tạ Quang Bửu</v>
      </c>
      <c r="K319" s="14"/>
      <c r="L319" s="14"/>
      <c r="M319" s="6"/>
      <c r="N319" s="6" t="s">
        <v>395</v>
      </c>
      <c r="O319" s="6" t="s">
        <v>389</v>
      </c>
      <c r="P319" s="6"/>
      <c r="Q319" s="6" t="s">
        <v>403</v>
      </c>
      <c r="R319" s="12"/>
    </row>
    <row r="320" customFormat="false" ht="15" hidden="false" customHeight="true" outlineLevel="0" collapsed="false">
      <c r="A320" s="6" t="s">
        <v>1275</v>
      </c>
      <c r="B320" s="6" t="s">
        <v>185</v>
      </c>
      <c r="C320" s="6" t="s">
        <v>1276</v>
      </c>
      <c r="D320" s="6"/>
      <c r="E320" s="13"/>
      <c r="F320" s="6" t="n">
        <v>2014</v>
      </c>
      <c r="G320" s="11" t="n">
        <f aca="true">IF(F320="","",YEAR(TODAY())-F320)</f>
        <v>12</v>
      </c>
      <c r="H320" s="11" t="str">
        <f aca="false">IF(C320="","",IF(G320="","Thiếu thông tin",IF(G320&lt;6,"Trẻ em",IF(G320&lt;23,"Học sinh / Sinh viên",IF(G320&lt;60,"Đang đi làm","Nghỉ hưu")))))</f>
        <v>Học sinh / Sinh viên</v>
      </c>
      <c r="I320" s="6"/>
      <c r="J320" s="11" t="str">
        <f aca="false">IF(B320="","",IFERROR(INDEX('Hộ gia đình'!$B$2:$B$2000,MATCH(B320,'Hộ gia đình'!$A$2:$A$2000,0)),"Mã hộ không tồn tại"))</f>
        <v>10 ngách 17/2 Tạ Quang Bửu</v>
      </c>
      <c r="K320" s="14"/>
      <c r="L320" s="14"/>
      <c r="M320" s="6"/>
      <c r="N320" s="6" t="s">
        <v>395</v>
      </c>
      <c r="O320" s="6" t="s">
        <v>389</v>
      </c>
      <c r="P320" s="6"/>
      <c r="Q320" s="6" t="s">
        <v>403</v>
      </c>
      <c r="R320" s="12"/>
    </row>
    <row r="321" customFormat="false" ht="15" hidden="false" customHeight="true" outlineLevel="0" collapsed="false">
      <c r="A321" s="6" t="s">
        <v>1277</v>
      </c>
      <c r="B321" s="6" t="s">
        <v>187</v>
      </c>
      <c r="C321" s="6" t="s">
        <v>1278</v>
      </c>
      <c r="D321" s="6" t="s">
        <v>408</v>
      </c>
      <c r="E321" s="13" t="n">
        <v>22474</v>
      </c>
      <c r="F321" s="6" t="n">
        <v>1961</v>
      </c>
      <c r="G321" s="11" t="n">
        <f aca="true">IF(F321="","",YEAR(TODAY())-F321)</f>
        <v>65</v>
      </c>
      <c r="H321" s="11" t="str">
        <f aca="false">IF(C321="","",IF(G321="","Thiếu thông tin",IF(G321&lt;6,"Trẻ em",IF(G321&lt;23,"Học sinh / Sinh viên",IF(G321&lt;60,"Đang đi làm","Nghỉ hưu")))))</f>
        <v>Nghỉ hưu</v>
      </c>
      <c r="I321" s="6" t="s">
        <v>52</v>
      </c>
      <c r="J321" s="11" t="str">
        <f aca="false">IF(B321="","",IFERROR(INDEX('Hộ gia đình'!$B$2:$B$2000,MATCH(B321,'Hộ gia đình'!$A$2:$A$2000,0)),"Mã hộ không tồn tại"))</f>
        <v>14 ngách 17/2 Tạ Quang Bửu</v>
      </c>
      <c r="K321" s="14" t="s">
        <v>1279</v>
      </c>
      <c r="L321" s="14"/>
      <c r="M321" s="6" t="s">
        <v>387</v>
      </c>
      <c r="N321" s="6" t="s">
        <v>388</v>
      </c>
      <c r="O321" s="6" t="s">
        <v>389</v>
      </c>
      <c r="P321" s="6"/>
      <c r="Q321" s="6" t="s">
        <v>391</v>
      </c>
      <c r="R321" s="12"/>
    </row>
    <row r="322" customFormat="false" ht="15" hidden="false" customHeight="true" outlineLevel="0" collapsed="false">
      <c r="A322" s="6" t="s">
        <v>1280</v>
      </c>
      <c r="B322" s="6" t="s">
        <v>187</v>
      </c>
      <c r="C322" s="6" t="s">
        <v>1281</v>
      </c>
      <c r="D322" s="6" t="s">
        <v>385</v>
      </c>
      <c r="E322" s="13" t="n">
        <v>22605</v>
      </c>
      <c r="F322" s="6" t="n">
        <v>1961</v>
      </c>
      <c r="G322" s="11" t="n">
        <f aca="true">IF(F322="","",YEAR(TODAY())-F322)</f>
        <v>65</v>
      </c>
      <c r="H322" s="11" t="str">
        <f aca="false">IF(C322="","",IF(G322="","Thiếu thông tin",IF(G322&lt;6,"Trẻ em",IF(G322&lt;23,"Học sinh / Sinh viên",IF(G322&lt;60,"Đang đi làm","Nghỉ hưu")))))</f>
        <v>Nghỉ hưu</v>
      </c>
      <c r="I322" s="6"/>
      <c r="J322" s="11" t="str">
        <f aca="false">IF(B322="","",IFERROR(INDEX('Hộ gia đình'!$B$2:$B$2000,MATCH(B322,'Hộ gia đình'!$A$2:$A$2000,0)),"Mã hộ không tồn tại"))</f>
        <v>14 ngách 17/2 Tạ Quang Bửu</v>
      </c>
      <c r="K322" s="14" t="s">
        <v>1282</v>
      </c>
      <c r="L322" s="14"/>
      <c r="M322" s="6" t="s">
        <v>387</v>
      </c>
      <c r="N322" s="6" t="s">
        <v>388</v>
      </c>
      <c r="O322" s="6" t="s">
        <v>389</v>
      </c>
      <c r="P322" s="6"/>
      <c r="Q322" s="6" t="s">
        <v>391</v>
      </c>
      <c r="R322" s="12"/>
    </row>
    <row r="323" customFormat="false" ht="15" hidden="false" customHeight="true" outlineLevel="0" collapsed="false">
      <c r="A323" s="6" t="s">
        <v>1283</v>
      </c>
      <c r="B323" s="6" t="s">
        <v>187</v>
      </c>
      <c r="C323" s="6" t="s">
        <v>1284</v>
      </c>
      <c r="D323" s="6" t="s">
        <v>408</v>
      </c>
      <c r="E323" s="13" t="n">
        <v>35355</v>
      </c>
      <c r="F323" s="6" t="n">
        <v>1996</v>
      </c>
      <c r="G323" s="11" t="n">
        <f aca="true">IF(F323="","",YEAR(TODAY())-F323)</f>
        <v>30</v>
      </c>
      <c r="H323" s="11" t="str">
        <f aca="false">IF(C323="","",IF(G323="","Thiếu thông tin",IF(G323&lt;6,"Trẻ em",IF(G323&lt;23,"Học sinh / Sinh viên",IF(G323&lt;60,"Đang đi làm","Nghỉ hưu")))))</f>
        <v>Đang đi làm</v>
      </c>
      <c r="I323" s="6"/>
      <c r="J323" s="11" t="str">
        <f aca="false">IF(B323="","",IFERROR(INDEX('Hộ gia đình'!$B$2:$B$2000,MATCH(B323,'Hộ gia đình'!$A$2:$A$2000,0)),"Mã hộ không tồn tại"))</f>
        <v>14 ngách 17/2 Tạ Quang Bửu</v>
      </c>
      <c r="K323" s="14" t="s">
        <v>1285</v>
      </c>
      <c r="L323" s="14"/>
      <c r="M323" s="6" t="s">
        <v>459</v>
      </c>
      <c r="N323" s="6" t="s">
        <v>388</v>
      </c>
      <c r="O323" s="6" t="s">
        <v>389</v>
      </c>
      <c r="P323" s="6"/>
      <c r="Q323" s="6" t="s">
        <v>583</v>
      </c>
      <c r="R323" s="12"/>
    </row>
    <row r="324" customFormat="false" ht="15" hidden="false" customHeight="true" outlineLevel="0" collapsed="false">
      <c r="A324" s="6" t="s">
        <v>1286</v>
      </c>
      <c r="B324" s="6" t="s">
        <v>187</v>
      </c>
      <c r="C324" s="6" t="s">
        <v>1287</v>
      </c>
      <c r="D324" s="6" t="s">
        <v>408</v>
      </c>
      <c r="E324" s="13" t="n">
        <v>30713</v>
      </c>
      <c r="F324" s="6" t="n">
        <v>1984</v>
      </c>
      <c r="G324" s="11" t="n">
        <f aca="true">IF(F324="","",YEAR(TODAY())-F324)</f>
        <v>42</v>
      </c>
      <c r="H324" s="11" t="str">
        <f aca="false">IF(C324="","",IF(G324="","Thiếu thông tin",IF(G324&lt;6,"Trẻ em",IF(G324&lt;23,"Học sinh / Sinh viên",IF(G324&lt;60,"Đang đi làm","Nghỉ hưu")))))</f>
        <v>Đang đi làm</v>
      </c>
      <c r="I324" s="6"/>
      <c r="J324" s="11" t="str">
        <f aca="false">IF(B324="","",IFERROR(INDEX('Hộ gia đình'!$B$2:$B$2000,MATCH(B324,'Hộ gia đình'!$A$2:$A$2000,0)),"Mã hộ không tồn tại"))</f>
        <v>14 ngách 17/2 Tạ Quang Bửu</v>
      </c>
      <c r="K324" s="14" t="s">
        <v>1288</v>
      </c>
      <c r="L324" s="14"/>
      <c r="M324" s="6" t="s">
        <v>459</v>
      </c>
      <c r="N324" s="6" t="s">
        <v>388</v>
      </c>
      <c r="O324" s="6" t="s">
        <v>389</v>
      </c>
      <c r="P324" s="6"/>
      <c r="Q324" s="6" t="s">
        <v>391</v>
      </c>
      <c r="R324" s="12"/>
    </row>
    <row r="325" customFormat="false" ht="15" hidden="false" customHeight="true" outlineLevel="0" collapsed="false">
      <c r="A325" s="6" t="s">
        <v>1289</v>
      </c>
      <c r="B325" s="6" t="s">
        <v>187</v>
      </c>
      <c r="C325" s="6" t="s">
        <v>1290</v>
      </c>
      <c r="D325" s="6" t="s">
        <v>385</v>
      </c>
      <c r="E325" s="13" t="n">
        <v>32734</v>
      </c>
      <c r="F325" s="6" t="n">
        <v>1989</v>
      </c>
      <c r="G325" s="11" t="n">
        <f aca="true">IF(F325="","",YEAR(TODAY())-F325)</f>
        <v>37</v>
      </c>
      <c r="H325" s="11" t="str">
        <f aca="false">IF(C325="","",IF(G325="","Thiếu thông tin",IF(G325&lt;6,"Trẻ em",IF(G325&lt;23,"Học sinh / Sinh viên",IF(G325&lt;60,"Đang đi làm","Nghỉ hưu")))))</f>
        <v>Đang đi làm</v>
      </c>
      <c r="I325" s="6"/>
      <c r="J325" s="11" t="str">
        <f aca="false">IF(B325="","",IFERROR(INDEX('Hộ gia đình'!$B$2:$B$2000,MATCH(B325,'Hộ gia đình'!$A$2:$A$2000,0)),"Mã hộ không tồn tại"))</f>
        <v>14 ngách 17/2 Tạ Quang Bửu</v>
      </c>
      <c r="K325" s="14" t="s">
        <v>1291</v>
      </c>
      <c r="L325" s="14"/>
      <c r="M325" s="6" t="s">
        <v>459</v>
      </c>
      <c r="N325" s="6" t="s">
        <v>388</v>
      </c>
      <c r="O325" s="6" t="s">
        <v>389</v>
      </c>
      <c r="P325" s="6" t="s">
        <v>1292</v>
      </c>
      <c r="Q325" s="6" t="s">
        <v>391</v>
      </c>
      <c r="R325" s="12"/>
    </row>
    <row r="326" customFormat="false" ht="15" hidden="false" customHeight="true" outlineLevel="0" collapsed="false">
      <c r="A326" s="6" t="s">
        <v>1293</v>
      </c>
      <c r="B326" s="6" t="s">
        <v>187</v>
      </c>
      <c r="C326" s="6" t="s">
        <v>1294</v>
      </c>
      <c r="D326" s="6" t="s">
        <v>385</v>
      </c>
      <c r="E326" s="13" t="n">
        <v>40544</v>
      </c>
      <c r="F326" s="6" t="n">
        <v>2011</v>
      </c>
      <c r="G326" s="11" t="n">
        <f aca="true">IF(F326="","",YEAR(TODAY())-F326)</f>
        <v>15</v>
      </c>
      <c r="H326" s="11" t="str">
        <f aca="false">IF(C326="","",IF(G326="","Thiếu thông tin",IF(G326&lt;6,"Trẻ em",IF(G326&lt;23,"Học sinh / Sinh viên",IF(G326&lt;60,"Đang đi làm","Nghỉ hưu")))))</f>
        <v>Học sinh / Sinh viên</v>
      </c>
      <c r="I326" s="6"/>
      <c r="J326" s="11" t="str">
        <f aca="false">IF(B326="","",IFERROR(INDEX('Hộ gia đình'!$B$2:$B$2000,MATCH(B326,'Hộ gia đình'!$A$2:$A$2000,0)),"Mã hộ không tồn tại"))</f>
        <v>14 ngách 17/2 Tạ Quang Bửu</v>
      </c>
      <c r="K326" s="14"/>
      <c r="L326" s="14"/>
      <c r="M326" s="6"/>
      <c r="N326" s="6" t="s">
        <v>395</v>
      </c>
      <c r="O326" s="6" t="s">
        <v>389</v>
      </c>
      <c r="P326" s="6"/>
      <c r="Q326" s="6" t="s">
        <v>396</v>
      </c>
      <c r="R326" s="12"/>
    </row>
    <row r="327" customFormat="false" ht="15" hidden="false" customHeight="true" outlineLevel="0" collapsed="false">
      <c r="A327" s="6" t="s">
        <v>1295</v>
      </c>
      <c r="B327" s="6" t="s">
        <v>187</v>
      </c>
      <c r="C327" s="6" t="s">
        <v>1296</v>
      </c>
      <c r="D327" s="6" t="s">
        <v>408</v>
      </c>
      <c r="E327" s="13" t="n">
        <v>43307</v>
      </c>
      <c r="F327" s="6" t="n">
        <v>2018</v>
      </c>
      <c r="G327" s="11" t="n">
        <f aca="true">IF(F327="","",YEAR(TODAY())-F327)</f>
        <v>8</v>
      </c>
      <c r="H327" s="11" t="str">
        <f aca="false">IF(C327="","",IF(G327="","Thiếu thông tin",IF(G327&lt;6,"Trẻ em",IF(G327&lt;23,"Học sinh / Sinh viên",IF(G327&lt;60,"Đang đi làm","Nghỉ hưu")))))</f>
        <v>Học sinh / Sinh viên</v>
      </c>
      <c r="I327" s="6"/>
      <c r="J327" s="11" t="str">
        <f aca="false">IF(B327="","",IFERROR(INDEX('Hộ gia đình'!$B$2:$B$2000,MATCH(B327,'Hộ gia đình'!$A$2:$A$2000,0)),"Mã hộ không tồn tại"))</f>
        <v>14 ngách 17/2 Tạ Quang Bửu</v>
      </c>
      <c r="K327" s="14"/>
      <c r="L327" s="14"/>
      <c r="M327" s="6"/>
      <c r="N327" s="6" t="s">
        <v>395</v>
      </c>
      <c r="O327" s="6" t="s">
        <v>389</v>
      </c>
      <c r="P327" s="6"/>
      <c r="Q327" s="6" t="s">
        <v>396</v>
      </c>
      <c r="R327" s="12"/>
    </row>
    <row r="328" customFormat="false" ht="15" hidden="false" customHeight="true" outlineLevel="0" collapsed="false">
      <c r="A328" s="6" t="s">
        <v>1297</v>
      </c>
      <c r="B328" s="6" t="s">
        <v>190</v>
      </c>
      <c r="C328" s="6" t="s">
        <v>1298</v>
      </c>
      <c r="D328" s="6" t="s">
        <v>385</v>
      </c>
      <c r="E328" s="13" t="n">
        <v>17566</v>
      </c>
      <c r="F328" s="6" t="n">
        <v>1948</v>
      </c>
      <c r="G328" s="11" t="n">
        <f aca="true">IF(F328="","",YEAR(TODAY())-F328)</f>
        <v>78</v>
      </c>
      <c r="H328" s="11" t="str">
        <f aca="false">IF(C328="","",IF(G328="","Thiếu thông tin",IF(G328&lt;6,"Trẻ em",IF(G328&lt;23,"Học sinh / Sinh viên",IF(G328&lt;60,"Đang đi làm","Nghỉ hưu")))))</f>
        <v>Nghỉ hưu</v>
      </c>
      <c r="I328" s="6" t="s">
        <v>52</v>
      </c>
      <c r="J328" s="11" t="str">
        <f aca="false">IF(B328="","",IFERROR(INDEX('Hộ gia đình'!$B$2:$B$2000,MATCH(B328,'Hộ gia đình'!$A$2:$A$2000,0)),"Mã hộ không tồn tại"))</f>
        <v>18 ngách 17/2 Tạ Quang Bửu</v>
      </c>
      <c r="K328" s="14" t="s">
        <v>1299</v>
      </c>
      <c r="L328" s="14"/>
      <c r="M328" s="6" t="s">
        <v>451</v>
      </c>
      <c r="N328" s="6" t="s">
        <v>388</v>
      </c>
      <c r="O328" s="6" t="s">
        <v>389</v>
      </c>
      <c r="P328" s="6"/>
      <c r="Q328" s="6" t="s">
        <v>391</v>
      </c>
      <c r="R328" s="12"/>
    </row>
    <row r="329" customFormat="false" ht="15" hidden="false" customHeight="true" outlineLevel="0" collapsed="false">
      <c r="A329" s="6" t="s">
        <v>1300</v>
      </c>
      <c r="B329" s="6" t="s">
        <v>192</v>
      </c>
      <c r="C329" s="6" t="s">
        <v>1301</v>
      </c>
      <c r="D329" s="6" t="s">
        <v>408</v>
      </c>
      <c r="E329" s="13" t="n">
        <v>28102</v>
      </c>
      <c r="F329" s="6" t="n">
        <v>1976</v>
      </c>
      <c r="G329" s="11" t="n">
        <f aca="true">IF(F329="","",YEAR(TODAY())-F329)</f>
        <v>50</v>
      </c>
      <c r="H329" s="11" t="str">
        <f aca="false">IF(C329="","",IF(G329="","Thiếu thông tin",IF(G329&lt;6,"Trẻ em",IF(G329&lt;23,"Học sinh / Sinh viên",IF(G329&lt;60,"Đang đi làm","Nghỉ hưu")))))</f>
        <v>Đang đi làm</v>
      </c>
      <c r="I329" s="6" t="s">
        <v>52</v>
      </c>
      <c r="J329" s="11" t="str">
        <f aca="false">IF(B329="","",IFERROR(INDEX('Hộ gia đình'!$B$2:$B$2000,MATCH(B329,'Hộ gia đình'!$A$2:$A$2000,0)),"Mã hộ không tồn tại"))</f>
        <v>18 ngách 17/2 Tạ Quang Bửu</v>
      </c>
      <c r="K329" s="14" t="s">
        <v>1302</v>
      </c>
      <c r="L329" s="14"/>
      <c r="M329" s="6" t="s">
        <v>1303</v>
      </c>
      <c r="N329" s="6" t="s">
        <v>388</v>
      </c>
      <c r="O329" s="6" t="s">
        <v>389</v>
      </c>
      <c r="P329" s="6"/>
      <c r="Q329" s="6" t="s">
        <v>391</v>
      </c>
      <c r="R329" s="12" t="s">
        <v>1304</v>
      </c>
    </row>
    <row r="330" customFormat="false" ht="15" hidden="false" customHeight="true" outlineLevel="0" collapsed="false">
      <c r="A330" s="6" t="s">
        <v>1305</v>
      </c>
      <c r="B330" s="6" t="s">
        <v>192</v>
      </c>
      <c r="C330" s="6" t="s">
        <v>1306</v>
      </c>
      <c r="D330" s="6" t="s">
        <v>385</v>
      </c>
      <c r="E330" s="13" t="n">
        <v>33503</v>
      </c>
      <c r="F330" s="6" t="n">
        <v>1991</v>
      </c>
      <c r="G330" s="11" t="n">
        <f aca="true">IF(F330="","",YEAR(TODAY())-F330)</f>
        <v>35</v>
      </c>
      <c r="H330" s="11" t="str">
        <f aca="false">IF(C330="","",IF(G330="","Thiếu thông tin",IF(G330&lt;6,"Trẻ em",IF(G330&lt;23,"Học sinh / Sinh viên",IF(G330&lt;60,"Đang đi làm","Nghỉ hưu")))))</f>
        <v>Đang đi làm</v>
      </c>
      <c r="I330" s="6"/>
      <c r="J330" s="11" t="str">
        <f aca="false">IF(B330="","",IFERROR(INDEX('Hộ gia đình'!$B$2:$B$2000,MATCH(B330,'Hộ gia đình'!$A$2:$A$2000,0)),"Mã hộ không tồn tại"))</f>
        <v>18 ngách 17/2 Tạ Quang Bửu</v>
      </c>
      <c r="K330" s="14"/>
      <c r="L330" s="14"/>
      <c r="M330" s="6"/>
      <c r="N330" s="6" t="s">
        <v>395</v>
      </c>
      <c r="O330" s="6" t="s">
        <v>389</v>
      </c>
      <c r="P330" s="6"/>
      <c r="Q330" s="6" t="s">
        <v>396</v>
      </c>
      <c r="R330" s="12"/>
    </row>
    <row r="331" customFormat="false" ht="15" hidden="false" customHeight="true" outlineLevel="0" collapsed="false">
      <c r="A331" s="6" t="s">
        <v>1307</v>
      </c>
      <c r="B331" s="6" t="s">
        <v>192</v>
      </c>
      <c r="C331" s="6" t="s">
        <v>1308</v>
      </c>
      <c r="D331" s="6" t="s">
        <v>408</v>
      </c>
      <c r="E331" s="13" t="n">
        <v>41741</v>
      </c>
      <c r="F331" s="6" t="n">
        <v>2014</v>
      </c>
      <c r="G331" s="11" t="n">
        <f aca="true">IF(F331="","",YEAR(TODAY())-F331)</f>
        <v>12</v>
      </c>
      <c r="H331" s="11" t="str">
        <f aca="false">IF(C331="","",IF(G331="","Thiếu thông tin",IF(G331&lt;6,"Trẻ em",IF(G331&lt;23,"Học sinh / Sinh viên",IF(G331&lt;60,"Đang đi làm","Nghỉ hưu")))))</f>
        <v>Học sinh / Sinh viên</v>
      </c>
      <c r="I331" s="6"/>
      <c r="J331" s="11" t="str">
        <f aca="false">IF(B331="","",IFERROR(INDEX('Hộ gia đình'!$B$2:$B$2000,MATCH(B331,'Hộ gia đình'!$A$2:$A$2000,0)),"Mã hộ không tồn tại"))</f>
        <v>18 ngách 17/2 Tạ Quang Bửu</v>
      </c>
      <c r="K331" s="14"/>
      <c r="L331" s="14"/>
      <c r="M331" s="6"/>
      <c r="N331" s="6" t="s">
        <v>395</v>
      </c>
      <c r="O331" s="6" t="s">
        <v>389</v>
      </c>
      <c r="P331" s="6"/>
      <c r="Q331" s="6" t="s">
        <v>403</v>
      </c>
      <c r="R331" s="12" t="s">
        <v>1309</v>
      </c>
    </row>
    <row r="332" customFormat="false" ht="15" hidden="false" customHeight="true" outlineLevel="0" collapsed="false">
      <c r="A332" s="6" t="s">
        <v>1310</v>
      </c>
      <c r="B332" s="6" t="s">
        <v>192</v>
      </c>
      <c r="C332" s="6" t="s">
        <v>1311</v>
      </c>
      <c r="D332" s="6" t="s">
        <v>408</v>
      </c>
      <c r="E332" s="13" t="n">
        <v>43391</v>
      </c>
      <c r="F332" s="6" t="n">
        <v>2018</v>
      </c>
      <c r="G332" s="11" t="n">
        <f aca="true">IF(F332="","",YEAR(TODAY())-F332)</f>
        <v>8</v>
      </c>
      <c r="H332" s="11" t="str">
        <f aca="false">IF(C332="","",IF(G332="","Thiếu thông tin",IF(G332&lt;6,"Trẻ em",IF(G332&lt;23,"Học sinh / Sinh viên",IF(G332&lt;60,"Đang đi làm","Nghỉ hưu")))))</f>
        <v>Học sinh / Sinh viên</v>
      </c>
      <c r="I332" s="6"/>
      <c r="J332" s="11" t="str">
        <f aca="false">IF(B332="","",IFERROR(INDEX('Hộ gia đình'!$B$2:$B$2000,MATCH(B332,'Hộ gia đình'!$A$2:$A$2000,0)),"Mã hộ không tồn tại"))</f>
        <v>18 ngách 17/2 Tạ Quang Bửu</v>
      </c>
      <c r="K332" s="14"/>
      <c r="L332" s="14"/>
      <c r="M332" s="6"/>
      <c r="N332" s="6" t="s">
        <v>395</v>
      </c>
      <c r="O332" s="6" t="s">
        <v>389</v>
      </c>
      <c r="P332" s="6"/>
      <c r="Q332" s="6" t="s">
        <v>403</v>
      </c>
      <c r="R332" s="12"/>
    </row>
    <row r="333" customFormat="false" ht="15" hidden="false" customHeight="true" outlineLevel="0" collapsed="false">
      <c r="A333" s="6" t="s">
        <v>1312</v>
      </c>
      <c r="B333" s="6" t="s">
        <v>192</v>
      </c>
      <c r="C333" s="6" t="s">
        <v>1313</v>
      </c>
      <c r="D333" s="6" t="s">
        <v>408</v>
      </c>
      <c r="E333" s="13" t="n">
        <v>44853</v>
      </c>
      <c r="F333" s="6" t="n">
        <v>2022</v>
      </c>
      <c r="G333" s="11" t="n">
        <f aca="true">IF(F333="","",YEAR(TODAY())-F333)</f>
        <v>4</v>
      </c>
      <c r="H333" s="11" t="str">
        <f aca="false">IF(C333="","",IF(G333="","Thiếu thông tin",IF(G333&lt;6,"Trẻ em",IF(G333&lt;23,"Học sinh / Sinh viên",IF(G333&lt;60,"Đang đi làm","Nghỉ hưu")))))</f>
        <v>Trẻ em</v>
      </c>
      <c r="I333" s="6"/>
      <c r="J333" s="11" t="str">
        <f aca="false">IF(B333="","",IFERROR(INDEX('Hộ gia đình'!$B$2:$B$2000,MATCH(B333,'Hộ gia đình'!$A$2:$A$2000,0)),"Mã hộ không tồn tại"))</f>
        <v>18 ngách 17/2 Tạ Quang Bửu</v>
      </c>
      <c r="K333" s="14"/>
      <c r="L333" s="14"/>
      <c r="M333" s="6"/>
      <c r="N333" s="6" t="s">
        <v>395</v>
      </c>
      <c r="O333" s="6" t="s">
        <v>389</v>
      </c>
      <c r="P333" s="6"/>
      <c r="Q333" s="6" t="s">
        <v>403</v>
      </c>
      <c r="R333" s="12"/>
    </row>
    <row r="334" customFormat="false" ht="15" hidden="false" customHeight="true" outlineLevel="0" collapsed="false">
      <c r="A334" s="6" t="s">
        <v>1314</v>
      </c>
      <c r="B334" s="6" t="s">
        <v>192</v>
      </c>
      <c r="C334" s="6" t="s">
        <v>1315</v>
      </c>
      <c r="D334" s="6" t="s">
        <v>385</v>
      </c>
      <c r="E334" s="13" t="n">
        <v>27264</v>
      </c>
      <c r="F334" s="6" t="n">
        <v>1974</v>
      </c>
      <c r="G334" s="11" t="n">
        <f aca="true">IF(F334="","",YEAR(TODAY())-F334)</f>
        <v>52</v>
      </c>
      <c r="H334" s="11" t="str">
        <f aca="false">IF(C334="","",IF(G334="","Thiếu thông tin",IF(G334&lt;6,"Trẻ em",IF(G334&lt;23,"Học sinh / Sinh viên",IF(G334&lt;60,"Đang đi làm","Nghỉ hưu")))))</f>
        <v>Đang đi làm</v>
      </c>
      <c r="I334" s="6"/>
      <c r="J334" s="11" t="str">
        <f aca="false">IF(B334="","",IFERROR(INDEX('Hộ gia đình'!$B$2:$B$2000,MATCH(B334,'Hộ gia đình'!$A$2:$A$2000,0)),"Mã hộ không tồn tại"))</f>
        <v>18 ngách 17/2 Tạ Quang Bửu</v>
      </c>
      <c r="K334" s="14" t="s">
        <v>1316</v>
      </c>
      <c r="L334" s="14"/>
      <c r="M334" s="6" t="s">
        <v>459</v>
      </c>
      <c r="N334" s="6" t="s">
        <v>388</v>
      </c>
      <c r="O334" s="6" t="s">
        <v>389</v>
      </c>
      <c r="P334" s="6"/>
      <c r="Q334" s="6" t="s">
        <v>391</v>
      </c>
      <c r="R334" s="12"/>
    </row>
    <row r="335" customFormat="false" ht="15" hidden="false" customHeight="true" outlineLevel="0" collapsed="false">
      <c r="A335" s="6" t="s">
        <v>1317</v>
      </c>
      <c r="B335" s="6" t="s">
        <v>192</v>
      </c>
      <c r="C335" s="6" t="s">
        <v>1318</v>
      </c>
      <c r="D335" s="6" t="s">
        <v>385</v>
      </c>
      <c r="E335" s="13" t="n">
        <v>36873</v>
      </c>
      <c r="F335" s="6" t="n">
        <v>2000</v>
      </c>
      <c r="G335" s="11" t="n">
        <f aca="true">IF(F335="","",YEAR(TODAY())-F335)</f>
        <v>26</v>
      </c>
      <c r="H335" s="11" t="str">
        <f aca="false">IF(C335="","",IF(G335="","Thiếu thông tin",IF(G335&lt;6,"Trẻ em",IF(G335&lt;23,"Học sinh / Sinh viên",IF(G335&lt;60,"Đang đi làm","Nghỉ hưu")))))</f>
        <v>Đang đi làm</v>
      </c>
      <c r="I335" s="6"/>
      <c r="J335" s="11" t="str">
        <f aca="false">IF(B335="","",IFERROR(INDEX('Hộ gia đình'!$B$2:$B$2000,MATCH(B335,'Hộ gia đình'!$A$2:$A$2000,0)),"Mã hộ không tồn tại"))</f>
        <v>18 ngách 17/2 Tạ Quang Bửu</v>
      </c>
      <c r="K335" s="14" t="s">
        <v>1319</v>
      </c>
      <c r="L335" s="14"/>
      <c r="M335" s="6" t="s">
        <v>422</v>
      </c>
      <c r="N335" s="6" t="s">
        <v>388</v>
      </c>
      <c r="O335" s="6" t="s">
        <v>389</v>
      </c>
      <c r="P335" s="6"/>
      <c r="Q335" s="6" t="s">
        <v>391</v>
      </c>
      <c r="R335" s="12" t="s">
        <v>1320</v>
      </c>
    </row>
    <row r="336" customFormat="false" ht="15" hidden="false" customHeight="true" outlineLevel="0" collapsed="false">
      <c r="A336" s="6" t="s">
        <v>1321</v>
      </c>
      <c r="B336" s="6" t="s">
        <v>192</v>
      </c>
      <c r="C336" s="6" t="s">
        <v>1322</v>
      </c>
      <c r="D336" s="6" t="s">
        <v>385</v>
      </c>
      <c r="E336" s="13" t="n">
        <v>39778</v>
      </c>
      <c r="F336" s="6" t="n">
        <v>2008</v>
      </c>
      <c r="G336" s="11" t="n">
        <f aca="true">IF(F336="","",YEAR(TODAY())-F336)</f>
        <v>18</v>
      </c>
      <c r="H336" s="11" t="str">
        <f aca="false">IF(C336="","",IF(G336="","Thiếu thông tin",IF(G336&lt;6,"Trẻ em",IF(G336&lt;23,"Học sinh / Sinh viên",IF(G336&lt;60,"Đang đi làm","Nghỉ hưu")))))</f>
        <v>Học sinh / Sinh viên</v>
      </c>
      <c r="I336" s="6"/>
      <c r="J336" s="11" t="str">
        <f aca="false">IF(B336="","",IFERROR(INDEX('Hộ gia đình'!$B$2:$B$2000,MATCH(B336,'Hộ gia đình'!$A$2:$A$2000,0)),"Mã hộ không tồn tại"))</f>
        <v>18 ngách 17/2 Tạ Quang Bửu</v>
      </c>
      <c r="K336" s="14"/>
      <c r="L336" s="14"/>
      <c r="M336" s="6"/>
      <c r="N336" s="6" t="s">
        <v>395</v>
      </c>
      <c r="O336" s="6" t="s">
        <v>389</v>
      </c>
      <c r="P336" s="6"/>
      <c r="Q336" s="6" t="s">
        <v>396</v>
      </c>
      <c r="R336" s="12"/>
    </row>
    <row r="337" customFormat="false" ht="15" hidden="false" customHeight="true" outlineLevel="0" collapsed="false">
      <c r="A337" s="6" t="s">
        <v>1323</v>
      </c>
      <c r="B337" s="6" t="s">
        <v>193</v>
      </c>
      <c r="C337" s="6" t="s">
        <v>1324</v>
      </c>
      <c r="D337" s="6" t="s">
        <v>385</v>
      </c>
      <c r="E337" s="13" t="n">
        <v>26167</v>
      </c>
      <c r="F337" s="6" t="n">
        <v>1971</v>
      </c>
      <c r="G337" s="11" t="n">
        <f aca="true">IF(F337="","",YEAR(TODAY())-F337)</f>
        <v>55</v>
      </c>
      <c r="H337" s="11" t="str">
        <f aca="false">IF(C337="","",IF(G337="","Thiếu thông tin",IF(G337&lt;6,"Trẻ em",IF(G337&lt;23,"Học sinh / Sinh viên",IF(G337&lt;60,"Đang đi làm","Nghỉ hưu")))))</f>
        <v>Đang đi làm</v>
      </c>
      <c r="I337" s="6" t="s">
        <v>52</v>
      </c>
      <c r="J337" s="11" t="str">
        <f aca="false">IF(B337="","",IFERROR(INDEX('Hộ gia đình'!$B$2:$B$2000,MATCH(B337,'Hộ gia đình'!$A$2:$A$2000,0)),"Mã hộ không tồn tại"))</f>
        <v>20 ngách 17/2 Tạ Quang Bửu</v>
      </c>
      <c r="K337" s="14" t="s">
        <v>1325</v>
      </c>
      <c r="L337" s="14"/>
      <c r="M337" s="6" t="s">
        <v>459</v>
      </c>
      <c r="N337" s="6" t="s">
        <v>388</v>
      </c>
      <c r="O337" s="6" t="s">
        <v>389</v>
      </c>
      <c r="P337" s="6"/>
      <c r="Q337" s="6" t="s">
        <v>391</v>
      </c>
      <c r="R337" s="12" t="s">
        <v>1326</v>
      </c>
    </row>
    <row r="338" customFormat="false" ht="15" hidden="false" customHeight="true" outlineLevel="0" collapsed="false">
      <c r="A338" s="6" t="s">
        <v>1327</v>
      </c>
      <c r="B338" s="6" t="s">
        <v>193</v>
      </c>
      <c r="C338" s="6" t="s">
        <v>1328</v>
      </c>
      <c r="D338" s="6"/>
      <c r="E338" s="13"/>
      <c r="F338" s="6" t="n">
        <v>1969</v>
      </c>
      <c r="G338" s="11" t="n">
        <f aca="true">IF(F338="","",YEAR(TODAY())-F338)</f>
        <v>57</v>
      </c>
      <c r="H338" s="11" t="str">
        <f aca="false">IF(C338="","",IF(G338="","Thiếu thông tin",IF(G338&lt;6,"Trẻ em",IF(G338&lt;23,"Học sinh / Sinh viên",IF(G338&lt;60,"Đang đi làm","Nghỉ hưu")))))</f>
        <v>Đang đi làm</v>
      </c>
      <c r="I338" s="6"/>
      <c r="J338" s="11" t="str">
        <f aca="false">IF(B338="","",IFERROR(INDEX('Hộ gia đình'!$B$2:$B$2000,MATCH(B338,'Hộ gia đình'!$A$2:$A$2000,0)),"Mã hộ không tồn tại"))</f>
        <v>20 ngách 17/2 Tạ Quang Bửu</v>
      </c>
      <c r="K338" s="14"/>
      <c r="L338" s="14"/>
      <c r="M338" s="6"/>
      <c r="N338" s="6" t="s">
        <v>395</v>
      </c>
      <c r="O338" s="6" t="s">
        <v>389</v>
      </c>
      <c r="P338" s="6" t="s">
        <v>1329</v>
      </c>
      <c r="Q338" s="6" t="s">
        <v>396</v>
      </c>
      <c r="R338" s="12"/>
    </row>
    <row r="339" customFormat="false" ht="15" hidden="false" customHeight="true" outlineLevel="0" collapsed="false">
      <c r="A339" s="6" t="s">
        <v>1330</v>
      </c>
      <c r="B339" s="6" t="s">
        <v>193</v>
      </c>
      <c r="C339" s="6" t="s">
        <v>1331</v>
      </c>
      <c r="D339" s="6" t="s">
        <v>385</v>
      </c>
      <c r="E339" s="13" t="n">
        <v>37590</v>
      </c>
      <c r="F339" s="6" t="n">
        <v>2002</v>
      </c>
      <c r="G339" s="11" t="n">
        <f aca="true">IF(F339="","",YEAR(TODAY())-F339)</f>
        <v>24</v>
      </c>
      <c r="H339" s="11" t="str">
        <f aca="false">IF(C339="","",IF(G339="","Thiếu thông tin",IF(G339&lt;6,"Trẻ em",IF(G339&lt;23,"Học sinh / Sinh viên",IF(G339&lt;60,"Đang đi làm","Nghỉ hưu")))))</f>
        <v>Đang đi làm</v>
      </c>
      <c r="I339" s="6"/>
      <c r="J339" s="11" t="str">
        <f aca="false">IF(B339="","",IFERROR(INDEX('Hộ gia đình'!$B$2:$B$2000,MATCH(B339,'Hộ gia đình'!$A$2:$A$2000,0)),"Mã hộ không tồn tại"))</f>
        <v>20 ngách 17/2 Tạ Quang Bửu</v>
      </c>
      <c r="K339" s="14" t="s">
        <v>1332</v>
      </c>
      <c r="L339" s="14"/>
      <c r="M339" s="6" t="s">
        <v>422</v>
      </c>
      <c r="N339" s="6" t="s">
        <v>388</v>
      </c>
      <c r="O339" s="6" t="s">
        <v>389</v>
      </c>
      <c r="P339" s="6"/>
      <c r="Q339" s="6" t="s">
        <v>583</v>
      </c>
      <c r="R339" s="12" t="s">
        <v>1333</v>
      </c>
    </row>
    <row r="340" customFormat="false" ht="15" hidden="false" customHeight="true" outlineLevel="0" collapsed="false">
      <c r="A340" s="6" t="s">
        <v>1334</v>
      </c>
      <c r="B340" s="6" t="s">
        <v>193</v>
      </c>
      <c r="C340" s="6" t="s">
        <v>1335</v>
      </c>
      <c r="D340" s="6" t="s">
        <v>408</v>
      </c>
      <c r="E340" s="13" t="n">
        <v>36451</v>
      </c>
      <c r="F340" s="6" t="n">
        <v>1999</v>
      </c>
      <c r="G340" s="11" t="n">
        <f aca="true">IF(F340="","",YEAR(TODAY())-F340)</f>
        <v>27</v>
      </c>
      <c r="H340" s="11" t="str">
        <f aca="false">IF(C340="","",IF(G340="","Thiếu thông tin",IF(G340&lt;6,"Trẻ em",IF(G340&lt;23,"Học sinh / Sinh viên",IF(G340&lt;60,"Đang đi làm","Nghỉ hưu")))))</f>
        <v>Đang đi làm</v>
      </c>
      <c r="I340" s="6"/>
      <c r="J340" s="11" t="str">
        <f aca="false">IF(B340="","",IFERROR(INDEX('Hộ gia đình'!$B$2:$B$2000,MATCH(B340,'Hộ gia đình'!$A$2:$A$2000,0)),"Mã hộ không tồn tại"))</f>
        <v>20 ngách 17/2 Tạ Quang Bửu</v>
      </c>
      <c r="K340" s="14" t="s">
        <v>1336</v>
      </c>
      <c r="L340" s="14"/>
      <c r="M340" s="6" t="s">
        <v>459</v>
      </c>
      <c r="N340" s="6" t="s">
        <v>388</v>
      </c>
      <c r="O340" s="6" t="s">
        <v>389</v>
      </c>
      <c r="P340" s="6"/>
      <c r="Q340" s="6" t="s">
        <v>583</v>
      </c>
      <c r="R340" s="12" t="s">
        <v>1337</v>
      </c>
    </row>
    <row r="341" customFormat="false" ht="15" hidden="false" customHeight="true" outlineLevel="0" collapsed="false">
      <c r="A341" s="6" t="s">
        <v>1338</v>
      </c>
      <c r="B341" s="6" t="s">
        <v>193</v>
      </c>
      <c r="C341" s="6" t="s">
        <v>1339</v>
      </c>
      <c r="D341" s="6" t="s">
        <v>385</v>
      </c>
      <c r="E341" s="13" t="n">
        <v>36429</v>
      </c>
      <c r="F341" s="6" t="n">
        <v>1999</v>
      </c>
      <c r="G341" s="11" t="n">
        <f aca="true">IF(F341="","",YEAR(TODAY())-F341)</f>
        <v>27</v>
      </c>
      <c r="H341" s="11" t="str">
        <f aca="false">IF(C341="","",IF(G341="","Thiếu thông tin",IF(G341&lt;6,"Trẻ em",IF(G341&lt;23,"Học sinh / Sinh viên",IF(G341&lt;60,"Đang đi làm","Nghỉ hưu")))))</f>
        <v>Đang đi làm</v>
      </c>
      <c r="I341" s="6"/>
      <c r="J341" s="11" t="str">
        <f aca="false">IF(B341="","",IFERROR(INDEX('Hộ gia đình'!$B$2:$B$2000,MATCH(B341,'Hộ gia đình'!$A$2:$A$2000,0)),"Mã hộ không tồn tại"))</f>
        <v>20 ngách 17/2 Tạ Quang Bửu</v>
      </c>
      <c r="K341" s="14" t="s">
        <v>1340</v>
      </c>
      <c r="L341" s="14"/>
      <c r="M341" s="6" t="s">
        <v>459</v>
      </c>
      <c r="N341" s="6" t="s">
        <v>388</v>
      </c>
      <c r="O341" s="6" t="s">
        <v>389</v>
      </c>
      <c r="P341" s="6"/>
      <c r="Q341" s="6" t="s">
        <v>410</v>
      </c>
      <c r="R341" s="12" t="s">
        <v>1341</v>
      </c>
    </row>
    <row r="342" customFormat="false" ht="15" hidden="false" customHeight="true" outlineLevel="0" collapsed="false">
      <c r="A342" s="6" t="s">
        <v>1342</v>
      </c>
      <c r="B342" s="6" t="s">
        <v>195</v>
      </c>
      <c r="C342" s="6" t="s">
        <v>1343</v>
      </c>
      <c r="D342" s="6"/>
      <c r="E342" s="13" t="n">
        <v>26299</v>
      </c>
      <c r="F342" s="6" t="n">
        <v>1972</v>
      </c>
      <c r="G342" s="11" t="n">
        <f aca="true">IF(F342="","",YEAR(TODAY())-F342)</f>
        <v>54</v>
      </c>
      <c r="H342" s="11" t="str">
        <f aca="false">IF(C342="","",IF(G342="","Thiếu thông tin",IF(G342&lt;6,"Trẻ em",IF(G342&lt;23,"Học sinh / Sinh viên",IF(G342&lt;60,"Đang đi làm","Nghỉ hưu")))))</f>
        <v>Đang đi làm</v>
      </c>
      <c r="I342" s="6" t="s">
        <v>52</v>
      </c>
      <c r="J342" s="11" t="str">
        <f aca="false">IF(B342="","",IFERROR(INDEX('Hộ gia đình'!$B$2:$B$2000,MATCH(B342,'Hộ gia đình'!$A$2:$A$2000,0)),"Mã hộ không tồn tại"))</f>
        <v>22 ngách 17/2 Tạ Quang Bửu</v>
      </c>
      <c r="K342" s="14"/>
      <c r="L342" s="14"/>
      <c r="M342" s="6"/>
      <c r="N342" s="6" t="s">
        <v>395</v>
      </c>
      <c r="O342" s="6" t="s">
        <v>389</v>
      </c>
      <c r="P342" s="6"/>
      <c r="Q342" s="6" t="s">
        <v>396</v>
      </c>
      <c r="R342" s="12" t="s">
        <v>1344</v>
      </c>
    </row>
    <row r="343" customFormat="false" ht="15" hidden="false" customHeight="true" outlineLevel="0" collapsed="false">
      <c r="A343" s="6" t="s">
        <v>1345</v>
      </c>
      <c r="B343" s="6" t="s">
        <v>195</v>
      </c>
      <c r="C343" s="6" t="s">
        <v>1346</v>
      </c>
      <c r="D343" s="6"/>
      <c r="E343" s="13" t="n">
        <v>15707</v>
      </c>
      <c r="F343" s="6" t="n">
        <v>1943</v>
      </c>
      <c r="G343" s="11" t="n">
        <f aca="true">IF(F343="","",YEAR(TODAY())-F343)</f>
        <v>83</v>
      </c>
      <c r="H343" s="11" t="str">
        <f aca="false">IF(C343="","",IF(G343="","Thiếu thông tin",IF(G343&lt;6,"Trẻ em",IF(G343&lt;23,"Học sinh / Sinh viên",IF(G343&lt;60,"Đang đi làm","Nghỉ hưu")))))</f>
        <v>Nghỉ hưu</v>
      </c>
      <c r="I343" s="6"/>
      <c r="J343" s="11" t="str">
        <f aca="false">IF(B343="","",IFERROR(INDEX('Hộ gia đình'!$B$2:$B$2000,MATCH(B343,'Hộ gia đình'!$A$2:$A$2000,0)),"Mã hộ không tồn tại"))</f>
        <v>22 ngách 17/2 Tạ Quang Bửu</v>
      </c>
      <c r="K343" s="14"/>
      <c r="L343" s="14"/>
      <c r="M343" s="6"/>
      <c r="N343" s="6" t="s">
        <v>395</v>
      </c>
      <c r="O343" s="6" t="s">
        <v>389</v>
      </c>
      <c r="P343" s="6"/>
      <c r="Q343" s="6" t="s">
        <v>396</v>
      </c>
      <c r="R343" s="12" t="s">
        <v>1347</v>
      </c>
    </row>
    <row r="344" customFormat="false" ht="15" hidden="false" customHeight="true" outlineLevel="0" collapsed="false">
      <c r="A344" s="6" t="s">
        <v>1348</v>
      </c>
      <c r="B344" s="6" t="s">
        <v>195</v>
      </c>
      <c r="C344" s="6" t="s">
        <v>1349</v>
      </c>
      <c r="D344" s="6"/>
      <c r="E344" s="13" t="n">
        <v>30682</v>
      </c>
      <c r="F344" s="6" t="n">
        <v>1984</v>
      </c>
      <c r="G344" s="11" t="n">
        <f aca="true">IF(F344="","",YEAR(TODAY())-F344)</f>
        <v>42</v>
      </c>
      <c r="H344" s="11" t="str">
        <f aca="false">IF(C344="","",IF(G344="","Thiếu thông tin",IF(G344&lt;6,"Trẻ em",IF(G344&lt;23,"Học sinh / Sinh viên",IF(G344&lt;60,"Đang đi làm","Nghỉ hưu")))))</f>
        <v>Đang đi làm</v>
      </c>
      <c r="I344" s="6"/>
      <c r="J344" s="11" t="str">
        <f aca="false">IF(B344="","",IFERROR(INDEX('Hộ gia đình'!$B$2:$B$2000,MATCH(B344,'Hộ gia đình'!$A$2:$A$2000,0)),"Mã hộ không tồn tại"))</f>
        <v>22 ngách 17/2 Tạ Quang Bửu</v>
      </c>
      <c r="K344" s="14"/>
      <c r="L344" s="14"/>
      <c r="M344" s="6"/>
      <c r="N344" s="6" t="s">
        <v>395</v>
      </c>
      <c r="O344" s="6" t="s">
        <v>389</v>
      </c>
      <c r="P344" s="6"/>
      <c r="Q344" s="6" t="s">
        <v>396</v>
      </c>
      <c r="R344" s="12"/>
    </row>
    <row r="345" customFormat="false" ht="15" hidden="false" customHeight="true" outlineLevel="0" collapsed="false">
      <c r="A345" s="6" t="s">
        <v>1350</v>
      </c>
      <c r="B345" s="6" t="s">
        <v>195</v>
      </c>
      <c r="C345" s="6" t="s">
        <v>1351</v>
      </c>
      <c r="D345" s="6"/>
      <c r="E345" s="13" t="n">
        <v>32143</v>
      </c>
      <c r="F345" s="6" t="n">
        <v>1974</v>
      </c>
      <c r="G345" s="11" t="n">
        <f aca="true">IF(F345="","",YEAR(TODAY())-F345)</f>
        <v>52</v>
      </c>
      <c r="H345" s="11" t="str">
        <f aca="false">IF(C345="","",IF(G345="","Thiếu thông tin",IF(G345&lt;6,"Trẻ em",IF(G345&lt;23,"Học sinh / Sinh viên",IF(G345&lt;60,"Đang đi làm","Nghỉ hưu")))))</f>
        <v>Đang đi làm</v>
      </c>
      <c r="I345" s="6"/>
      <c r="J345" s="11" t="str">
        <f aca="false">IF(B345="","",IFERROR(INDEX('Hộ gia đình'!$B$2:$B$2000,MATCH(B345,'Hộ gia đình'!$A$2:$A$2000,0)),"Mã hộ không tồn tại"))</f>
        <v>22 ngách 17/2 Tạ Quang Bửu</v>
      </c>
      <c r="K345" s="14"/>
      <c r="L345" s="14"/>
      <c r="M345" s="6"/>
      <c r="N345" s="6" t="s">
        <v>395</v>
      </c>
      <c r="O345" s="6" t="s">
        <v>389</v>
      </c>
      <c r="P345" s="6"/>
      <c r="Q345" s="6" t="s">
        <v>396</v>
      </c>
      <c r="R345" s="12" t="s">
        <v>1352</v>
      </c>
    </row>
    <row r="346" customFormat="false" ht="15" hidden="false" customHeight="true" outlineLevel="0" collapsed="false">
      <c r="A346" s="6" t="s">
        <v>1353</v>
      </c>
      <c r="B346" s="6" t="s">
        <v>195</v>
      </c>
      <c r="C346" s="6" t="s">
        <v>1354</v>
      </c>
      <c r="D346" s="6"/>
      <c r="E346" s="13"/>
      <c r="F346" s="6" t="n">
        <v>2014</v>
      </c>
      <c r="G346" s="11" t="n">
        <f aca="true">IF(F346="","",YEAR(TODAY())-F346)</f>
        <v>12</v>
      </c>
      <c r="H346" s="11" t="str">
        <f aca="false">IF(C346="","",IF(G346="","Thiếu thông tin",IF(G346&lt;6,"Trẻ em",IF(G346&lt;23,"Học sinh / Sinh viên",IF(G346&lt;60,"Đang đi làm","Nghỉ hưu")))))</f>
        <v>Học sinh / Sinh viên</v>
      </c>
      <c r="I346" s="6"/>
      <c r="J346" s="11" t="str">
        <f aca="false">IF(B346="","",IFERROR(INDEX('Hộ gia đình'!$B$2:$B$2000,MATCH(B346,'Hộ gia đình'!$A$2:$A$2000,0)),"Mã hộ không tồn tại"))</f>
        <v>22 ngách 17/2 Tạ Quang Bửu</v>
      </c>
      <c r="K346" s="14"/>
      <c r="L346" s="14"/>
      <c r="M346" s="6"/>
      <c r="N346" s="6" t="s">
        <v>395</v>
      </c>
      <c r="O346" s="6" t="s">
        <v>389</v>
      </c>
      <c r="P346" s="6"/>
      <c r="Q346" s="6" t="s">
        <v>403</v>
      </c>
      <c r="R346" s="12"/>
    </row>
    <row r="347" customFormat="false" ht="15" hidden="false" customHeight="true" outlineLevel="0" collapsed="false">
      <c r="A347" s="6" t="s">
        <v>1355</v>
      </c>
      <c r="B347" s="6" t="s">
        <v>195</v>
      </c>
      <c r="C347" s="6" t="s">
        <v>1356</v>
      </c>
      <c r="D347" s="6"/>
      <c r="E347" s="13"/>
      <c r="F347" s="6" t="n">
        <v>2019</v>
      </c>
      <c r="G347" s="11" t="n">
        <f aca="true">IF(F347="","",YEAR(TODAY())-F347)</f>
        <v>7</v>
      </c>
      <c r="H347" s="11" t="str">
        <f aca="false">IF(C347="","",IF(G347="","Thiếu thông tin",IF(G347&lt;6,"Trẻ em",IF(G347&lt;23,"Học sinh / Sinh viên",IF(G347&lt;60,"Đang đi làm","Nghỉ hưu")))))</f>
        <v>Học sinh / Sinh viên</v>
      </c>
      <c r="I347" s="6"/>
      <c r="J347" s="11" t="str">
        <f aca="false">IF(B347="","",IFERROR(INDEX('Hộ gia đình'!$B$2:$B$2000,MATCH(B347,'Hộ gia đình'!$A$2:$A$2000,0)),"Mã hộ không tồn tại"))</f>
        <v>22 ngách 17/2 Tạ Quang Bửu</v>
      </c>
      <c r="K347" s="14"/>
      <c r="L347" s="14"/>
      <c r="M347" s="6"/>
      <c r="N347" s="6" t="s">
        <v>395</v>
      </c>
      <c r="O347" s="6" t="s">
        <v>389</v>
      </c>
      <c r="P347" s="6"/>
      <c r="Q347" s="6" t="s">
        <v>403</v>
      </c>
      <c r="R347" s="12"/>
    </row>
    <row r="348" customFormat="false" ht="15" hidden="false" customHeight="true" outlineLevel="0" collapsed="false">
      <c r="A348" s="6" t="s">
        <v>1357</v>
      </c>
      <c r="B348" s="6" t="s">
        <v>197</v>
      </c>
      <c r="C348" s="6" t="s">
        <v>1358</v>
      </c>
      <c r="D348" s="6"/>
      <c r="E348" s="13" t="n">
        <v>10960</v>
      </c>
      <c r="F348" s="6" t="n">
        <v>1930</v>
      </c>
      <c r="G348" s="11" t="n">
        <f aca="true">IF(F348="","",YEAR(TODAY())-F348)</f>
        <v>96</v>
      </c>
      <c r="H348" s="11" t="str">
        <f aca="false">IF(C348="","",IF(G348="","Thiếu thông tin",IF(G348&lt;6,"Trẻ em",IF(G348&lt;23,"Học sinh / Sinh viên",IF(G348&lt;60,"Đang đi làm","Nghỉ hưu")))))</f>
        <v>Nghỉ hưu</v>
      </c>
      <c r="I348" s="6" t="s">
        <v>52</v>
      </c>
      <c r="J348" s="11" t="str">
        <f aca="false">IF(B348="","",IFERROR(INDEX('Hộ gia đình'!$B$2:$B$2000,MATCH(B348,'Hộ gia đình'!$A$2:$A$2000,0)),"Mã hộ không tồn tại"))</f>
        <v>1 ngách 17/2 Tạ Quang Bửu</v>
      </c>
      <c r="K348" s="14"/>
      <c r="L348" s="14"/>
      <c r="M348" s="6"/>
      <c r="N348" s="6" t="s">
        <v>395</v>
      </c>
      <c r="O348" s="6" t="s">
        <v>389</v>
      </c>
      <c r="P348" s="6"/>
      <c r="Q348" s="6" t="s">
        <v>396</v>
      </c>
      <c r="R348" s="12"/>
    </row>
    <row r="349" customFormat="false" ht="15" hidden="false" customHeight="true" outlineLevel="0" collapsed="false">
      <c r="A349" s="6" t="s">
        <v>1359</v>
      </c>
      <c r="B349" s="6" t="s">
        <v>197</v>
      </c>
      <c r="C349" s="6" t="s">
        <v>1360</v>
      </c>
      <c r="D349" s="6"/>
      <c r="E349" s="13"/>
      <c r="F349" s="6" t="n">
        <v>1967</v>
      </c>
      <c r="G349" s="11" t="n">
        <f aca="true">IF(F349="","",YEAR(TODAY())-F349)</f>
        <v>59</v>
      </c>
      <c r="H349" s="11" t="str">
        <f aca="false">IF(C349="","",IF(G349="","Thiếu thông tin",IF(G349&lt;6,"Trẻ em",IF(G349&lt;23,"Học sinh / Sinh viên",IF(G349&lt;60,"Đang đi làm","Nghỉ hưu")))))</f>
        <v>Đang đi làm</v>
      </c>
      <c r="I349" s="6"/>
      <c r="J349" s="11" t="str">
        <f aca="false">IF(B349="","",IFERROR(INDEX('Hộ gia đình'!$B$2:$B$2000,MATCH(B349,'Hộ gia đình'!$A$2:$A$2000,0)),"Mã hộ không tồn tại"))</f>
        <v>1 ngách 17/2 Tạ Quang Bửu</v>
      </c>
      <c r="K349" s="14"/>
      <c r="L349" s="14"/>
      <c r="M349" s="6"/>
      <c r="N349" s="6" t="s">
        <v>395</v>
      </c>
      <c r="O349" s="6" t="s">
        <v>389</v>
      </c>
      <c r="P349" s="6"/>
      <c r="Q349" s="6" t="s">
        <v>396</v>
      </c>
      <c r="R349" s="12"/>
    </row>
    <row r="350" customFormat="false" ht="15" hidden="false" customHeight="true" outlineLevel="0" collapsed="false">
      <c r="A350" s="6" t="s">
        <v>1361</v>
      </c>
      <c r="B350" s="6" t="s">
        <v>197</v>
      </c>
      <c r="C350" s="6" t="s">
        <v>1362</v>
      </c>
      <c r="D350" s="6"/>
      <c r="E350" s="13"/>
      <c r="F350" s="6" t="n">
        <v>1992</v>
      </c>
      <c r="G350" s="11" t="n">
        <f aca="true">IF(F350="","",YEAR(TODAY())-F350)</f>
        <v>34</v>
      </c>
      <c r="H350" s="11" t="str">
        <f aca="false">IF(C350="","",IF(G350="","Thiếu thông tin",IF(G350&lt;6,"Trẻ em",IF(G350&lt;23,"Học sinh / Sinh viên",IF(G350&lt;60,"Đang đi làm","Nghỉ hưu")))))</f>
        <v>Đang đi làm</v>
      </c>
      <c r="I350" s="6"/>
      <c r="J350" s="11" t="str">
        <f aca="false">IF(B350="","",IFERROR(INDEX('Hộ gia đình'!$B$2:$B$2000,MATCH(B350,'Hộ gia đình'!$A$2:$A$2000,0)),"Mã hộ không tồn tại"))</f>
        <v>1 ngách 17/2 Tạ Quang Bửu</v>
      </c>
      <c r="K350" s="14"/>
      <c r="L350" s="14"/>
      <c r="M350" s="6"/>
      <c r="N350" s="6" t="s">
        <v>395</v>
      </c>
      <c r="O350" s="6" t="s">
        <v>389</v>
      </c>
      <c r="P350" s="6"/>
      <c r="Q350" s="6" t="s">
        <v>396</v>
      </c>
      <c r="R350" s="12"/>
    </row>
    <row r="351" customFormat="false" ht="15" hidden="false" customHeight="true" outlineLevel="0" collapsed="false">
      <c r="A351" s="6" t="s">
        <v>1363</v>
      </c>
      <c r="B351" s="6" t="s">
        <v>197</v>
      </c>
      <c r="C351" s="6" t="s">
        <v>1364</v>
      </c>
      <c r="D351" s="6"/>
      <c r="E351" s="13"/>
      <c r="F351" s="6" t="n">
        <v>2002</v>
      </c>
      <c r="G351" s="11" t="n">
        <f aca="true">IF(F351="","",YEAR(TODAY())-F351)</f>
        <v>24</v>
      </c>
      <c r="H351" s="11" t="str">
        <f aca="false">IF(C351="","",IF(G351="","Thiếu thông tin",IF(G351&lt;6,"Trẻ em",IF(G351&lt;23,"Học sinh / Sinh viên",IF(G351&lt;60,"Đang đi làm","Nghỉ hưu")))))</f>
        <v>Đang đi làm</v>
      </c>
      <c r="I351" s="6"/>
      <c r="J351" s="11" t="str">
        <f aca="false">IF(B351="","",IFERROR(INDEX('Hộ gia đình'!$B$2:$B$2000,MATCH(B351,'Hộ gia đình'!$A$2:$A$2000,0)),"Mã hộ không tồn tại"))</f>
        <v>1 ngách 17/2 Tạ Quang Bửu</v>
      </c>
      <c r="K351" s="14"/>
      <c r="L351" s="14"/>
      <c r="M351" s="6"/>
      <c r="N351" s="6" t="s">
        <v>395</v>
      </c>
      <c r="O351" s="6" t="s">
        <v>389</v>
      </c>
      <c r="P351" s="6"/>
      <c r="Q351" s="6" t="s">
        <v>403</v>
      </c>
      <c r="R351" s="12"/>
    </row>
    <row r="352" customFormat="false" ht="15" hidden="false" customHeight="true" outlineLevel="0" collapsed="false">
      <c r="A352" s="6" t="s">
        <v>1365</v>
      </c>
      <c r="B352" s="6" t="s">
        <v>197</v>
      </c>
      <c r="C352" s="6" t="s">
        <v>1366</v>
      </c>
      <c r="D352" s="6"/>
      <c r="E352" s="13"/>
      <c r="F352" s="6" t="n">
        <v>1967</v>
      </c>
      <c r="G352" s="11" t="n">
        <f aca="true">IF(F352="","",YEAR(TODAY())-F352)</f>
        <v>59</v>
      </c>
      <c r="H352" s="11" t="str">
        <f aca="false">IF(C352="","",IF(G352="","Thiếu thông tin",IF(G352&lt;6,"Trẻ em",IF(G352&lt;23,"Học sinh / Sinh viên",IF(G352&lt;60,"Đang đi làm","Nghỉ hưu")))))</f>
        <v>Đang đi làm</v>
      </c>
      <c r="I352" s="6"/>
      <c r="J352" s="11" t="str">
        <f aca="false">IF(B352="","",IFERROR(INDEX('Hộ gia đình'!$B$2:$B$2000,MATCH(B352,'Hộ gia đình'!$A$2:$A$2000,0)),"Mã hộ không tồn tại"))</f>
        <v>1 ngách 17/2 Tạ Quang Bửu</v>
      </c>
      <c r="K352" s="14"/>
      <c r="L352" s="14"/>
      <c r="M352" s="6"/>
      <c r="N352" s="6" t="s">
        <v>395</v>
      </c>
      <c r="O352" s="6" t="s">
        <v>389</v>
      </c>
      <c r="P352" s="6"/>
      <c r="Q352" s="6" t="s">
        <v>396</v>
      </c>
      <c r="R352" s="12"/>
    </row>
    <row r="353" customFormat="false" ht="15" hidden="false" customHeight="true" outlineLevel="0" collapsed="false">
      <c r="A353" s="6" t="s">
        <v>1367</v>
      </c>
      <c r="B353" s="6" t="s">
        <v>197</v>
      </c>
      <c r="C353" s="6" t="s">
        <v>504</v>
      </c>
      <c r="D353" s="6"/>
      <c r="E353" s="13"/>
      <c r="F353" s="6" t="n">
        <v>1994</v>
      </c>
      <c r="G353" s="11" t="n">
        <f aca="true">IF(F353="","",YEAR(TODAY())-F353)</f>
        <v>32</v>
      </c>
      <c r="H353" s="11" t="str">
        <f aca="false">IF(C353="","",IF(G353="","Thiếu thông tin",IF(G353&lt;6,"Trẻ em",IF(G353&lt;23,"Học sinh / Sinh viên",IF(G353&lt;60,"Đang đi làm","Nghỉ hưu")))))</f>
        <v>Đang đi làm</v>
      </c>
      <c r="I353" s="6"/>
      <c r="J353" s="11" t="str">
        <f aca="false">IF(B353="","",IFERROR(INDEX('Hộ gia đình'!$B$2:$B$2000,MATCH(B353,'Hộ gia đình'!$A$2:$A$2000,0)),"Mã hộ không tồn tại"))</f>
        <v>1 ngách 17/2 Tạ Quang Bửu</v>
      </c>
      <c r="K353" s="14"/>
      <c r="L353" s="14"/>
      <c r="M353" s="6"/>
      <c r="N353" s="6" t="s">
        <v>395</v>
      </c>
      <c r="O353" s="6" t="s">
        <v>389</v>
      </c>
      <c r="P353" s="6"/>
      <c r="Q353" s="6" t="s">
        <v>396</v>
      </c>
      <c r="R353" s="12"/>
    </row>
    <row r="354" customFormat="false" ht="15" hidden="false" customHeight="true" outlineLevel="0" collapsed="false">
      <c r="A354" s="6" t="s">
        <v>1368</v>
      </c>
      <c r="B354" s="6" t="s">
        <v>197</v>
      </c>
      <c r="C354" s="6" t="s">
        <v>1369</v>
      </c>
      <c r="D354" s="6"/>
      <c r="E354" s="13"/>
      <c r="F354" s="6" t="n">
        <v>2005</v>
      </c>
      <c r="G354" s="11" t="n">
        <f aca="true">IF(F354="","",YEAR(TODAY())-F354)</f>
        <v>21</v>
      </c>
      <c r="H354" s="11" t="str">
        <f aca="false">IF(C354="","",IF(G354="","Thiếu thông tin",IF(G354&lt;6,"Trẻ em",IF(G354&lt;23,"Học sinh / Sinh viên",IF(G354&lt;60,"Đang đi làm","Nghỉ hưu")))))</f>
        <v>Học sinh / Sinh viên</v>
      </c>
      <c r="I354" s="6"/>
      <c r="J354" s="11" t="str">
        <f aca="false">IF(B354="","",IFERROR(INDEX('Hộ gia đình'!$B$2:$B$2000,MATCH(B354,'Hộ gia đình'!$A$2:$A$2000,0)),"Mã hộ không tồn tại"))</f>
        <v>1 ngách 17/2 Tạ Quang Bửu</v>
      </c>
      <c r="K354" s="14"/>
      <c r="L354" s="14"/>
      <c r="M354" s="6"/>
      <c r="N354" s="6" t="s">
        <v>395</v>
      </c>
      <c r="O354" s="6" t="s">
        <v>389</v>
      </c>
      <c r="P354" s="6"/>
      <c r="Q354" s="6" t="s">
        <v>403</v>
      </c>
      <c r="R354" s="12"/>
    </row>
    <row r="355" customFormat="false" ht="15" hidden="false" customHeight="true" outlineLevel="0" collapsed="false">
      <c r="A355" s="6" t="s">
        <v>1370</v>
      </c>
      <c r="B355" s="6" t="s">
        <v>199</v>
      </c>
      <c r="C355" s="6" t="s">
        <v>1371</v>
      </c>
      <c r="D355" s="6" t="s">
        <v>385</v>
      </c>
      <c r="E355" s="13" t="n">
        <v>16946</v>
      </c>
      <c r="F355" s="6" t="n">
        <v>1946</v>
      </c>
      <c r="G355" s="11" t="n">
        <f aca="true">IF(F355="","",YEAR(TODAY())-F355)</f>
        <v>80</v>
      </c>
      <c r="H355" s="11" t="str">
        <f aca="false">IF(C355="","",IF(G355="","Thiếu thông tin",IF(G355&lt;6,"Trẻ em",IF(G355&lt;23,"Học sinh / Sinh viên",IF(G355&lt;60,"Đang đi làm","Nghỉ hưu")))))</f>
        <v>Nghỉ hưu</v>
      </c>
      <c r="I355" s="6" t="s">
        <v>52</v>
      </c>
      <c r="J355" s="11" t="str">
        <f aca="false">IF(B355="","",IFERROR(INDEX('Hộ gia đình'!$B$2:$B$2000,MATCH(B355,'Hộ gia đình'!$A$2:$A$2000,0)),"Mã hộ không tồn tại"))</f>
        <v>5 ngách 17/2 Tạ Quang Bửu</v>
      </c>
      <c r="K355" s="14" t="s">
        <v>1372</v>
      </c>
      <c r="L355" s="14"/>
      <c r="M355" s="6" t="s">
        <v>451</v>
      </c>
      <c r="N355" s="6" t="s">
        <v>388</v>
      </c>
      <c r="O355" s="6" t="s">
        <v>389</v>
      </c>
      <c r="P355" s="6"/>
      <c r="Q355" s="6" t="s">
        <v>391</v>
      </c>
      <c r="R355" s="12" t="s">
        <v>1373</v>
      </c>
    </row>
    <row r="356" customFormat="false" ht="15" hidden="false" customHeight="true" outlineLevel="0" collapsed="false">
      <c r="A356" s="6" t="s">
        <v>1374</v>
      </c>
      <c r="B356" s="6" t="s">
        <v>199</v>
      </c>
      <c r="C356" s="6" t="s">
        <v>1375</v>
      </c>
      <c r="D356" s="6" t="s">
        <v>408</v>
      </c>
      <c r="E356" s="13" t="n">
        <v>13979</v>
      </c>
      <c r="F356" s="6" t="n">
        <v>1938</v>
      </c>
      <c r="G356" s="11" t="n">
        <f aca="true">IF(F356="","",YEAR(TODAY())-F356)</f>
        <v>88</v>
      </c>
      <c r="H356" s="11" t="str">
        <f aca="false">IF(C356="","",IF(G356="","Thiếu thông tin",IF(G356&lt;6,"Trẻ em",IF(G356&lt;23,"Học sinh / Sinh viên",IF(G356&lt;60,"Đang đi làm","Nghỉ hưu")))))</f>
        <v>Nghỉ hưu</v>
      </c>
      <c r="I356" s="6"/>
      <c r="J356" s="11" t="str">
        <f aca="false">IF(B356="","",IFERROR(INDEX('Hộ gia đình'!$B$2:$B$2000,MATCH(B356,'Hộ gia đình'!$A$2:$A$2000,0)),"Mã hộ không tồn tại"))</f>
        <v>5 ngách 17/2 Tạ Quang Bửu</v>
      </c>
      <c r="K356" s="14" t="s">
        <v>1376</v>
      </c>
      <c r="L356" s="14"/>
      <c r="M356" s="6" t="s">
        <v>451</v>
      </c>
      <c r="N356" s="6" t="s">
        <v>388</v>
      </c>
      <c r="O356" s="6" t="s">
        <v>389</v>
      </c>
      <c r="P356" s="6"/>
      <c r="Q356" s="6" t="s">
        <v>391</v>
      </c>
      <c r="R356" s="12" t="s">
        <v>1377</v>
      </c>
    </row>
    <row r="357" customFormat="false" ht="15" hidden="false" customHeight="true" outlineLevel="0" collapsed="false">
      <c r="A357" s="6" t="s">
        <v>1378</v>
      </c>
      <c r="B357" s="6" t="s">
        <v>199</v>
      </c>
      <c r="C357" s="6" t="s">
        <v>1379</v>
      </c>
      <c r="D357" s="6" t="s">
        <v>408</v>
      </c>
      <c r="E357" s="13" t="n">
        <v>26176</v>
      </c>
      <c r="F357" s="6" t="n">
        <v>1971</v>
      </c>
      <c r="G357" s="11" t="n">
        <f aca="true">IF(F357="","",YEAR(TODAY())-F357)</f>
        <v>55</v>
      </c>
      <c r="H357" s="11" t="str">
        <f aca="false">IF(C357="","",IF(G357="","Thiếu thông tin",IF(G357&lt;6,"Trẻ em",IF(G357&lt;23,"Học sinh / Sinh viên",IF(G357&lt;60,"Đang đi làm","Nghỉ hưu")))))</f>
        <v>Đang đi làm</v>
      </c>
      <c r="I357" s="6"/>
      <c r="J357" s="11" t="str">
        <f aca="false">IF(B357="","",IFERROR(INDEX('Hộ gia đình'!$B$2:$B$2000,MATCH(B357,'Hộ gia đình'!$A$2:$A$2000,0)),"Mã hộ không tồn tại"))</f>
        <v>5 ngách 17/2 Tạ Quang Bửu</v>
      </c>
      <c r="K357" s="14" t="s">
        <v>1380</v>
      </c>
      <c r="L357" s="14"/>
      <c r="M357" s="6" t="s">
        <v>459</v>
      </c>
      <c r="N357" s="6" t="s">
        <v>388</v>
      </c>
      <c r="O357" s="6" t="s">
        <v>389</v>
      </c>
      <c r="P357" s="6"/>
      <c r="Q357" s="6" t="s">
        <v>391</v>
      </c>
      <c r="R357" s="12"/>
    </row>
    <row r="358" customFormat="false" ht="15" hidden="false" customHeight="true" outlineLevel="0" collapsed="false">
      <c r="A358" s="6" t="s">
        <v>1381</v>
      </c>
      <c r="B358" s="6" t="s">
        <v>199</v>
      </c>
      <c r="C358" s="6" t="s">
        <v>1382</v>
      </c>
      <c r="D358" s="6" t="s">
        <v>385</v>
      </c>
      <c r="E358" s="13" t="n">
        <v>26652</v>
      </c>
      <c r="F358" s="6" t="n">
        <v>1972</v>
      </c>
      <c r="G358" s="11" t="n">
        <f aca="true">IF(F358="","",YEAR(TODAY())-F358)</f>
        <v>54</v>
      </c>
      <c r="H358" s="11" t="str">
        <f aca="false">IF(C358="","",IF(G358="","Thiếu thông tin",IF(G358&lt;6,"Trẻ em",IF(G358&lt;23,"Học sinh / Sinh viên",IF(G358&lt;60,"Đang đi làm","Nghỉ hưu")))))</f>
        <v>Đang đi làm</v>
      </c>
      <c r="I358" s="6"/>
      <c r="J358" s="11" t="str">
        <f aca="false">IF(B358="","",IFERROR(INDEX('Hộ gia đình'!$B$2:$B$2000,MATCH(B358,'Hộ gia đình'!$A$2:$A$2000,0)),"Mã hộ không tồn tại"))</f>
        <v>5 ngách 17/2 Tạ Quang Bửu</v>
      </c>
      <c r="K358" s="14" t="s">
        <v>1383</v>
      </c>
      <c r="L358" s="14"/>
      <c r="M358" s="6" t="s">
        <v>459</v>
      </c>
      <c r="N358" s="6" t="s">
        <v>388</v>
      </c>
      <c r="O358" s="6" t="s">
        <v>389</v>
      </c>
      <c r="P358" s="6"/>
      <c r="Q358" s="6" t="s">
        <v>391</v>
      </c>
      <c r="R358" s="12"/>
    </row>
    <row r="359" customFormat="false" ht="15" hidden="false" customHeight="true" outlineLevel="0" collapsed="false">
      <c r="A359" s="6" t="s">
        <v>1384</v>
      </c>
      <c r="B359" s="6" t="s">
        <v>199</v>
      </c>
      <c r="C359" s="6" t="s">
        <v>1385</v>
      </c>
      <c r="D359" s="6" t="s">
        <v>408</v>
      </c>
      <c r="E359" s="13" t="n">
        <v>37514</v>
      </c>
      <c r="F359" s="6" t="n">
        <v>2002</v>
      </c>
      <c r="G359" s="11" t="n">
        <f aca="true">IF(F359="","",YEAR(TODAY())-F359)</f>
        <v>24</v>
      </c>
      <c r="H359" s="11" t="str">
        <f aca="false">IF(C359="","",IF(G359="","Thiếu thông tin",IF(G359&lt;6,"Trẻ em",IF(G359&lt;23,"Học sinh / Sinh viên",IF(G359&lt;60,"Đang đi làm","Nghỉ hưu")))))</f>
        <v>Đang đi làm</v>
      </c>
      <c r="I359" s="6"/>
      <c r="J359" s="11" t="str">
        <f aca="false">IF(B359="","",IFERROR(INDEX('Hộ gia đình'!$B$2:$B$2000,MATCH(B359,'Hộ gia đình'!$A$2:$A$2000,0)),"Mã hộ không tồn tại"))</f>
        <v>5 ngách 17/2 Tạ Quang Bửu</v>
      </c>
      <c r="K359" s="14" t="s">
        <v>1386</v>
      </c>
      <c r="L359" s="14"/>
      <c r="M359" s="6" t="s">
        <v>422</v>
      </c>
      <c r="N359" s="6" t="s">
        <v>388</v>
      </c>
      <c r="O359" s="6" t="s">
        <v>389</v>
      </c>
      <c r="P359" s="6"/>
      <c r="Q359" s="6" t="s">
        <v>583</v>
      </c>
      <c r="R359" s="12"/>
    </row>
    <row r="360" customFormat="false" ht="15" hidden="false" customHeight="true" outlineLevel="0" collapsed="false">
      <c r="A360" s="6" t="s">
        <v>1387</v>
      </c>
      <c r="B360" s="6" t="s">
        <v>199</v>
      </c>
      <c r="C360" s="6" t="s">
        <v>1388</v>
      </c>
      <c r="D360" s="6" t="s">
        <v>408</v>
      </c>
      <c r="E360" s="13" t="n">
        <v>39151</v>
      </c>
      <c r="F360" s="6" t="n">
        <v>2007</v>
      </c>
      <c r="G360" s="11" t="n">
        <f aca="true">IF(F360="","",YEAR(TODAY())-F360)</f>
        <v>19</v>
      </c>
      <c r="H360" s="11" t="str">
        <f aca="false">IF(C360="","",IF(G360="","Thiếu thông tin",IF(G360&lt;6,"Trẻ em",IF(G360&lt;23,"Học sinh / Sinh viên",IF(G360&lt;60,"Đang đi làm","Nghỉ hưu")))))</f>
        <v>Học sinh / Sinh viên</v>
      </c>
      <c r="I360" s="6"/>
      <c r="J360" s="11" t="str">
        <f aca="false">IF(B360="","",IFERROR(INDEX('Hộ gia đình'!$B$2:$B$2000,MATCH(B360,'Hộ gia đình'!$A$2:$A$2000,0)),"Mã hộ không tồn tại"))</f>
        <v>5 ngách 17/2 Tạ Quang Bửu</v>
      </c>
      <c r="K360" s="14" t="s">
        <v>1389</v>
      </c>
      <c r="L360" s="14"/>
      <c r="M360" s="6" t="s">
        <v>422</v>
      </c>
      <c r="N360" s="6" t="s">
        <v>388</v>
      </c>
      <c r="O360" s="6" t="s">
        <v>389</v>
      </c>
      <c r="P360" s="6"/>
      <c r="Q360" s="6" t="s">
        <v>583</v>
      </c>
      <c r="R360" s="12"/>
    </row>
    <row r="361" customFormat="false" ht="15" hidden="false" customHeight="true" outlineLevel="0" collapsed="false">
      <c r="A361" s="6" t="s">
        <v>1390</v>
      </c>
      <c r="B361" s="6" t="s">
        <v>201</v>
      </c>
      <c r="C361" s="6" t="s">
        <v>1227</v>
      </c>
      <c r="D361" s="6"/>
      <c r="E361" s="13"/>
      <c r="F361" s="6" t="n">
        <v>1969</v>
      </c>
      <c r="G361" s="11" t="n">
        <f aca="true">IF(F361="","",YEAR(TODAY())-F361)</f>
        <v>57</v>
      </c>
      <c r="H361" s="11" t="str">
        <f aca="false">IF(C361="","",IF(G361="","Thiếu thông tin",IF(G361&lt;6,"Trẻ em",IF(G361&lt;23,"Học sinh / Sinh viên",IF(G361&lt;60,"Đang đi làm","Nghỉ hưu")))))</f>
        <v>Đang đi làm</v>
      </c>
      <c r="I361" s="6" t="s">
        <v>52</v>
      </c>
      <c r="J361" s="11" t="str">
        <f aca="false">IF(B361="","",IFERROR(INDEX('Hộ gia đình'!$B$2:$B$2000,MATCH(B361,'Hộ gia đình'!$A$2:$A$2000,0)),"Mã hộ không tồn tại"))</f>
        <v>7 ngách 17/2 Tạ Quang Bửu</v>
      </c>
      <c r="K361" s="14"/>
      <c r="L361" s="14"/>
      <c r="M361" s="6"/>
      <c r="N361" s="6" t="s">
        <v>395</v>
      </c>
      <c r="O361" s="6" t="s">
        <v>389</v>
      </c>
      <c r="P361" s="6"/>
      <c r="Q361" s="6" t="s">
        <v>396</v>
      </c>
      <c r="R361" s="12"/>
    </row>
    <row r="362" customFormat="false" ht="15" hidden="false" customHeight="true" outlineLevel="0" collapsed="false">
      <c r="A362" s="6" t="s">
        <v>1391</v>
      </c>
      <c r="B362" s="6" t="s">
        <v>201</v>
      </c>
      <c r="C362" s="6" t="s">
        <v>1231</v>
      </c>
      <c r="D362" s="6"/>
      <c r="E362" s="13"/>
      <c r="F362" s="6" t="n">
        <v>1974</v>
      </c>
      <c r="G362" s="11" t="n">
        <f aca="true">IF(F362="","",YEAR(TODAY())-F362)</f>
        <v>52</v>
      </c>
      <c r="H362" s="11" t="str">
        <f aca="false">IF(C362="","",IF(G362="","Thiếu thông tin",IF(G362&lt;6,"Trẻ em",IF(G362&lt;23,"Học sinh / Sinh viên",IF(G362&lt;60,"Đang đi làm","Nghỉ hưu")))))</f>
        <v>Đang đi làm</v>
      </c>
      <c r="I362" s="6"/>
      <c r="J362" s="11" t="str">
        <f aca="false">IF(B362="","",IFERROR(INDEX('Hộ gia đình'!$B$2:$B$2000,MATCH(B362,'Hộ gia đình'!$A$2:$A$2000,0)),"Mã hộ không tồn tại"))</f>
        <v>7 ngách 17/2 Tạ Quang Bửu</v>
      </c>
      <c r="K362" s="14"/>
      <c r="L362" s="14"/>
      <c r="M362" s="6"/>
      <c r="N362" s="6" t="s">
        <v>395</v>
      </c>
      <c r="O362" s="6" t="s">
        <v>389</v>
      </c>
      <c r="P362" s="6"/>
      <c r="Q362" s="6" t="s">
        <v>396</v>
      </c>
      <c r="R362" s="12"/>
    </row>
    <row r="363" customFormat="false" ht="15" hidden="false" customHeight="true" outlineLevel="0" collapsed="false">
      <c r="A363" s="6" t="s">
        <v>1392</v>
      </c>
      <c r="B363" s="6" t="s">
        <v>201</v>
      </c>
      <c r="C363" s="6" t="s">
        <v>1234</v>
      </c>
      <c r="D363" s="6"/>
      <c r="E363" s="13"/>
      <c r="F363" s="6" t="n">
        <v>2004</v>
      </c>
      <c r="G363" s="11" t="n">
        <f aca="true">IF(F363="","",YEAR(TODAY())-F363)</f>
        <v>22</v>
      </c>
      <c r="H363" s="11" t="str">
        <f aca="false">IF(C363="","",IF(G363="","Thiếu thông tin",IF(G363&lt;6,"Trẻ em",IF(G363&lt;23,"Học sinh / Sinh viên",IF(G363&lt;60,"Đang đi làm","Nghỉ hưu")))))</f>
        <v>Học sinh / Sinh viên</v>
      </c>
      <c r="I363" s="6"/>
      <c r="J363" s="11" t="str">
        <f aca="false">IF(B363="","",IFERROR(INDEX('Hộ gia đình'!$B$2:$B$2000,MATCH(B363,'Hộ gia đình'!$A$2:$A$2000,0)),"Mã hộ không tồn tại"))</f>
        <v>7 ngách 17/2 Tạ Quang Bửu</v>
      </c>
      <c r="K363" s="14"/>
      <c r="L363" s="14"/>
      <c r="M363" s="6"/>
      <c r="N363" s="6" t="s">
        <v>395</v>
      </c>
      <c r="O363" s="6" t="s">
        <v>389</v>
      </c>
      <c r="P363" s="6"/>
      <c r="Q363" s="6" t="s">
        <v>396</v>
      </c>
      <c r="R363" s="12"/>
    </row>
    <row r="364" customFormat="false" ht="15" hidden="false" customHeight="true" outlineLevel="0" collapsed="false">
      <c r="A364" s="6" t="s">
        <v>1393</v>
      </c>
      <c r="B364" s="6" t="s">
        <v>201</v>
      </c>
      <c r="C364" s="6" t="s">
        <v>1236</v>
      </c>
      <c r="D364" s="6"/>
      <c r="E364" s="13"/>
      <c r="F364" s="6" t="n">
        <v>2007</v>
      </c>
      <c r="G364" s="11" t="n">
        <f aca="true">IF(F364="","",YEAR(TODAY())-F364)</f>
        <v>19</v>
      </c>
      <c r="H364" s="11" t="str">
        <f aca="false">IF(C364="","",IF(G364="","Thiếu thông tin",IF(G364&lt;6,"Trẻ em",IF(G364&lt;23,"Học sinh / Sinh viên",IF(G364&lt;60,"Đang đi làm","Nghỉ hưu")))))</f>
        <v>Học sinh / Sinh viên</v>
      </c>
      <c r="I364" s="6"/>
      <c r="J364" s="11" t="str">
        <f aca="false">IF(B364="","",IFERROR(INDEX('Hộ gia đình'!$B$2:$B$2000,MATCH(B364,'Hộ gia đình'!$A$2:$A$2000,0)),"Mã hộ không tồn tại"))</f>
        <v>7 ngách 17/2 Tạ Quang Bửu</v>
      </c>
      <c r="K364" s="14"/>
      <c r="L364" s="14"/>
      <c r="M364" s="6"/>
      <c r="N364" s="6" t="s">
        <v>395</v>
      </c>
      <c r="O364" s="6" t="s">
        <v>389</v>
      </c>
      <c r="P364" s="6"/>
      <c r="Q364" s="6" t="s">
        <v>396</v>
      </c>
      <c r="R364" s="12"/>
    </row>
    <row r="365" customFormat="false" ht="15" hidden="false" customHeight="true" outlineLevel="0" collapsed="false">
      <c r="A365" s="6" t="s">
        <v>1394</v>
      </c>
      <c r="B365" s="6" t="s">
        <v>201</v>
      </c>
      <c r="C365" s="6" t="s">
        <v>1239</v>
      </c>
      <c r="D365" s="6"/>
      <c r="E365" s="13"/>
      <c r="F365" s="6" t="n">
        <v>2014</v>
      </c>
      <c r="G365" s="11" t="n">
        <f aca="true">IF(F365="","",YEAR(TODAY())-F365)</f>
        <v>12</v>
      </c>
      <c r="H365" s="11" t="str">
        <f aca="false">IF(C365="","",IF(G365="","Thiếu thông tin",IF(G365&lt;6,"Trẻ em",IF(G365&lt;23,"Học sinh / Sinh viên",IF(G365&lt;60,"Đang đi làm","Nghỉ hưu")))))</f>
        <v>Học sinh / Sinh viên</v>
      </c>
      <c r="I365" s="6"/>
      <c r="J365" s="11" t="str">
        <f aca="false">IF(B365="","",IFERROR(INDEX('Hộ gia đình'!$B$2:$B$2000,MATCH(B365,'Hộ gia đình'!$A$2:$A$2000,0)),"Mã hộ không tồn tại"))</f>
        <v>7 ngách 17/2 Tạ Quang Bửu</v>
      </c>
      <c r="K365" s="14"/>
      <c r="L365" s="14"/>
      <c r="M365" s="6"/>
      <c r="N365" s="6" t="s">
        <v>395</v>
      </c>
      <c r="O365" s="6" t="s">
        <v>389</v>
      </c>
      <c r="P365" s="6"/>
      <c r="Q365" s="6" t="s">
        <v>396</v>
      </c>
      <c r="R365" s="12"/>
    </row>
    <row r="366" customFormat="false" ht="15" hidden="false" customHeight="true" outlineLevel="0" collapsed="false">
      <c r="A366" s="6" t="s">
        <v>1395</v>
      </c>
      <c r="B366" s="6" t="s">
        <v>202</v>
      </c>
      <c r="C366" s="6" t="s">
        <v>1396</v>
      </c>
      <c r="D366" s="6" t="s">
        <v>385</v>
      </c>
      <c r="E366" s="13" t="n">
        <v>17948</v>
      </c>
      <c r="F366" s="6" t="n">
        <v>1949</v>
      </c>
      <c r="G366" s="11" t="n">
        <f aca="true">IF(F366="","",YEAR(TODAY())-F366)</f>
        <v>77</v>
      </c>
      <c r="H366" s="11" t="str">
        <f aca="false">IF(C366="","",IF(G366="","Thiếu thông tin",IF(G366&lt;6,"Trẻ em",IF(G366&lt;23,"Học sinh / Sinh viên",IF(G366&lt;60,"Đang đi làm","Nghỉ hưu")))))</f>
        <v>Nghỉ hưu</v>
      </c>
      <c r="I366" s="6" t="s">
        <v>52</v>
      </c>
      <c r="J366" s="11" t="str">
        <f aca="false">IF(B366="","",IFERROR(INDEX('Hộ gia đình'!$B$2:$B$2000,MATCH(B366,'Hộ gia đình'!$A$2:$A$2000,0)),"Mã hộ không tồn tại"))</f>
        <v>9 ngách 17/2 Tạ Quang Bửu</v>
      </c>
      <c r="K366" s="14" t="s">
        <v>1397</v>
      </c>
      <c r="L366" s="14"/>
      <c r="M366" s="6" t="s">
        <v>451</v>
      </c>
      <c r="N366" s="6" t="s">
        <v>388</v>
      </c>
      <c r="O366" s="6" t="s">
        <v>389</v>
      </c>
      <c r="P366" s="6"/>
      <c r="Q366" s="6" t="s">
        <v>391</v>
      </c>
      <c r="R366" s="12"/>
    </row>
    <row r="367" customFormat="false" ht="15" hidden="false" customHeight="true" outlineLevel="0" collapsed="false">
      <c r="A367" s="6" t="s">
        <v>1398</v>
      </c>
      <c r="B367" s="6" t="s">
        <v>202</v>
      </c>
      <c r="C367" s="6" t="s">
        <v>1399</v>
      </c>
      <c r="D367" s="6" t="s">
        <v>408</v>
      </c>
      <c r="E367" s="13" t="n">
        <v>17182</v>
      </c>
      <c r="F367" s="6" t="n">
        <v>1947</v>
      </c>
      <c r="G367" s="11" t="n">
        <f aca="true">IF(F367="","",YEAR(TODAY())-F367)</f>
        <v>79</v>
      </c>
      <c r="H367" s="11" t="str">
        <f aca="false">IF(C367="","",IF(G367="","Thiếu thông tin",IF(G367&lt;6,"Trẻ em",IF(G367&lt;23,"Học sinh / Sinh viên",IF(G367&lt;60,"Đang đi làm","Nghỉ hưu")))))</f>
        <v>Nghỉ hưu</v>
      </c>
      <c r="I367" s="6"/>
      <c r="J367" s="11" t="str">
        <f aca="false">IF(B367="","",IFERROR(INDEX('Hộ gia đình'!$B$2:$B$2000,MATCH(B367,'Hộ gia đình'!$A$2:$A$2000,0)),"Mã hộ không tồn tại"))</f>
        <v>9 ngách 17/2 Tạ Quang Bửu</v>
      </c>
      <c r="K367" s="14" t="s">
        <v>1400</v>
      </c>
      <c r="L367" s="14"/>
      <c r="M367" s="6" t="s">
        <v>1032</v>
      </c>
      <c r="N367" s="6" t="s">
        <v>388</v>
      </c>
      <c r="O367" s="6" t="s">
        <v>389</v>
      </c>
      <c r="P367" s="6"/>
      <c r="Q367" s="6" t="s">
        <v>391</v>
      </c>
      <c r="R367" s="12" t="s">
        <v>1401</v>
      </c>
    </row>
    <row r="368" customFormat="false" ht="15" hidden="false" customHeight="true" outlineLevel="0" collapsed="false">
      <c r="A368" s="6" t="s">
        <v>1402</v>
      </c>
      <c r="B368" s="6" t="s">
        <v>202</v>
      </c>
      <c r="C368" s="6" t="s">
        <v>1403</v>
      </c>
      <c r="D368" s="6"/>
      <c r="E368" s="13"/>
      <c r="F368" s="6" t="n">
        <v>1979</v>
      </c>
      <c r="G368" s="11" t="n">
        <f aca="true">IF(F368="","",YEAR(TODAY())-F368)</f>
        <v>47</v>
      </c>
      <c r="H368" s="11" t="str">
        <f aca="false">IF(C368="","",IF(G368="","Thiếu thông tin",IF(G368&lt;6,"Trẻ em",IF(G368&lt;23,"Học sinh / Sinh viên",IF(G368&lt;60,"Đang đi làm","Nghỉ hưu")))))</f>
        <v>Đang đi làm</v>
      </c>
      <c r="I368" s="6"/>
      <c r="J368" s="11" t="str">
        <f aca="false">IF(B368="","",IFERROR(INDEX('Hộ gia đình'!$B$2:$B$2000,MATCH(B368,'Hộ gia đình'!$A$2:$A$2000,0)),"Mã hộ không tồn tại"))</f>
        <v>9 ngách 17/2 Tạ Quang Bửu</v>
      </c>
      <c r="K368" s="14"/>
      <c r="L368" s="14"/>
      <c r="M368" s="6"/>
      <c r="N368" s="6" t="s">
        <v>395</v>
      </c>
      <c r="O368" s="6" t="s">
        <v>389</v>
      </c>
      <c r="P368" s="6"/>
      <c r="Q368" s="6" t="s">
        <v>396</v>
      </c>
      <c r="R368" s="12"/>
    </row>
    <row r="369" customFormat="false" ht="15" hidden="false" customHeight="true" outlineLevel="0" collapsed="false">
      <c r="A369" s="6" t="s">
        <v>1404</v>
      </c>
      <c r="B369" s="6" t="s">
        <v>202</v>
      </c>
      <c r="C369" s="6" t="s">
        <v>1405</v>
      </c>
      <c r="D369" s="6"/>
      <c r="E369" s="13"/>
      <c r="F369" s="6" t="n">
        <v>1979</v>
      </c>
      <c r="G369" s="11" t="n">
        <f aca="true">IF(F369="","",YEAR(TODAY())-F369)</f>
        <v>47</v>
      </c>
      <c r="H369" s="11" t="str">
        <f aca="false">IF(C369="","",IF(G369="","Thiếu thông tin",IF(G369&lt;6,"Trẻ em",IF(G369&lt;23,"Học sinh / Sinh viên",IF(G369&lt;60,"Đang đi làm","Nghỉ hưu")))))</f>
        <v>Đang đi làm</v>
      </c>
      <c r="I369" s="6"/>
      <c r="J369" s="11" t="str">
        <f aca="false">IF(B369="","",IFERROR(INDEX('Hộ gia đình'!$B$2:$B$2000,MATCH(B369,'Hộ gia đình'!$A$2:$A$2000,0)),"Mã hộ không tồn tại"))</f>
        <v>9 ngách 17/2 Tạ Quang Bửu</v>
      </c>
      <c r="K369" s="14"/>
      <c r="L369" s="14"/>
      <c r="M369" s="6"/>
      <c r="N369" s="6" t="s">
        <v>395</v>
      </c>
      <c r="O369" s="6" t="s">
        <v>389</v>
      </c>
      <c r="P369" s="6"/>
      <c r="Q369" s="6" t="s">
        <v>396</v>
      </c>
      <c r="R369" s="12"/>
    </row>
    <row r="370" customFormat="false" ht="15" hidden="false" customHeight="true" outlineLevel="0" collapsed="false">
      <c r="A370" s="6" t="s">
        <v>1406</v>
      </c>
      <c r="B370" s="6" t="s">
        <v>202</v>
      </c>
      <c r="C370" s="6" t="s">
        <v>1407</v>
      </c>
      <c r="D370" s="6"/>
      <c r="E370" s="13"/>
      <c r="F370" s="6" t="n">
        <v>2008</v>
      </c>
      <c r="G370" s="11" t="n">
        <f aca="true">IF(F370="","",YEAR(TODAY())-F370)</f>
        <v>18</v>
      </c>
      <c r="H370" s="11" t="str">
        <f aca="false">IF(C370="","",IF(G370="","Thiếu thông tin",IF(G370&lt;6,"Trẻ em",IF(G370&lt;23,"Học sinh / Sinh viên",IF(G370&lt;60,"Đang đi làm","Nghỉ hưu")))))</f>
        <v>Học sinh / Sinh viên</v>
      </c>
      <c r="I370" s="6"/>
      <c r="J370" s="11" t="str">
        <f aca="false">IF(B370="","",IFERROR(INDEX('Hộ gia đình'!$B$2:$B$2000,MATCH(B370,'Hộ gia đình'!$A$2:$A$2000,0)),"Mã hộ không tồn tại"))</f>
        <v>9 ngách 17/2 Tạ Quang Bửu</v>
      </c>
      <c r="K370" s="14"/>
      <c r="L370" s="14"/>
      <c r="M370" s="6"/>
      <c r="N370" s="6" t="s">
        <v>395</v>
      </c>
      <c r="O370" s="6" t="s">
        <v>389</v>
      </c>
      <c r="P370" s="6"/>
      <c r="Q370" s="6" t="s">
        <v>403</v>
      </c>
      <c r="R370" s="12"/>
    </row>
    <row r="371" customFormat="false" ht="15" hidden="false" customHeight="true" outlineLevel="0" collapsed="false">
      <c r="A371" s="6" t="s">
        <v>1408</v>
      </c>
      <c r="B371" s="6" t="s">
        <v>202</v>
      </c>
      <c r="C371" s="6" t="s">
        <v>1409</v>
      </c>
      <c r="D371" s="6"/>
      <c r="E371" s="13"/>
      <c r="F371" s="6" t="n">
        <v>2020</v>
      </c>
      <c r="G371" s="11" t="n">
        <f aca="true">IF(F371="","",YEAR(TODAY())-F371)</f>
        <v>6</v>
      </c>
      <c r="H371" s="11" t="str">
        <f aca="false">IF(C371="","",IF(G371="","Thiếu thông tin",IF(G371&lt;6,"Trẻ em",IF(G371&lt;23,"Học sinh / Sinh viên",IF(G371&lt;60,"Đang đi làm","Nghỉ hưu")))))</f>
        <v>Học sinh / Sinh viên</v>
      </c>
      <c r="I371" s="6"/>
      <c r="J371" s="11" t="str">
        <f aca="false">IF(B371="","",IFERROR(INDEX('Hộ gia đình'!$B$2:$B$2000,MATCH(B371,'Hộ gia đình'!$A$2:$A$2000,0)),"Mã hộ không tồn tại"))</f>
        <v>9 ngách 17/2 Tạ Quang Bửu</v>
      </c>
      <c r="K371" s="14"/>
      <c r="L371" s="14"/>
      <c r="M371" s="6"/>
      <c r="N371" s="6" t="s">
        <v>395</v>
      </c>
      <c r="O371" s="6" t="s">
        <v>389</v>
      </c>
      <c r="P371" s="6"/>
      <c r="Q371" s="6" t="s">
        <v>403</v>
      </c>
      <c r="R371" s="12"/>
    </row>
    <row r="372" customFormat="false" ht="15" hidden="false" customHeight="true" outlineLevel="0" collapsed="false">
      <c r="A372" s="6" t="s">
        <v>1410</v>
      </c>
      <c r="B372" s="6" t="s">
        <v>204</v>
      </c>
      <c r="C372" s="6" t="s">
        <v>1411</v>
      </c>
      <c r="D372" s="6" t="s">
        <v>408</v>
      </c>
      <c r="E372" s="13" t="n">
        <v>26556</v>
      </c>
      <c r="F372" s="6" t="n">
        <v>1972</v>
      </c>
      <c r="G372" s="11" t="n">
        <f aca="true">IF(F372="","",YEAR(TODAY())-F372)</f>
        <v>54</v>
      </c>
      <c r="H372" s="11" t="str">
        <f aca="false">IF(C372="","",IF(G372="","Thiếu thông tin",IF(G372&lt;6,"Trẻ em",IF(G372&lt;23,"Học sinh / Sinh viên",IF(G372&lt;60,"Đang đi làm","Nghỉ hưu")))))</f>
        <v>Đang đi làm</v>
      </c>
      <c r="I372" s="6" t="s">
        <v>52</v>
      </c>
      <c r="J372" s="11" t="str">
        <f aca="false">IF(B372="","",IFERROR(INDEX('Hộ gia đình'!$B$2:$B$2000,MATCH(B372,'Hộ gia đình'!$A$2:$A$2000,0)),"Mã hộ không tồn tại"))</f>
        <v>1 ngách 17/9 Tạ Quang Bửu</v>
      </c>
      <c r="K372" s="14" t="s">
        <v>1412</v>
      </c>
      <c r="L372" s="14" t="s">
        <v>1413</v>
      </c>
      <c r="M372" s="6" t="s">
        <v>459</v>
      </c>
      <c r="N372" s="6" t="s">
        <v>388</v>
      </c>
      <c r="O372" s="6" t="s">
        <v>389</v>
      </c>
      <c r="P372" s="6"/>
      <c r="Q372" s="6" t="s">
        <v>391</v>
      </c>
      <c r="R372" s="12"/>
    </row>
    <row r="373" customFormat="false" ht="15" hidden="false" customHeight="true" outlineLevel="0" collapsed="false">
      <c r="A373" s="6" t="s">
        <v>1414</v>
      </c>
      <c r="B373" s="6" t="s">
        <v>204</v>
      </c>
      <c r="C373" s="6" t="s">
        <v>1415</v>
      </c>
      <c r="D373" s="6" t="s">
        <v>385</v>
      </c>
      <c r="E373" s="13" t="n">
        <v>27695</v>
      </c>
      <c r="F373" s="6" t="n">
        <v>1975</v>
      </c>
      <c r="G373" s="11" t="n">
        <f aca="true">IF(F373="","",YEAR(TODAY())-F373)</f>
        <v>51</v>
      </c>
      <c r="H373" s="11" t="str">
        <f aca="false">IF(C373="","",IF(G373="","Thiếu thông tin",IF(G373&lt;6,"Trẻ em",IF(G373&lt;23,"Học sinh / Sinh viên",IF(G373&lt;60,"Đang đi làm","Nghỉ hưu")))))</f>
        <v>Đang đi làm</v>
      </c>
      <c r="I373" s="6"/>
      <c r="J373" s="11" t="str">
        <f aca="false">IF(B373="","",IFERROR(INDEX('Hộ gia đình'!$B$2:$B$2000,MATCH(B373,'Hộ gia đình'!$A$2:$A$2000,0)),"Mã hộ không tồn tại"))</f>
        <v>1 ngách 17/9 Tạ Quang Bửu</v>
      </c>
      <c r="K373" s="14" t="s">
        <v>1416</v>
      </c>
      <c r="L373" s="14" t="s">
        <v>1417</v>
      </c>
      <c r="M373" s="6" t="s">
        <v>459</v>
      </c>
      <c r="N373" s="6" t="s">
        <v>388</v>
      </c>
      <c r="O373" s="6" t="s">
        <v>389</v>
      </c>
      <c r="P373" s="6"/>
      <c r="Q373" s="6" t="s">
        <v>1071</v>
      </c>
      <c r="R373" s="12" t="s">
        <v>1418</v>
      </c>
    </row>
    <row r="374" customFormat="false" ht="15" hidden="false" customHeight="true" outlineLevel="0" collapsed="false">
      <c r="A374" s="6" t="s">
        <v>1419</v>
      </c>
      <c r="B374" s="6" t="s">
        <v>204</v>
      </c>
      <c r="C374" s="6" t="s">
        <v>517</v>
      </c>
      <c r="D374" s="6" t="s">
        <v>385</v>
      </c>
      <c r="E374" s="13" t="n">
        <v>17930</v>
      </c>
      <c r="F374" s="6" t="n">
        <v>1947</v>
      </c>
      <c r="G374" s="11" t="n">
        <f aca="true">IF(F374="","",YEAR(TODAY())-F374)</f>
        <v>79</v>
      </c>
      <c r="H374" s="11" t="str">
        <f aca="false">IF(C374="","",IF(G374="","Thiếu thông tin",IF(G374&lt;6,"Trẻ em",IF(G374&lt;23,"Học sinh / Sinh viên",IF(G374&lt;60,"Đang đi làm","Nghỉ hưu")))))</f>
        <v>Nghỉ hưu</v>
      </c>
      <c r="I374" s="6"/>
      <c r="J374" s="11" t="str">
        <f aca="false">IF(B374="","",IFERROR(INDEX('Hộ gia đình'!$B$2:$B$2000,MATCH(B374,'Hộ gia đình'!$A$2:$A$2000,0)),"Mã hộ không tồn tại"))</f>
        <v>1 ngách 17/9 Tạ Quang Bửu</v>
      </c>
      <c r="K374" s="14" t="s">
        <v>1420</v>
      </c>
      <c r="L374" s="14" t="s">
        <v>1421</v>
      </c>
      <c r="M374" s="6" t="s">
        <v>451</v>
      </c>
      <c r="N374" s="6" t="s">
        <v>388</v>
      </c>
      <c r="O374" s="6" t="s">
        <v>389</v>
      </c>
      <c r="P374" s="6"/>
      <c r="Q374" s="6" t="s">
        <v>1071</v>
      </c>
      <c r="R374" s="12" t="s">
        <v>1422</v>
      </c>
    </row>
    <row r="375" customFormat="false" ht="15" hidden="false" customHeight="true" outlineLevel="0" collapsed="false">
      <c r="A375" s="6" t="s">
        <v>1423</v>
      </c>
      <c r="B375" s="6" t="s">
        <v>204</v>
      </c>
      <c r="C375" s="6" t="s">
        <v>1424</v>
      </c>
      <c r="D375" s="6"/>
      <c r="E375" s="13" t="n">
        <v>40453</v>
      </c>
      <c r="F375" s="6" t="n">
        <v>2010</v>
      </c>
      <c r="G375" s="11" t="n">
        <f aca="true">IF(F375="","",YEAR(TODAY())-F375)</f>
        <v>16</v>
      </c>
      <c r="H375" s="11" t="str">
        <f aca="false">IF(C375="","",IF(G375="","Thiếu thông tin",IF(G375&lt;6,"Trẻ em",IF(G375&lt;23,"Học sinh / Sinh viên",IF(G375&lt;60,"Đang đi làm","Nghỉ hưu")))))</f>
        <v>Học sinh / Sinh viên</v>
      </c>
      <c r="I375" s="6"/>
      <c r="J375" s="11" t="str">
        <f aca="false">IF(B375="","",IFERROR(INDEX('Hộ gia đình'!$B$2:$B$2000,MATCH(B375,'Hộ gia đình'!$A$2:$A$2000,0)),"Mã hộ không tồn tại"))</f>
        <v>1 ngách 17/9 Tạ Quang Bửu</v>
      </c>
      <c r="K375" s="14"/>
      <c r="L375" s="14"/>
      <c r="M375" s="6"/>
      <c r="N375" s="6" t="s">
        <v>395</v>
      </c>
      <c r="O375" s="6" t="s">
        <v>389</v>
      </c>
      <c r="P375" s="6"/>
      <c r="Q375" s="6" t="s">
        <v>1067</v>
      </c>
      <c r="R375" s="12"/>
    </row>
    <row r="376" customFormat="false" ht="15" hidden="false" customHeight="true" outlineLevel="0" collapsed="false">
      <c r="A376" s="6" t="s">
        <v>1425</v>
      </c>
      <c r="B376" s="6" t="s">
        <v>206</v>
      </c>
      <c r="C376" s="6" t="s">
        <v>1426</v>
      </c>
      <c r="D376" s="6" t="s">
        <v>385</v>
      </c>
      <c r="E376" s="13" t="n">
        <v>22566</v>
      </c>
      <c r="F376" s="6" t="n">
        <v>1961</v>
      </c>
      <c r="G376" s="11" t="n">
        <f aca="true">IF(F376="","",YEAR(TODAY())-F376)</f>
        <v>65</v>
      </c>
      <c r="H376" s="11" t="str">
        <f aca="false">IF(C376="","",IF(G376="","Thiếu thông tin",IF(G376&lt;6,"Trẻ em",IF(G376&lt;23,"Học sinh / Sinh viên",IF(G376&lt;60,"Đang đi làm","Nghỉ hưu")))))</f>
        <v>Nghỉ hưu</v>
      </c>
      <c r="I376" s="6" t="s">
        <v>52</v>
      </c>
      <c r="J376" s="11" t="str">
        <f aca="false">IF(B376="","",IFERROR(INDEX('Hộ gia đình'!$B$2:$B$2000,MATCH(B376,'Hộ gia đình'!$A$2:$A$2000,0)),"Mã hộ không tồn tại"))</f>
        <v>1A ngách 17/9 Tạ Quang Bửu</v>
      </c>
      <c r="K376" s="14" t="s">
        <v>1427</v>
      </c>
      <c r="L376" s="14"/>
      <c r="M376" s="6" t="s">
        <v>732</v>
      </c>
      <c r="N376" s="6" t="s">
        <v>388</v>
      </c>
      <c r="O376" s="6" t="s">
        <v>389</v>
      </c>
      <c r="P376" s="6"/>
      <c r="Q376" s="6" t="s">
        <v>1071</v>
      </c>
      <c r="R376" s="12" t="s">
        <v>1428</v>
      </c>
    </row>
    <row r="377" customFormat="false" ht="15" hidden="false" customHeight="true" outlineLevel="0" collapsed="false">
      <c r="A377" s="6" t="s">
        <v>1429</v>
      </c>
      <c r="B377" s="6" t="s">
        <v>208</v>
      </c>
      <c r="C377" s="6" t="s">
        <v>1430</v>
      </c>
      <c r="D377" s="6" t="s">
        <v>385</v>
      </c>
      <c r="E377" s="13" t="n">
        <v>18253</v>
      </c>
      <c r="F377" s="6" t="n">
        <v>1949</v>
      </c>
      <c r="G377" s="11" t="n">
        <f aca="true">IF(F377="","",YEAR(TODAY())-F377)</f>
        <v>77</v>
      </c>
      <c r="H377" s="11" t="str">
        <f aca="false">IF(C377="","",IF(G377="","Thiếu thông tin",IF(G377&lt;6,"Trẻ em",IF(G377&lt;23,"Học sinh / Sinh viên",IF(G377&lt;60,"Đang đi làm","Nghỉ hưu")))))</f>
        <v>Nghỉ hưu</v>
      </c>
      <c r="I377" s="6" t="s">
        <v>52</v>
      </c>
      <c r="J377" s="11" t="str">
        <f aca="false">IF(B377="","",IFERROR(INDEX('Hộ gia đình'!$B$2:$B$2000,MATCH(B377,'Hộ gia đình'!$A$2:$A$2000,0)),"Mã hộ không tồn tại"))</f>
        <v>2 ngách 17/9 Tạ Quang Bửu</v>
      </c>
      <c r="K377" s="14" t="s">
        <v>1431</v>
      </c>
      <c r="L377" s="14"/>
      <c r="M377" s="6" t="s">
        <v>451</v>
      </c>
      <c r="N377" s="6" t="s">
        <v>388</v>
      </c>
      <c r="O377" s="6" t="s">
        <v>389</v>
      </c>
      <c r="P377" s="6"/>
      <c r="Q377" s="6" t="s">
        <v>391</v>
      </c>
      <c r="R377" s="12"/>
    </row>
    <row r="378" customFormat="false" ht="15" hidden="false" customHeight="true" outlineLevel="0" collapsed="false">
      <c r="A378" s="6" t="s">
        <v>1432</v>
      </c>
      <c r="B378" s="6" t="s">
        <v>208</v>
      </c>
      <c r="C378" s="6" t="s">
        <v>1433</v>
      </c>
      <c r="D378" s="6" t="s">
        <v>408</v>
      </c>
      <c r="E378" s="13" t="n">
        <v>26506</v>
      </c>
      <c r="F378" s="6" t="n">
        <v>1972</v>
      </c>
      <c r="G378" s="11" t="n">
        <f aca="true">IF(F378="","",YEAR(TODAY())-F378)</f>
        <v>54</v>
      </c>
      <c r="H378" s="11" t="str">
        <f aca="false">IF(C378="","",IF(G378="","Thiếu thông tin",IF(G378&lt;6,"Trẻ em",IF(G378&lt;23,"Học sinh / Sinh viên",IF(G378&lt;60,"Đang đi làm","Nghỉ hưu")))))</f>
        <v>Đang đi làm</v>
      </c>
      <c r="I378" s="6"/>
      <c r="J378" s="11" t="str">
        <f aca="false">IF(B378="","",IFERROR(INDEX('Hộ gia đình'!$B$2:$B$2000,MATCH(B378,'Hộ gia đình'!$A$2:$A$2000,0)),"Mã hộ không tồn tại"))</f>
        <v>2 ngách 17/9 Tạ Quang Bửu</v>
      </c>
      <c r="K378" s="14" t="s">
        <v>1434</v>
      </c>
      <c r="L378" s="14"/>
      <c r="M378" s="6" t="s">
        <v>732</v>
      </c>
      <c r="N378" s="6" t="s">
        <v>388</v>
      </c>
      <c r="O378" s="6" t="s">
        <v>389</v>
      </c>
      <c r="P378" s="6"/>
      <c r="Q378" s="6" t="s">
        <v>391</v>
      </c>
      <c r="R378" s="12"/>
    </row>
    <row r="379" customFormat="false" ht="15" hidden="false" customHeight="true" outlineLevel="0" collapsed="false">
      <c r="A379" s="6" t="s">
        <v>1435</v>
      </c>
      <c r="B379" s="6" t="s">
        <v>208</v>
      </c>
      <c r="C379" s="6" t="s">
        <v>1436</v>
      </c>
      <c r="D379" s="6" t="s">
        <v>385</v>
      </c>
      <c r="E379" s="13" t="n">
        <v>37153</v>
      </c>
      <c r="F379" s="6" t="n">
        <v>2001</v>
      </c>
      <c r="G379" s="11" t="n">
        <f aca="true">IF(F379="","",YEAR(TODAY())-F379)</f>
        <v>25</v>
      </c>
      <c r="H379" s="11" t="str">
        <f aca="false">IF(C379="","",IF(G379="","Thiếu thông tin",IF(G379&lt;6,"Trẻ em",IF(G379&lt;23,"Học sinh / Sinh viên",IF(G379&lt;60,"Đang đi làm","Nghỉ hưu")))))</f>
        <v>Đang đi làm</v>
      </c>
      <c r="I379" s="6"/>
      <c r="J379" s="11" t="str">
        <f aca="false">IF(B379="","",IFERROR(INDEX('Hộ gia đình'!$B$2:$B$2000,MATCH(B379,'Hộ gia đình'!$A$2:$A$2000,0)),"Mã hộ không tồn tại"))</f>
        <v>2 ngách 17/9 Tạ Quang Bửu</v>
      </c>
      <c r="K379" s="14" t="s">
        <v>1437</v>
      </c>
      <c r="L379" s="14"/>
      <c r="M379" s="6" t="s">
        <v>459</v>
      </c>
      <c r="N379" s="6" t="s">
        <v>388</v>
      </c>
      <c r="O379" s="6" t="s">
        <v>389</v>
      </c>
      <c r="P379" s="6"/>
      <c r="Q379" s="6" t="s">
        <v>1120</v>
      </c>
      <c r="R379" s="12"/>
    </row>
    <row r="380" customFormat="false" ht="15" hidden="false" customHeight="true" outlineLevel="0" collapsed="false">
      <c r="A380" s="6" t="s">
        <v>1438</v>
      </c>
      <c r="B380" s="6" t="s">
        <v>208</v>
      </c>
      <c r="C380" s="6" t="s">
        <v>1439</v>
      </c>
      <c r="D380" s="6" t="s">
        <v>408</v>
      </c>
      <c r="E380" s="13" t="n">
        <v>38627</v>
      </c>
      <c r="F380" s="6" t="n">
        <v>2005</v>
      </c>
      <c r="G380" s="11" t="n">
        <f aca="true">IF(F380="","",YEAR(TODAY())-F380)</f>
        <v>21</v>
      </c>
      <c r="H380" s="11" t="str">
        <f aca="false">IF(C380="","",IF(G380="","Thiếu thông tin",IF(G380&lt;6,"Trẻ em",IF(G380&lt;23,"Học sinh / Sinh viên",IF(G380&lt;60,"Đang đi làm","Nghỉ hưu")))))</f>
        <v>Học sinh / Sinh viên</v>
      </c>
      <c r="I380" s="6"/>
      <c r="J380" s="11" t="str">
        <f aca="false">IF(B380="","",IFERROR(INDEX('Hộ gia đình'!$B$2:$B$2000,MATCH(B380,'Hộ gia đình'!$A$2:$A$2000,0)),"Mã hộ không tồn tại"))</f>
        <v>2 ngách 17/9 Tạ Quang Bửu</v>
      </c>
      <c r="K380" s="14" t="s">
        <v>1440</v>
      </c>
      <c r="L380" s="14"/>
      <c r="M380" s="6" t="s">
        <v>422</v>
      </c>
      <c r="N380" s="6" t="s">
        <v>388</v>
      </c>
      <c r="O380" s="6" t="s">
        <v>389</v>
      </c>
      <c r="P380" s="6"/>
      <c r="Q380" s="6" t="s">
        <v>1120</v>
      </c>
      <c r="R380" s="12"/>
    </row>
    <row r="381" customFormat="false" ht="15" hidden="false" customHeight="true" outlineLevel="0" collapsed="false">
      <c r="A381" s="6" t="s">
        <v>1441</v>
      </c>
      <c r="B381" s="6" t="s">
        <v>210</v>
      </c>
      <c r="C381" s="6" t="s">
        <v>1442</v>
      </c>
      <c r="D381" s="6" t="s">
        <v>385</v>
      </c>
      <c r="E381" s="13" t="n">
        <v>20591</v>
      </c>
      <c r="F381" s="6" t="n">
        <v>1956</v>
      </c>
      <c r="G381" s="11" t="n">
        <f aca="true">IF(F381="","",YEAR(TODAY())-F381)</f>
        <v>70</v>
      </c>
      <c r="H381" s="11" t="str">
        <f aca="false">IF(C381="","",IF(G381="","Thiếu thông tin",IF(G381&lt;6,"Trẻ em",IF(G381&lt;23,"Học sinh / Sinh viên",IF(G381&lt;60,"Đang đi làm","Nghỉ hưu")))))</f>
        <v>Nghỉ hưu</v>
      </c>
      <c r="I381" s="6" t="s">
        <v>52</v>
      </c>
      <c r="J381" s="11" t="str">
        <f aca="false">IF(B381="","",IFERROR(INDEX('Hộ gia đình'!$B$2:$B$2000,MATCH(B381,'Hộ gia đình'!$A$2:$A$2000,0)),"Mã hộ không tồn tại"))</f>
        <v>4 ngách 17/9 Tạ Quang Bửu</v>
      </c>
      <c r="K381" s="14" t="s">
        <v>1443</v>
      </c>
      <c r="L381" s="14"/>
      <c r="M381" s="6" t="s">
        <v>451</v>
      </c>
      <c r="N381" s="6" t="s">
        <v>388</v>
      </c>
      <c r="O381" s="6" t="s">
        <v>389</v>
      </c>
      <c r="P381" s="6"/>
      <c r="Q381" s="6" t="s">
        <v>391</v>
      </c>
      <c r="R381" s="12" t="s">
        <v>1444</v>
      </c>
    </row>
    <row r="382" customFormat="false" ht="15" hidden="false" customHeight="true" outlineLevel="0" collapsed="false">
      <c r="A382" s="6" t="s">
        <v>1445</v>
      </c>
      <c r="B382" s="6" t="s">
        <v>210</v>
      </c>
      <c r="C382" s="6" t="s">
        <v>1446</v>
      </c>
      <c r="D382" s="6" t="s">
        <v>385</v>
      </c>
      <c r="E382" s="13" t="n">
        <v>30392</v>
      </c>
      <c r="F382" s="6" t="n">
        <v>1983</v>
      </c>
      <c r="G382" s="11" t="n">
        <f aca="true">IF(F382="","",YEAR(TODAY())-F382)</f>
        <v>43</v>
      </c>
      <c r="H382" s="11" t="str">
        <f aca="false">IF(C382="","",IF(G382="","Thiếu thông tin",IF(G382&lt;6,"Trẻ em",IF(G382&lt;23,"Học sinh / Sinh viên",IF(G382&lt;60,"Đang đi làm","Nghỉ hưu")))))</f>
        <v>Đang đi làm</v>
      </c>
      <c r="I382" s="6"/>
      <c r="J382" s="11" t="str">
        <f aca="false">IF(B382="","",IFERROR(INDEX('Hộ gia đình'!$B$2:$B$2000,MATCH(B382,'Hộ gia đình'!$A$2:$A$2000,0)),"Mã hộ không tồn tại"))</f>
        <v>4 ngách 17/9 Tạ Quang Bửu</v>
      </c>
      <c r="K382" s="14" t="s">
        <v>1447</v>
      </c>
      <c r="L382" s="14"/>
      <c r="M382" s="6" t="s">
        <v>459</v>
      </c>
      <c r="N382" s="6" t="s">
        <v>388</v>
      </c>
      <c r="O382" s="6" t="s">
        <v>389</v>
      </c>
      <c r="P382" s="6"/>
      <c r="Q382" s="6" t="s">
        <v>391</v>
      </c>
      <c r="R382" s="12"/>
    </row>
    <row r="383" customFormat="false" ht="15" hidden="false" customHeight="true" outlineLevel="0" collapsed="false">
      <c r="A383" s="6" t="s">
        <v>1448</v>
      </c>
      <c r="B383" s="6" t="s">
        <v>210</v>
      </c>
      <c r="C383" s="6" t="s">
        <v>1449</v>
      </c>
      <c r="D383" s="6" t="s">
        <v>408</v>
      </c>
      <c r="E383" s="13" t="n">
        <v>30231</v>
      </c>
      <c r="F383" s="6" t="n">
        <v>1982</v>
      </c>
      <c r="G383" s="11" t="n">
        <f aca="true">IF(F383="","",YEAR(TODAY())-F383)</f>
        <v>44</v>
      </c>
      <c r="H383" s="11" t="str">
        <f aca="false">IF(C383="","",IF(G383="","Thiếu thông tin",IF(G383&lt;6,"Trẻ em",IF(G383&lt;23,"Học sinh / Sinh viên",IF(G383&lt;60,"Đang đi làm","Nghỉ hưu")))))</f>
        <v>Đang đi làm</v>
      </c>
      <c r="I383" s="6"/>
      <c r="J383" s="11" t="str">
        <f aca="false">IF(B383="","",IFERROR(INDEX('Hộ gia đình'!$B$2:$B$2000,MATCH(B383,'Hộ gia đình'!$A$2:$A$2000,0)),"Mã hộ không tồn tại"))</f>
        <v>4 ngách 17/9 Tạ Quang Bửu</v>
      </c>
      <c r="K383" s="14" t="s">
        <v>1450</v>
      </c>
      <c r="L383" s="14"/>
      <c r="M383" s="6" t="s">
        <v>459</v>
      </c>
      <c r="N383" s="6" t="s">
        <v>388</v>
      </c>
      <c r="O383" s="6" t="s">
        <v>389</v>
      </c>
      <c r="P383" s="6" t="s">
        <v>1179</v>
      </c>
      <c r="Q383" s="6" t="s">
        <v>391</v>
      </c>
      <c r="R383" s="12"/>
    </row>
    <row r="384" customFormat="false" ht="15" hidden="false" customHeight="true" outlineLevel="0" collapsed="false">
      <c r="A384" s="6" t="s">
        <v>1451</v>
      </c>
      <c r="B384" s="6" t="s">
        <v>210</v>
      </c>
      <c r="C384" s="6" t="s">
        <v>1452</v>
      </c>
      <c r="D384" s="6"/>
      <c r="E384" s="13"/>
      <c r="F384" s="6" t="n">
        <v>2009</v>
      </c>
      <c r="G384" s="11" t="n">
        <f aca="true">IF(F384="","",YEAR(TODAY())-F384)</f>
        <v>17</v>
      </c>
      <c r="H384" s="11" t="str">
        <f aca="false">IF(C384="","",IF(G384="","Thiếu thông tin",IF(G384&lt;6,"Trẻ em",IF(G384&lt;23,"Học sinh / Sinh viên",IF(G384&lt;60,"Đang đi làm","Nghỉ hưu")))))</f>
        <v>Học sinh / Sinh viên</v>
      </c>
      <c r="I384" s="6"/>
      <c r="J384" s="11" t="str">
        <f aca="false">IF(B384="","",IFERROR(INDEX('Hộ gia đình'!$B$2:$B$2000,MATCH(B384,'Hộ gia đình'!$A$2:$A$2000,0)),"Mã hộ không tồn tại"))</f>
        <v>4 ngách 17/9 Tạ Quang Bửu</v>
      </c>
      <c r="K384" s="14"/>
      <c r="L384" s="14"/>
      <c r="M384" s="6"/>
      <c r="N384" s="6" t="s">
        <v>395</v>
      </c>
      <c r="O384" s="6" t="s">
        <v>389</v>
      </c>
      <c r="P384" s="6"/>
      <c r="Q384" s="6" t="s">
        <v>403</v>
      </c>
      <c r="R384" s="12"/>
    </row>
    <row r="385" customFormat="false" ht="15" hidden="false" customHeight="true" outlineLevel="0" collapsed="false">
      <c r="A385" s="6" t="s">
        <v>1453</v>
      </c>
      <c r="B385" s="6" t="s">
        <v>210</v>
      </c>
      <c r="C385" s="6" t="s">
        <v>1454</v>
      </c>
      <c r="D385" s="6"/>
      <c r="E385" s="13"/>
      <c r="F385" s="6" t="n">
        <v>2014</v>
      </c>
      <c r="G385" s="11" t="n">
        <f aca="true">IF(F385="","",YEAR(TODAY())-F385)</f>
        <v>12</v>
      </c>
      <c r="H385" s="11" t="str">
        <f aca="false">IF(C385="","",IF(G385="","Thiếu thông tin",IF(G385&lt;6,"Trẻ em",IF(G385&lt;23,"Học sinh / Sinh viên",IF(G385&lt;60,"Đang đi làm","Nghỉ hưu")))))</f>
        <v>Học sinh / Sinh viên</v>
      </c>
      <c r="I385" s="6"/>
      <c r="J385" s="11" t="str">
        <f aca="false">IF(B385="","",IFERROR(INDEX('Hộ gia đình'!$B$2:$B$2000,MATCH(B385,'Hộ gia đình'!$A$2:$A$2000,0)),"Mã hộ không tồn tại"))</f>
        <v>4 ngách 17/9 Tạ Quang Bửu</v>
      </c>
      <c r="K385" s="14"/>
      <c r="L385" s="14"/>
      <c r="M385" s="6"/>
      <c r="N385" s="6" t="s">
        <v>395</v>
      </c>
      <c r="O385" s="6" t="s">
        <v>389</v>
      </c>
      <c r="P385" s="6"/>
      <c r="Q385" s="6" t="s">
        <v>403</v>
      </c>
      <c r="R385" s="12"/>
    </row>
    <row r="386" customFormat="false" ht="15" hidden="false" customHeight="true" outlineLevel="0" collapsed="false">
      <c r="A386" s="6" t="s">
        <v>1455</v>
      </c>
      <c r="B386" s="6" t="s">
        <v>210</v>
      </c>
      <c r="C386" s="6" t="s">
        <v>1456</v>
      </c>
      <c r="D386" s="6" t="s">
        <v>408</v>
      </c>
      <c r="E386" s="13" t="n">
        <v>27827</v>
      </c>
      <c r="F386" s="6" t="n">
        <v>1976</v>
      </c>
      <c r="G386" s="11" t="n">
        <f aca="true">IF(F386="","",YEAR(TODAY())-F386)</f>
        <v>50</v>
      </c>
      <c r="H386" s="11" t="str">
        <f aca="false">IF(C386="","",IF(G386="","Thiếu thông tin",IF(G386&lt;6,"Trẻ em",IF(G386&lt;23,"Học sinh / Sinh viên",IF(G386&lt;60,"Đang đi làm","Nghỉ hưu")))))</f>
        <v>Đang đi làm</v>
      </c>
      <c r="I386" s="6"/>
      <c r="J386" s="11" t="str">
        <f aca="false">IF(B386="","",IFERROR(INDEX('Hộ gia đình'!$B$2:$B$2000,MATCH(B386,'Hộ gia đình'!$A$2:$A$2000,0)),"Mã hộ không tồn tại"))</f>
        <v>4 ngách 17/9 Tạ Quang Bửu</v>
      </c>
      <c r="K386" s="14" t="s">
        <v>1457</v>
      </c>
      <c r="L386" s="14"/>
      <c r="M386" s="6" t="s">
        <v>459</v>
      </c>
      <c r="N386" s="6" t="s">
        <v>388</v>
      </c>
      <c r="O386" s="6" t="s">
        <v>389</v>
      </c>
      <c r="P386" s="6"/>
      <c r="Q386" s="6" t="s">
        <v>391</v>
      </c>
      <c r="R386" s="12" t="s">
        <v>1458</v>
      </c>
    </row>
    <row r="387" customFormat="false" ht="15" hidden="false" customHeight="true" outlineLevel="0" collapsed="false">
      <c r="A387" s="6" t="s">
        <v>1459</v>
      </c>
      <c r="B387" s="6" t="s">
        <v>210</v>
      </c>
      <c r="C387" s="6" t="s">
        <v>1460</v>
      </c>
      <c r="D387" s="6"/>
      <c r="E387" s="13"/>
      <c r="F387" s="6" t="n">
        <v>2009</v>
      </c>
      <c r="G387" s="11" t="n">
        <f aca="true">IF(F387="","",YEAR(TODAY())-F387)</f>
        <v>17</v>
      </c>
      <c r="H387" s="11" t="str">
        <f aca="false">IF(C387="","",IF(G387="","Thiếu thông tin",IF(G387&lt;6,"Trẻ em",IF(G387&lt;23,"Học sinh / Sinh viên",IF(G387&lt;60,"Đang đi làm","Nghỉ hưu")))))</f>
        <v>Học sinh / Sinh viên</v>
      </c>
      <c r="I387" s="6"/>
      <c r="J387" s="11" t="str">
        <f aca="false">IF(B387="","",IFERROR(INDEX('Hộ gia đình'!$B$2:$B$2000,MATCH(B387,'Hộ gia đình'!$A$2:$A$2000,0)),"Mã hộ không tồn tại"))</f>
        <v>4 ngách 17/9 Tạ Quang Bửu</v>
      </c>
      <c r="K387" s="14"/>
      <c r="L387" s="14" t="s">
        <v>1461</v>
      </c>
      <c r="M387" s="6"/>
      <c r="N387" s="6" t="s">
        <v>395</v>
      </c>
      <c r="O387" s="6" t="s">
        <v>389</v>
      </c>
      <c r="P387" s="6"/>
      <c r="Q387" s="6" t="s">
        <v>1067</v>
      </c>
      <c r="R387" s="12"/>
    </row>
    <row r="388" customFormat="false" ht="15" hidden="false" customHeight="true" outlineLevel="0" collapsed="false">
      <c r="A388" s="6" t="s">
        <v>1462</v>
      </c>
      <c r="B388" s="6" t="s">
        <v>210</v>
      </c>
      <c r="C388" s="6" t="s">
        <v>1463</v>
      </c>
      <c r="D388" s="6"/>
      <c r="E388" s="13"/>
      <c r="F388" s="6" t="n">
        <v>2012</v>
      </c>
      <c r="G388" s="11" t="n">
        <f aca="true">IF(F388="","",YEAR(TODAY())-F388)</f>
        <v>14</v>
      </c>
      <c r="H388" s="11" t="str">
        <f aca="false">IF(C388="","",IF(G388="","Thiếu thông tin",IF(G388&lt;6,"Trẻ em",IF(G388&lt;23,"Học sinh / Sinh viên",IF(G388&lt;60,"Đang đi làm","Nghỉ hưu")))))</f>
        <v>Học sinh / Sinh viên</v>
      </c>
      <c r="I388" s="6"/>
      <c r="J388" s="11" t="str">
        <f aca="false">IF(B388="","",IFERROR(INDEX('Hộ gia đình'!$B$2:$B$2000,MATCH(B388,'Hộ gia đình'!$A$2:$A$2000,0)),"Mã hộ không tồn tại"))</f>
        <v>4 ngách 17/9 Tạ Quang Bửu</v>
      </c>
      <c r="K388" s="14"/>
      <c r="L388" s="14"/>
      <c r="M388" s="6"/>
      <c r="N388" s="6" t="s">
        <v>395</v>
      </c>
      <c r="O388" s="6" t="s">
        <v>389</v>
      </c>
      <c r="P388" s="6"/>
      <c r="Q388" s="6" t="s">
        <v>403</v>
      </c>
      <c r="R388" s="12"/>
    </row>
    <row r="389" customFormat="false" ht="15" hidden="false" customHeight="true" outlineLevel="0" collapsed="false">
      <c r="A389" s="6" t="s">
        <v>1464</v>
      </c>
      <c r="B389" s="6" t="s">
        <v>212</v>
      </c>
      <c r="C389" s="6" t="s">
        <v>1465</v>
      </c>
      <c r="D389" s="6" t="s">
        <v>385</v>
      </c>
      <c r="E389" s="13" t="n">
        <v>32199</v>
      </c>
      <c r="F389" s="6" t="n">
        <v>1988</v>
      </c>
      <c r="G389" s="11" t="n">
        <f aca="true">IF(F389="","",YEAR(TODAY())-F389)</f>
        <v>38</v>
      </c>
      <c r="H389" s="11" t="str">
        <f aca="false">IF(C389="","",IF(G389="","Thiếu thông tin",IF(G389&lt;6,"Trẻ em",IF(G389&lt;23,"Học sinh / Sinh viên",IF(G389&lt;60,"Đang đi làm","Nghỉ hưu")))))</f>
        <v>Đang đi làm</v>
      </c>
      <c r="I389" s="6" t="s">
        <v>52</v>
      </c>
      <c r="J389" s="11" t="str">
        <f aca="false">IF(B389="","",IFERROR(INDEX('Hộ gia đình'!$B$2:$B$2000,MATCH(B389,'Hộ gia đình'!$A$2:$A$2000,0)),"Mã hộ không tồn tại"))</f>
        <v>6 ngách 17/9 Tạ Quang Bửu</v>
      </c>
      <c r="K389" s="14" t="s">
        <v>1466</v>
      </c>
      <c r="L389" s="14" t="s">
        <v>1467</v>
      </c>
      <c r="M389" s="6" t="s">
        <v>418</v>
      </c>
      <c r="N389" s="6" t="s">
        <v>388</v>
      </c>
      <c r="O389" s="6" t="s">
        <v>389</v>
      </c>
      <c r="P389" s="6"/>
      <c r="Q389" s="6" t="s">
        <v>1071</v>
      </c>
      <c r="R389" s="12"/>
    </row>
    <row r="390" customFormat="false" ht="15" hidden="false" customHeight="true" outlineLevel="0" collapsed="false">
      <c r="A390" s="6" t="s">
        <v>1468</v>
      </c>
      <c r="B390" s="6" t="s">
        <v>212</v>
      </c>
      <c r="C390" s="6" t="s">
        <v>1469</v>
      </c>
      <c r="D390" s="6" t="s">
        <v>408</v>
      </c>
      <c r="E390" s="13" t="n">
        <v>32380</v>
      </c>
      <c r="F390" s="6" t="n">
        <v>1988</v>
      </c>
      <c r="G390" s="11" t="n">
        <f aca="true">IF(F390="","",YEAR(TODAY())-F390)</f>
        <v>38</v>
      </c>
      <c r="H390" s="11" t="str">
        <f aca="false">IF(C390="","",IF(G390="","Thiếu thông tin",IF(G390&lt;6,"Trẻ em",IF(G390&lt;23,"Học sinh / Sinh viên",IF(G390&lt;60,"Đang đi làm","Nghỉ hưu")))))</f>
        <v>Đang đi làm</v>
      </c>
      <c r="I390" s="6"/>
      <c r="J390" s="11" t="str">
        <f aca="false">IF(B390="","",IFERROR(INDEX('Hộ gia đình'!$B$2:$B$2000,MATCH(B390,'Hộ gia đình'!$A$2:$A$2000,0)),"Mã hộ không tồn tại"))</f>
        <v>6 ngách 17/9 Tạ Quang Bửu</v>
      </c>
      <c r="K390" s="14" t="s">
        <v>1470</v>
      </c>
      <c r="L390" s="14"/>
      <c r="M390" s="6" t="s">
        <v>418</v>
      </c>
      <c r="N390" s="6" t="s">
        <v>388</v>
      </c>
      <c r="O390" s="6" t="s">
        <v>389</v>
      </c>
      <c r="P390" s="6"/>
      <c r="Q390" s="6" t="s">
        <v>1071</v>
      </c>
      <c r="R390" s="12"/>
    </row>
    <row r="391" customFormat="false" ht="15" hidden="false" customHeight="true" outlineLevel="0" collapsed="false">
      <c r="A391" s="6" t="s">
        <v>1471</v>
      </c>
      <c r="B391" s="6" t="s">
        <v>212</v>
      </c>
      <c r="C391" s="6" t="s">
        <v>1472</v>
      </c>
      <c r="D391" s="6"/>
      <c r="E391" s="13"/>
      <c r="F391" s="6" t="n">
        <v>2015</v>
      </c>
      <c r="G391" s="11" t="n">
        <f aca="true">IF(F391="","",YEAR(TODAY())-F391)</f>
        <v>11</v>
      </c>
      <c r="H391" s="11" t="str">
        <f aca="false">IF(C391="","",IF(G391="","Thiếu thông tin",IF(G391&lt;6,"Trẻ em",IF(G391&lt;23,"Học sinh / Sinh viên",IF(G391&lt;60,"Đang đi làm","Nghỉ hưu")))))</f>
        <v>Học sinh / Sinh viên</v>
      </c>
      <c r="I391" s="6"/>
      <c r="J391" s="11" t="str">
        <f aca="false">IF(B391="","",IFERROR(INDEX('Hộ gia đình'!$B$2:$B$2000,MATCH(B391,'Hộ gia đình'!$A$2:$A$2000,0)),"Mã hộ không tồn tại"))</f>
        <v>6 ngách 17/9 Tạ Quang Bửu</v>
      </c>
      <c r="K391" s="14"/>
      <c r="L391" s="14"/>
      <c r="M391" s="6"/>
      <c r="N391" s="6" t="s">
        <v>395</v>
      </c>
      <c r="O391" s="6" t="s">
        <v>389</v>
      </c>
      <c r="P391" s="6"/>
      <c r="Q391" s="6" t="s">
        <v>403</v>
      </c>
      <c r="R391" s="12"/>
    </row>
    <row r="392" customFormat="false" ht="15" hidden="false" customHeight="true" outlineLevel="0" collapsed="false">
      <c r="A392" s="6" t="s">
        <v>1473</v>
      </c>
      <c r="B392" s="6" t="s">
        <v>212</v>
      </c>
      <c r="C392" s="6" t="s">
        <v>1474</v>
      </c>
      <c r="D392" s="6"/>
      <c r="E392" s="13"/>
      <c r="F392" s="6" t="n">
        <v>2021</v>
      </c>
      <c r="G392" s="11" t="n">
        <f aca="true">IF(F392="","",YEAR(TODAY())-F392)</f>
        <v>5</v>
      </c>
      <c r="H392" s="11" t="str">
        <f aca="false">IF(C392="","",IF(G392="","Thiếu thông tin",IF(G392&lt;6,"Trẻ em",IF(G392&lt;23,"Học sinh / Sinh viên",IF(G392&lt;60,"Đang đi làm","Nghỉ hưu")))))</f>
        <v>Trẻ em</v>
      </c>
      <c r="I392" s="6"/>
      <c r="J392" s="11" t="str">
        <f aca="false">IF(B392="","",IFERROR(INDEX('Hộ gia đình'!$B$2:$B$2000,MATCH(B392,'Hộ gia đình'!$A$2:$A$2000,0)),"Mã hộ không tồn tại"))</f>
        <v>6 ngách 17/9 Tạ Quang Bửu</v>
      </c>
      <c r="K392" s="14"/>
      <c r="L392" s="14"/>
      <c r="M392" s="6"/>
      <c r="N392" s="6" t="s">
        <v>395</v>
      </c>
      <c r="O392" s="6" t="s">
        <v>389</v>
      </c>
      <c r="P392" s="6"/>
      <c r="Q392" s="6" t="s">
        <v>403</v>
      </c>
      <c r="R392" s="12"/>
    </row>
    <row r="393" customFormat="false" ht="15" hidden="false" customHeight="true" outlineLevel="0" collapsed="false">
      <c r="A393" s="6" t="s">
        <v>1475</v>
      </c>
      <c r="B393" s="6" t="s">
        <v>214</v>
      </c>
      <c r="C393" s="6" t="s">
        <v>1476</v>
      </c>
      <c r="D393" s="6" t="s">
        <v>385</v>
      </c>
      <c r="E393" s="13" t="n">
        <v>19742</v>
      </c>
      <c r="F393" s="6" t="n">
        <v>1954</v>
      </c>
      <c r="G393" s="11" t="n">
        <f aca="true">IF(F393="","",YEAR(TODAY())-F393)</f>
        <v>72</v>
      </c>
      <c r="H393" s="11" t="str">
        <f aca="false">IF(C393="","",IF(G393="","Thiếu thông tin",IF(G393&lt;6,"Trẻ em",IF(G393&lt;23,"Học sinh / Sinh viên",IF(G393&lt;60,"Đang đi làm","Nghỉ hưu")))))</f>
        <v>Nghỉ hưu</v>
      </c>
      <c r="I393" s="6" t="s">
        <v>52</v>
      </c>
      <c r="J393" s="11" t="str">
        <f aca="false">IF(B393="","",IFERROR(INDEX('Hộ gia đình'!$B$2:$B$2000,MATCH(B393,'Hộ gia đình'!$A$2:$A$2000,0)),"Mã hộ không tồn tại"))</f>
        <v>10 ngách 17/9 Tạ Quang Bửu</v>
      </c>
      <c r="K393" s="14" t="s">
        <v>1477</v>
      </c>
      <c r="L393" s="14"/>
      <c r="M393" s="6" t="s">
        <v>451</v>
      </c>
      <c r="N393" s="6" t="s">
        <v>388</v>
      </c>
      <c r="O393" s="6" t="s">
        <v>389</v>
      </c>
      <c r="P393" s="6"/>
      <c r="Q393" s="6" t="s">
        <v>391</v>
      </c>
      <c r="R393" s="12"/>
    </row>
    <row r="394" customFormat="false" ht="15" hidden="false" customHeight="true" outlineLevel="0" collapsed="false">
      <c r="A394" s="6" t="s">
        <v>1478</v>
      </c>
      <c r="B394" s="6" t="s">
        <v>214</v>
      </c>
      <c r="C394" s="6" t="s">
        <v>1479</v>
      </c>
      <c r="D394" s="6" t="s">
        <v>408</v>
      </c>
      <c r="E394" s="13" t="n">
        <v>19891</v>
      </c>
      <c r="F394" s="6" t="n">
        <v>1954</v>
      </c>
      <c r="G394" s="11" t="n">
        <f aca="true">IF(F394="","",YEAR(TODAY())-F394)</f>
        <v>72</v>
      </c>
      <c r="H394" s="11" t="str">
        <f aca="false">IF(C394="","",IF(G394="","Thiếu thông tin",IF(G394&lt;6,"Trẻ em",IF(G394&lt;23,"Học sinh / Sinh viên",IF(G394&lt;60,"Đang đi làm","Nghỉ hưu")))))</f>
        <v>Nghỉ hưu</v>
      </c>
      <c r="I394" s="6"/>
      <c r="J394" s="11" t="str">
        <f aca="false">IF(B394="","",IFERROR(INDEX('Hộ gia đình'!$B$2:$B$2000,MATCH(B394,'Hộ gia đình'!$A$2:$A$2000,0)),"Mã hộ không tồn tại"))</f>
        <v>10 ngách 17/9 Tạ Quang Bửu</v>
      </c>
      <c r="K394" s="14" t="s">
        <v>1480</v>
      </c>
      <c r="L394" s="14"/>
      <c r="M394" s="6" t="s">
        <v>451</v>
      </c>
      <c r="N394" s="6" t="s">
        <v>388</v>
      </c>
      <c r="O394" s="6" t="s">
        <v>389</v>
      </c>
      <c r="P394" s="6"/>
      <c r="Q394" s="6" t="s">
        <v>391</v>
      </c>
      <c r="R394" s="12"/>
    </row>
    <row r="395" customFormat="false" ht="15" hidden="false" customHeight="true" outlineLevel="0" collapsed="false">
      <c r="A395" s="6" t="s">
        <v>1481</v>
      </c>
      <c r="B395" s="6" t="s">
        <v>214</v>
      </c>
      <c r="C395" s="6" t="s">
        <v>1482</v>
      </c>
      <c r="D395" s="6"/>
      <c r="E395" s="13"/>
      <c r="F395" s="6" t="n">
        <v>1982</v>
      </c>
      <c r="G395" s="11" t="n">
        <f aca="true">IF(F395="","",YEAR(TODAY())-F395)</f>
        <v>44</v>
      </c>
      <c r="H395" s="11" t="str">
        <f aca="false">IF(C395="","",IF(G395="","Thiếu thông tin",IF(G395&lt;6,"Trẻ em",IF(G395&lt;23,"Học sinh / Sinh viên",IF(G395&lt;60,"Đang đi làm","Nghỉ hưu")))))</f>
        <v>Đang đi làm</v>
      </c>
      <c r="I395" s="6"/>
      <c r="J395" s="11" t="str">
        <f aca="false">IF(B395="","",IFERROR(INDEX('Hộ gia đình'!$B$2:$B$2000,MATCH(B395,'Hộ gia đình'!$A$2:$A$2000,0)),"Mã hộ không tồn tại"))</f>
        <v>10 ngách 17/9 Tạ Quang Bửu</v>
      </c>
      <c r="K395" s="14"/>
      <c r="L395" s="14"/>
      <c r="M395" s="6"/>
      <c r="N395" s="6" t="s">
        <v>395</v>
      </c>
      <c r="O395" s="6" t="s">
        <v>389</v>
      </c>
      <c r="P395" s="6"/>
      <c r="Q395" s="6" t="s">
        <v>396</v>
      </c>
      <c r="R395" s="12"/>
    </row>
    <row r="396" customFormat="false" ht="15" hidden="false" customHeight="true" outlineLevel="0" collapsed="false">
      <c r="A396" s="6" t="s">
        <v>1483</v>
      </c>
      <c r="B396" s="6" t="s">
        <v>214</v>
      </c>
      <c r="C396" s="6" t="s">
        <v>1484</v>
      </c>
      <c r="D396" s="6" t="s">
        <v>385</v>
      </c>
      <c r="E396" s="13" t="n">
        <v>30032</v>
      </c>
      <c r="F396" s="6" t="n">
        <v>1982</v>
      </c>
      <c r="G396" s="11" t="n">
        <f aca="true">IF(F396="","",YEAR(TODAY())-F396)</f>
        <v>44</v>
      </c>
      <c r="H396" s="11" t="str">
        <f aca="false">IF(C396="","",IF(G396="","Thiếu thông tin",IF(G396&lt;6,"Trẻ em",IF(G396&lt;23,"Học sinh / Sinh viên",IF(G396&lt;60,"Đang đi làm","Nghỉ hưu")))))</f>
        <v>Đang đi làm</v>
      </c>
      <c r="I396" s="6"/>
      <c r="J396" s="11" t="str">
        <f aca="false">IF(B396="","",IFERROR(INDEX('Hộ gia đình'!$B$2:$B$2000,MATCH(B396,'Hộ gia đình'!$A$2:$A$2000,0)),"Mã hộ không tồn tại"))</f>
        <v>10 ngách 17/9 Tạ Quang Bửu</v>
      </c>
      <c r="K396" s="14" t="s">
        <v>1485</v>
      </c>
      <c r="L396" s="14"/>
      <c r="M396" s="6" t="s">
        <v>459</v>
      </c>
      <c r="N396" s="6" t="s">
        <v>388</v>
      </c>
      <c r="O396" s="6" t="s">
        <v>389</v>
      </c>
      <c r="P396" s="6"/>
      <c r="Q396" s="6" t="s">
        <v>391</v>
      </c>
      <c r="R396" s="12"/>
    </row>
    <row r="397" customFormat="false" ht="15" hidden="false" customHeight="true" outlineLevel="0" collapsed="false">
      <c r="A397" s="6" t="s">
        <v>1486</v>
      </c>
      <c r="B397" s="6" t="s">
        <v>214</v>
      </c>
      <c r="C397" s="6" t="s">
        <v>1487</v>
      </c>
      <c r="D397" s="6"/>
      <c r="E397" s="13"/>
      <c r="F397" s="6" t="n">
        <v>2009</v>
      </c>
      <c r="G397" s="11" t="n">
        <f aca="true">IF(F397="","",YEAR(TODAY())-F397)</f>
        <v>17</v>
      </c>
      <c r="H397" s="11" t="str">
        <f aca="false">IF(C397="","",IF(G397="","Thiếu thông tin",IF(G397&lt;6,"Trẻ em",IF(G397&lt;23,"Học sinh / Sinh viên",IF(G397&lt;60,"Đang đi làm","Nghỉ hưu")))))</f>
        <v>Học sinh / Sinh viên</v>
      </c>
      <c r="I397" s="6"/>
      <c r="J397" s="11" t="str">
        <f aca="false">IF(B397="","",IFERROR(INDEX('Hộ gia đình'!$B$2:$B$2000,MATCH(B397,'Hộ gia đình'!$A$2:$A$2000,0)),"Mã hộ không tồn tại"))</f>
        <v>10 ngách 17/9 Tạ Quang Bửu</v>
      </c>
      <c r="K397" s="14"/>
      <c r="L397" s="14"/>
      <c r="M397" s="6"/>
      <c r="N397" s="6" t="s">
        <v>395</v>
      </c>
      <c r="O397" s="6" t="s">
        <v>389</v>
      </c>
      <c r="P397" s="6"/>
      <c r="Q397" s="6" t="s">
        <v>403</v>
      </c>
      <c r="R397" s="12"/>
    </row>
    <row r="398" customFormat="false" ht="15" hidden="false" customHeight="true" outlineLevel="0" collapsed="false">
      <c r="A398" s="6" t="s">
        <v>1488</v>
      </c>
      <c r="B398" s="6" t="s">
        <v>214</v>
      </c>
      <c r="C398" s="6" t="s">
        <v>1489</v>
      </c>
      <c r="D398" s="6"/>
      <c r="E398" s="13"/>
      <c r="F398" s="6" t="n">
        <v>2009</v>
      </c>
      <c r="G398" s="11" t="n">
        <f aca="true">IF(F398="","",YEAR(TODAY())-F398)</f>
        <v>17</v>
      </c>
      <c r="H398" s="11" t="str">
        <f aca="false">IF(C398="","",IF(G398="","Thiếu thông tin",IF(G398&lt;6,"Trẻ em",IF(G398&lt;23,"Học sinh / Sinh viên",IF(G398&lt;60,"Đang đi làm","Nghỉ hưu")))))</f>
        <v>Học sinh / Sinh viên</v>
      </c>
      <c r="I398" s="6"/>
      <c r="J398" s="11" t="str">
        <f aca="false">IF(B398="","",IFERROR(INDEX('Hộ gia đình'!$B$2:$B$2000,MATCH(B398,'Hộ gia đình'!$A$2:$A$2000,0)),"Mã hộ không tồn tại"))</f>
        <v>10 ngách 17/9 Tạ Quang Bửu</v>
      </c>
      <c r="K398" s="14"/>
      <c r="L398" s="14"/>
      <c r="M398" s="6"/>
      <c r="N398" s="6" t="s">
        <v>395</v>
      </c>
      <c r="O398" s="6" t="s">
        <v>389</v>
      </c>
      <c r="P398" s="6"/>
      <c r="Q398" s="6" t="s">
        <v>403</v>
      </c>
      <c r="R398" s="12"/>
    </row>
    <row r="399" customFormat="false" ht="15" hidden="false" customHeight="true" outlineLevel="0" collapsed="false">
      <c r="A399" s="6" t="s">
        <v>1490</v>
      </c>
      <c r="B399" s="6" t="s">
        <v>216</v>
      </c>
      <c r="C399" s="6" t="s">
        <v>1491</v>
      </c>
      <c r="D399" s="6" t="s">
        <v>408</v>
      </c>
      <c r="E399" s="13" t="n">
        <v>26259</v>
      </c>
      <c r="F399" s="6" t="n">
        <v>1971</v>
      </c>
      <c r="G399" s="11" t="n">
        <f aca="true">IF(F399="","",YEAR(TODAY())-F399)</f>
        <v>55</v>
      </c>
      <c r="H399" s="11" t="str">
        <f aca="false">IF(C399="","",IF(G399="","Thiếu thông tin",IF(G399&lt;6,"Trẻ em",IF(G399&lt;23,"Học sinh / Sinh viên",IF(G399&lt;60,"Đang đi làm","Nghỉ hưu")))))</f>
        <v>Đang đi làm</v>
      </c>
      <c r="I399" s="6" t="s">
        <v>52</v>
      </c>
      <c r="J399" s="11" t="str">
        <f aca="false">IF(B399="","",IFERROR(INDEX('Hộ gia đình'!$B$2:$B$2000,MATCH(B399,'Hộ gia đình'!$A$2:$A$2000,0)),"Mã hộ không tồn tại"))</f>
        <v>5 ngách 17/9 Tạ Quang Bửu</v>
      </c>
      <c r="K399" s="14" t="s">
        <v>1492</v>
      </c>
      <c r="L399" s="14"/>
      <c r="M399" s="6" t="s">
        <v>459</v>
      </c>
      <c r="N399" s="6" t="s">
        <v>388</v>
      </c>
      <c r="O399" s="6" t="s">
        <v>389</v>
      </c>
      <c r="P399" s="6"/>
      <c r="Q399" s="6" t="s">
        <v>1071</v>
      </c>
      <c r="R399" s="12"/>
    </row>
    <row r="400" customFormat="false" ht="15" hidden="false" customHeight="true" outlineLevel="0" collapsed="false">
      <c r="A400" s="6" t="s">
        <v>1493</v>
      </c>
      <c r="B400" s="6" t="s">
        <v>216</v>
      </c>
      <c r="C400" s="6" t="s">
        <v>1494</v>
      </c>
      <c r="D400" s="6" t="s">
        <v>385</v>
      </c>
      <c r="E400" s="13" t="n">
        <v>25914</v>
      </c>
      <c r="F400" s="6" t="n">
        <v>1970</v>
      </c>
      <c r="G400" s="11" t="n">
        <f aca="true">IF(F400="","",YEAR(TODAY())-F400)</f>
        <v>56</v>
      </c>
      <c r="H400" s="11" t="str">
        <f aca="false">IF(C400="","",IF(G400="","Thiếu thông tin",IF(G400&lt;6,"Trẻ em",IF(G400&lt;23,"Học sinh / Sinh viên",IF(G400&lt;60,"Đang đi làm","Nghỉ hưu")))))</f>
        <v>Đang đi làm</v>
      </c>
      <c r="I400" s="6"/>
      <c r="J400" s="11" t="str">
        <f aca="false">IF(B400="","",IFERROR(INDEX('Hộ gia đình'!$B$2:$B$2000,MATCH(B400,'Hộ gia đình'!$A$2:$A$2000,0)),"Mã hộ không tồn tại"))</f>
        <v>5 ngách 17/9 Tạ Quang Bửu</v>
      </c>
      <c r="K400" s="14" t="s">
        <v>1495</v>
      </c>
      <c r="L400" s="14"/>
      <c r="M400" s="6" t="s">
        <v>459</v>
      </c>
      <c r="N400" s="6" t="s">
        <v>388</v>
      </c>
      <c r="O400" s="6" t="s">
        <v>389</v>
      </c>
      <c r="P400" s="6"/>
      <c r="Q400" s="6" t="s">
        <v>1071</v>
      </c>
      <c r="R400" s="12" t="s">
        <v>1496</v>
      </c>
    </row>
    <row r="401" customFormat="false" ht="15" hidden="false" customHeight="true" outlineLevel="0" collapsed="false">
      <c r="A401" s="6" t="s">
        <v>1497</v>
      </c>
      <c r="B401" s="6" t="s">
        <v>216</v>
      </c>
      <c r="C401" s="6" t="s">
        <v>1498</v>
      </c>
      <c r="D401" s="6" t="s">
        <v>385</v>
      </c>
      <c r="E401" s="13" t="n">
        <v>35628</v>
      </c>
      <c r="F401" s="6" t="n">
        <v>1997</v>
      </c>
      <c r="G401" s="11" t="n">
        <f aca="true">IF(F401="","",YEAR(TODAY())-F401)</f>
        <v>29</v>
      </c>
      <c r="H401" s="11" t="str">
        <f aca="false">IF(C401="","",IF(G401="","Thiếu thông tin",IF(G401&lt;6,"Trẻ em",IF(G401&lt;23,"Học sinh / Sinh viên",IF(G401&lt;60,"Đang đi làm","Nghỉ hưu")))))</f>
        <v>Đang đi làm</v>
      </c>
      <c r="I401" s="6"/>
      <c r="J401" s="11" t="str">
        <f aca="false">IF(B401="","",IFERROR(INDEX('Hộ gia đình'!$B$2:$B$2000,MATCH(B401,'Hộ gia đình'!$A$2:$A$2000,0)),"Mã hộ không tồn tại"))</f>
        <v>5 ngách 17/9 Tạ Quang Bửu</v>
      </c>
      <c r="K401" s="14" t="s">
        <v>1499</v>
      </c>
      <c r="L401" s="14"/>
      <c r="M401" s="6" t="s">
        <v>459</v>
      </c>
      <c r="N401" s="6" t="s">
        <v>388</v>
      </c>
      <c r="O401" s="6" t="s">
        <v>389</v>
      </c>
      <c r="P401" s="6"/>
      <c r="Q401" s="6" t="s">
        <v>1120</v>
      </c>
      <c r="R401" s="12"/>
    </row>
    <row r="402" customFormat="false" ht="15" hidden="false" customHeight="true" outlineLevel="0" collapsed="false">
      <c r="A402" s="6" t="s">
        <v>1500</v>
      </c>
      <c r="B402" s="6" t="s">
        <v>216</v>
      </c>
      <c r="C402" s="6" t="s">
        <v>1501</v>
      </c>
      <c r="D402" s="6"/>
      <c r="E402" s="13"/>
      <c r="F402" s="6" t="n">
        <v>1998</v>
      </c>
      <c r="G402" s="11" t="n">
        <f aca="true">IF(F402="","",YEAR(TODAY())-F402)</f>
        <v>28</v>
      </c>
      <c r="H402" s="11" t="str">
        <f aca="false">IF(C402="","",IF(G402="","Thiếu thông tin",IF(G402&lt;6,"Trẻ em",IF(G402&lt;23,"Học sinh / Sinh viên",IF(G402&lt;60,"Đang đi làm","Nghỉ hưu")))))</f>
        <v>Đang đi làm</v>
      </c>
      <c r="I402" s="6"/>
      <c r="J402" s="11" t="str">
        <f aca="false">IF(B402="","",IFERROR(INDEX('Hộ gia đình'!$B$2:$B$2000,MATCH(B402,'Hộ gia đình'!$A$2:$A$2000,0)),"Mã hộ không tồn tại"))</f>
        <v>5 ngách 17/9 Tạ Quang Bửu</v>
      </c>
      <c r="K402" s="14"/>
      <c r="L402" s="14"/>
      <c r="M402" s="6"/>
      <c r="N402" s="6" t="s">
        <v>395</v>
      </c>
      <c r="O402" s="6" t="s">
        <v>389</v>
      </c>
      <c r="P402" s="6"/>
      <c r="Q402" s="6" t="s">
        <v>1067</v>
      </c>
      <c r="R402" s="12"/>
    </row>
    <row r="403" customFormat="false" ht="15" hidden="false" customHeight="true" outlineLevel="0" collapsed="false">
      <c r="A403" s="6" t="s">
        <v>1502</v>
      </c>
      <c r="B403" s="6" t="s">
        <v>216</v>
      </c>
      <c r="C403" s="6" t="s">
        <v>1503</v>
      </c>
      <c r="D403" s="6"/>
      <c r="E403" s="13"/>
      <c r="F403" s="6" t="n">
        <v>2000</v>
      </c>
      <c r="G403" s="11" t="n">
        <f aca="true">IF(F403="","",YEAR(TODAY())-F403)</f>
        <v>26</v>
      </c>
      <c r="H403" s="11" t="str">
        <f aca="false">IF(C403="","",IF(G403="","Thiếu thông tin",IF(G403&lt;6,"Trẻ em",IF(G403&lt;23,"Học sinh / Sinh viên",IF(G403&lt;60,"Đang đi làm","Nghỉ hưu")))))</f>
        <v>Đang đi làm</v>
      </c>
      <c r="I403" s="6"/>
      <c r="J403" s="11" t="str">
        <f aca="false">IF(B403="","",IFERROR(INDEX('Hộ gia đình'!$B$2:$B$2000,MATCH(B403,'Hộ gia đình'!$A$2:$A$2000,0)),"Mã hộ không tồn tại"))</f>
        <v>5 ngách 17/9 Tạ Quang Bửu</v>
      </c>
      <c r="K403" s="14"/>
      <c r="L403" s="14"/>
      <c r="M403" s="6"/>
      <c r="N403" s="6" t="s">
        <v>395</v>
      </c>
      <c r="O403" s="6" t="s">
        <v>389</v>
      </c>
      <c r="P403" s="6"/>
      <c r="Q403" s="6" t="s">
        <v>1067</v>
      </c>
      <c r="R403" s="12"/>
    </row>
    <row r="404" customFormat="false" ht="15" hidden="false" customHeight="true" outlineLevel="0" collapsed="false">
      <c r="A404" s="6" t="s">
        <v>1504</v>
      </c>
      <c r="B404" s="6" t="s">
        <v>218</v>
      </c>
      <c r="C404" s="6" t="s">
        <v>1505</v>
      </c>
      <c r="D404" s="6" t="s">
        <v>408</v>
      </c>
      <c r="E404" s="13" t="n">
        <v>25842</v>
      </c>
      <c r="F404" s="6" t="n">
        <v>1970</v>
      </c>
      <c r="G404" s="11" t="n">
        <f aca="true">IF(F404="","",YEAR(TODAY())-F404)</f>
        <v>56</v>
      </c>
      <c r="H404" s="11" t="str">
        <f aca="false">IF(C404="","",IF(G404="","Thiếu thông tin",IF(G404&lt;6,"Trẻ em",IF(G404&lt;23,"Học sinh / Sinh viên",IF(G404&lt;60,"Đang đi làm","Nghỉ hưu")))))</f>
        <v>Đang đi làm</v>
      </c>
      <c r="I404" s="6" t="s">
        <v>52</v>
      </c>
      <c r="J404" s="11" t="str">
        <f aca="false">IF(B404="","",IFERROR(INDEX('Hộ gia đình'!$B$2:$B$2000,MATCH(B404,'Hộ gia đình'!$A$2:$A$2000,0)),"Mã hộ không tồn tại"))</f>
        <v>7 ngõ 17/9 Tạ Quang Bửu</v>
      </c>
      <c r="K404" s="14" t="s">
        <v>1506</v>
      </c>
      <c r="L404" s="14"/>
      <c r="M404" s="6" t="s">
        <v>459</v>
      </c>
      <c r="N404" s="6" t="s">
        <v>388</v>
      </c>
      <c r="O404" s="6" t="s">
        <v>389</v>
      </c>
      <c r="P404" s="6"/>
      <c r="Q404" s="6" t="s">
        <v>1071</v>
      </c>
      <c r="R404" s="12"/>
    </row>
    <row r="405" customFormat="false" ht="15" hidden="false" customHeight="true" outlineLevel="0" collapsed="false">
      <c r="A405" s="6" t="s">
        <v>1507</v>
      </c>
      <c r="B405" s="6" t="s">
        <v>218</v>
      </c>
      <c r="C405" s="6" t="s">
        <v>1508</v>
      </c>
      <c r="D405" s="6" t="s">
        <v>385</v>
      </c>
      <c r="E405" s="13" t="n">
        <v>27198</v>
      </c>
      <c r="F405" s="6" t="n">
        <v>1974</v>
      </c>
      <c r="G405" s="11" t="n">
        <f aca="true">IF(F405="","",YEAR(TODAY())-F405)</f>
        <v>52</v>
      </c>
      <c r="H405" s="11" t="str">
        <f aca="false">IF(C405="","",IF(G405="","Thiếu thông tin",IF(G405&lt;6,"Trẻ em",IF(G405&lt;23,"Học sinh / Sinh viên",IF(G405&lt;60,"Đang đi làm","Nghỉ hưu")))))</f>
        <v>Đang đi làm</v>
      </c>
      <c r="I405" s="6"/>
      <c r="J405" s="11" t="str">
        <f aca="false">IF(B405="","",IFERROR(INDEX('Hộ gia đình'!$B$2:$B$2000,MATCH(B405,'Hộ gia đình'!$A$2:$A$2000,0)),"Mã hộ không tồn tại"))</f>
        <v>7 ngõ 17/9 Tạ Quang Bửu</v>
      </c>
      <c r="K405" s="14" t="s">
        <v>1509</v>
      </c>
      <c r="L405" s="14"/>
      <c r="M405" s="6" t="s">
        <v>459</v>
      </c>
      <c r="N405" s="6" t="s">
        <v>388</v>
      </c>
      <c r="O405" s="6" t="s">
        <v>389</v>
      </c>
      <c r="P405" s="6"/>
      <c r="Q405" s="6" t="s">
        <v>391</v>
      </c>
      <c r="R405" s="12"/>
    </row>
    <row r="406" customFormat="false" ht="15" hidden="false" customHeight="true" outlineLevel="0" collapsed="false">
      <c r="A406" s="6" t="s">
        <v>1510</v>
      </c>
      <c r="B406" s="6" t="s">
        <v>218</v>
      </c>
      <c r="C406" s="6" t="s">
        <v>1511</v>
      </c>
      <c r="D406" s="6"/>
      <c r="E406" s="13"/>
      <c r="F406" s="6" t="n">
        <v>2009</v>
      </c>
      <c r="G406" s="11" t="n">
        <f aca="true">IF(F406="","",YEAR(TODAY())-F406)</f>
        <v>17</v>
      </c>
      <c r="H406" s="11" t="str">
        <f aca="false">IF(C406="","",IF(G406="","Thiếu thông tin",IF(G406&lt;6,"Trẻ em",IF(G406&lt;23,"Học sinh / Sinh viên",IF(G406&lt;60,"Đang đi làm","Nghỉ hưu")))))</f>
        <v>Học sinh / Sinh viên</v>
      </c>
      <c r="I406" s="6"/>
      <c r="J406" s="11" t="str">
        <f aca="false">IF(B406="","",IFERROR(INDEX('Hộ gia đình'!$B$2:$B$2000,MATCH(B406,'Hộ gia đình'!$A$2:$A$2000,0)),"Mã hộ không tồn tại"))</f>
        <v>7 ngõ 17/9 Tạ Quang Bửu</v>
      </c>
      <c r="K406" s="14"/>
      <c r="L406" s="14"/>
      <c r="M406" s="6"/>
      <c r="N406" s="6" t="s">
        <v>395</v>
      </c>
      <c r="O406" s="6" t="s">
        <v>389</v>
      </c>
      <c r="P406" s="6"/>
      <c r="Q406" s="6" t="s">
        <v>1067</v>
      </c>
      <c r="R406" s="12"/>
    </row>
    <row r="407" customFormat="false" ht="15" hidden="false" customHeight="true" outlineLevel="0" collapsed="false">
      <c r="A407" s="6" t="s">
        <v>1512</v>
      </c>
      <c r="B407" s="6" t="s">
        <v>218</v>
      </c>
      <c r="C407" s="6" t="s">
        <v>1513</v>
      </c>
      <c r="D407" s="6"/>
      <c r="E407" s="13"/>
      <c r="F407" s="6" t="n">
        <v>2014</v>
      </c>
      <c r="G407" s="11" t="n">
        <f aca="true">IF(F407="","",YEAR(TODAY())-F407)</f>
        <v>12</v>
      </c>
      <c r="H407" s="11" t="str">
        <f aca="false">IF(C407="","",IF(G407="","Thiếu thông tin",IF(G407&lt;6,"Trẻ em",IF(G407&lt;23,"Học sinh / Sinh viên",IF(G407&lt;60,"Đang đi làm","Nghỉ hưu")))))</f>
        <v>Học sinh / Sinh viên</v>
      </c>
      <c r="I407" s="6"/>
      <c r="J407" s="11" t="str">
        <f aca="false">IF(B407="","",IFERROR(INDEX('Hộ gia đình'!$B$2:$B$2000,MATCH(B407,'Hộ gia đình'!$A$2:$A$2000,0)),"Mã hộ không tồn tại"))</f>
        <v>7 ngõ 17/9 Tạ Quang Bửu</v>
      </c>
      <c r="K407" s="14"/>
      <c r="L407" s="14"/>
      <c r="M407" s="6"/>
      <c r="N407" s="6" t="s">
        <v>395</v>
      </c>
      <c r="O407" s="6" t="s">
        <v>389</v>
      </c>
      <c r="P407" s="6"/>
      <c r="Q407" s="6" t="s">
        <v>403</v>
      </c>
      <c r="R407" s="12"/>
    </row>
    <row r="408" customFormat="false" ht="15" hidden="false" customHeight="true" outlineLevel="0" collapsed="false">
      <c r="A408" s="6" t="s">
        <v>1514</v>
      </c>
      <c r="B408" s="6" t="s">
        <v>220</v>
      </c>
      <c r="C408" s="6" t="s">
        <v>1515</v>
      </c>
      <c r="D408" s="6" t="s">
        <v>408</v>
      </c>
      <c r="E408" s="13" t="n">
        <v>12887</v>
      </c>
      <c r="F408" s="6" t="n">
        <v>1935</v>
      </c>
      <c r="G408" s="11" t="n">
        <f aca="true">IF(F408="","",YEAR(TODAY())-F408)</f>
        <v>91</v>
      </c>
      <c r="H408" s="11" t="str">
        <f aca="false">IF(C408="","",IF(G408="","Thiếu thông tin",IF(G408&lt;6,"Trẻ em",IF(G408&lt;23,"Học sinh / Sinh viên",IF(G408&lt;60,"Đang đi làm","Nghỉ hưu")))))</f>
        <v>Nghỉ hưu</v>
      </c>
      <c r="I408" s="6" t="s">
        <v>52</v>
      </c>
      <c r="J408" s="11" t="str">
        <f aca="false">IF(B408="","",IFERROR(INDEX('Hộ gia đình'!$B$2:$B$2000,MATCH(B408,'Hộ gia đình'!$A$2:$A$2000,0)),"Mã hộ không tồn tại"))</f>
        <v>11 ngách 17/9 Tạ Quang Bửu</v>
      </c>
      <c r="K408" s="14" t="s">
        <v>1516</v>
      </c>
      <c r="L408" s="14"/>
      <c r="M408" s="6" t="s">
        <v>451</v>
      </c>
      <c r="N408" s="6" t="s">
        <v>388</v>
      </c>
      <c r="O408" s="6" t="s">
        <v>389</v>
      </c>
      <c r="P408" s="6"/>
      <c r="Q408" s="6" t="s">
        <v>1071</v>
      </c>
      <c r="R408" s="12"/>
    </row>
    <row r="409" customFormat="false" ht="15" hidden="false" customHeight="true" outlineLevel="0" collapsed="false">
      <c r="A409" s="6" t="s">
        <v>1517</v>
      </c>
      <c r="B409" s="6" t="s">
        <v>220</v>
      </c>
      <c r="C409" s="6" t="s">
        <v>1518</v>
      </c>
      <c r="D409" s="6" t="s">
        <v>385</v>
      </c>
      <c r="E409" s="13" t="n">
        <v>14618</v>
      </c>
      <c r="F409" s="6" t="n">
        <v>1940</v>
      </c>
      <c r="G409" s="11" t="n">
        <f aca="true">IF(F409="","",YEAR(TODAY())-F409)</f>
        <v>86</v>
      </c>
      <c r="H409" s="11" t="str">
        <f aca="false">IF(C409="","",IF(G409="","Thiếu thông tin",IF(G409&lt;6,"Trẻ em",IF(G409&lt;23,"Học sinh / Sinh viên",IF(G409&lt;60,"Đang đi làm","Nghỉ hưu")))))</f>
        <v>Nghỉ hưu</v>
      </c>
      <c r="I409" s="6"/>
      <c r="J409" s="11" t="str">
        <f aca="false">IF(B409="","",IFERROR(INDEX('Hộ gia đình'!$B$2:$B$2000,MATCH(B409,'Hộ gia đình'!$A$2:$A$2000,0)),"Mã hộ không tồn tại"))</f>
        <v>11 ngách 17/9 Tạ Quang Bửu</v>
      </c>
      <c r="K409" s="14" t="s">
        <v>1519</v>
      </c>
      <c r="L409" s="14"/>
      <c r="M409" s="6" t="s">
        <v>451</v>
      </c>
      <c r="N409" s="6" t="s">
        <v>388</v>
      </c>
      <c r="O409" s="6" t="s">
        <v>389</v>
      </c>
      <c r="P409" s="6"/>
      <c r="Q409" s="6" t="s">
        <v>1071</v>
      </c>
      <c r="R409" s="12"/>
    </row>
    <row r="410" customFormat="false" ht="15" hidden="false" customHeight="true" outlineLevel="0" collapsed="false">
      <c r="A410" s="6" t="s">
        <v>1520</v>
      </c>
      <c r="B410" s="6" t="s">
        <v>222</v>
      </c>
      <c r="C410" s="6" t="s">
        <v>1521</v>
      </c>
      <c r="D410" s="6" t="s">
        <v>385</v>
      </c>
      <c r="E410" s="13" t="n">
        <v>22587</v>
      </c>
      <c r="F410" s="6" t="n">
        <v>1961</v>
      </c>
      <c r="G410" s="11" t="n">
        <f aca="true">IF(F410="","",YEAR(TODAY())-F410)</f>
        <v>65</v>
      </c>
      <c r="H410" s="11" t="str">
        <f aca="false">IF(C410="","",IF(G410="","Thiếu thông tin",IF(G410&lt;6,"Trẻ em",IF(G410&lt;23,"Học sinh / Sinh viên",IF(G410&lt;60,"Đang đi làm","Nghỉ hưu")))))</f>
        <v>Nghỉ hưu</v>
      </c>
      <c r="I410" s="6" t="s">
        <v>52</v>
      </c>
      <c r="J410" s="11" t="str">
        <f aca="false">IF(B410="","",IFERROR(INDEX('Hộ gia đình'!$B$2:$B$2000,MATCH(B410,'Hộ gia đình'!$A$2:$A$2000,0)),"Mã hộ không tồn tại"))</f>
        <v>11A ngách 17/9 Tạ Quang Bửu</v>
      </c>
      <c r="K410" s="14" t="s">
        <v>1522</v>
      </c>
      <c r="L410" s="14"/>
      <c r="M410" s="6" t="s">
        <v>451</v>
      </c>
      <c r="N410" s="6" t="s">
        <v>388</v>
      </c>
      <c r="O410" s="6" t="s">
        <v>389</v>
      </c>
      <c r="P410" s="6"/>
      <c r="Q410" s="6" t="s">
        <v>391</v>
      </c>
      <c r="R410" s="12"/>
    </row>
    <row r="411" customFormat="false" ht="15" hidden="false" customHeight="true" outlineLevel="0" collapsed="false">
      <c r="A411" s="6" t="s">
        <v>1523</v>
      </c>
      <c r="B411" s="6" t="s">
        <v>222</v>
      </c>
      <c r="C411" s="6" t="s">
        <v>1524</v>
      </c>
      <c r="D411" s="6" t="s">
        <v>408</v>
      </c>
      <c r="E411" s="13" t="n">
        <v>23201</v>
      </c>
      <c r="F411" s="6" t="n">
        <v>1963</v>
      </c>
      <c r="G411" s="11" t="n">
        <f aca="true">IF(F411="","",YEAR(TODAY())-F411)</f>
        <v>63</v>
      </c>
      <c r="H411" s="11" t="str">
        <f aca="false">IF(C411="","",IF(G411="","Thiếu thông tin",IF(G411&lt;6,"Trẻ em",IF(G411&lt;23,"Học sinh / Sinh viên",IF(G411&lt;60,"Đang đi làm","Nghỉ hưu")))))</f>
        <v>Nghỉ hưu</v>
      </c>
      <c r="I411" s="6"/>
      <c r="J411" s="11" t="str">
        <f aca="false">IF(B411="","",IFERROR(INDEX('Hộ gia đình'!$B$2:$B$2000,MATCH(B411,'Hộ gia đình'!$A$2:$A$2000,0)),"Mã hộ không tồn tại"))</f>
        <v>11A ngách 17/9 Tạ Quang Bửu</v>
      </c>
      <c r="K411" s="14" t="s">
        <v>1525</v>
      </c>
      <c r="L411" s="14"/>
      <c r="M411" s="6" t="s">
        <v>451</v>
      </c>
      <c r="N411" s="6" t="s">
        <v>388</v>
      </c>
      <c r="O411" s="6" t="s">
        <v>389</v>
      </c>
      <c r="P411" s="6"/>
      <c r="Q411" s="6" t="s">
        <v>1071</v>
      </c>
      <c r="R411" s="12"/>
    </row>
    <row r="412" customFormat="false" ht="15" hidden="false" customHeight="true" outlineLevel="0" collapsed="false">
      <c r="A412" s="6" t="s">
        <v>1526</v>
      </c>
      <c r="B412" s="6" t="s">
        <v>222</v>
      </c>
      <c r="C412" s="6" t="s">
        <v>1527</v>
      </c>
      <c r="D412" s="6" t="s">
        <v>408</v>
      </c>
      <c r="E412" s="13" t="n">
        <v>33594</v>
      </c>
      <c r="F412" s="6" t="n">
        <v>1991</v>
      </c>
      <c r="G412" s="11" t="n">
        <f aca="true">IF(F412="","",YEAR(TODAY())-F412)</f>
        <v>35</v>
      </c>
      <c r="H412" s="11" t="str">
        <f aca="false">IF(C412="","",IF(G412="","Thiếu thông tin",IF(G412&lt;6,"Trẻ em",IF(G412&lt;23,"Học sinh / Sinh viên",IF(G412&lt;60,"Đang đi làm","Nghỉ hưu")))))</f>
        <v>Đang đi làm</v>
      </c>
      <c r="I412" s="6"/>
      <c r="J412" s="11" t="str">
        <f aca="false">IF(B412="","",IFERROR(INDEX('Hộ gia đình'!$B$2:$B$2000,MATCH(B412,'Hộ gia đình'!$A$2:$A$2000,0)),"Mã hộ không tồn tại"))</f>
        <v>11A ngách 17/9 Tạ Quang Bửu</v>
      </c>
      <c r="K412" s="14" t="s">
        <v>1528</v>
      </c>
      <c r="L412" s="14"/>
      <c r="M412" s="6" t="s">
        <v>459</v>
      </c>
      <c r="N412" s="6" t="s">
        <v>388</v>
      </c>
      <c r="O412" s="6" t="s">
        <v>389</v>
      </c>
      <c r="P412" s="6"/>
      <c r="Q412" s="6" t="s">
        <v>1071</v>
      </c>
      <c r="R412" s="12"/>
    </row>
    <row r="413" customFormat="false" ht="15" hidden="false" customHeight="true" outlineLevel="0" collapsed="false">
      <c r="A413" s="6" t="s">
        <v>1529</v>
      </c>
      <c r="B413" s="6" t="s">
        <v>222</v>
      </c>
      <c r="C413" s="6" t="s">
        <v>1530</v>
      </c>
      <c r="D413" s="6" t="s">
        <v>385</v>
      </c>
      <c r="E413" s="13" t="n">
        <v>35198</v>
      </c>
      <c r="F413" s="6" t="n">
        <v>1996</v>
      </c>
      <c r="G413" s="11" t="n">
        <f aca="true">IF(F413="","",YEAR(TODAY())-F413)</f>
        <v>30</v>
      </c>
      <c r="H413" s="11" t="str">
        <f aca="false">IF(C413="","",IF(G413="","Thiếu thông tin",IF(G413&lt;6,"Trẻ em",IF(G413&lt;23,"Học sinh / Sinh viên",IF(G413&lt;60,"Đang đi làm","Nghỉ hưu")))))</f>
        <v>Đang đi làm</v>
      </c>
      <c r="I413" s="6"/>
      <c r="J413" s="11" t="str">
        <f aca="false">IF(B413="","",IFERROR(INDEX('Hộ gia đình'!$B$2:$B$2000,MATCH(B413,'Hộ gia đình'!$A$2:$A$2000,0)),"Mã hộ không tồn tại"))</f>
        <v>11A ngách 17/9 Tạ Quang Bửu</v>
      </c>
      <c r="K413" s="14" t="s">
        <v>1531</v>
      </c>
      <c r="L413" s="14"/>
      <c r="M413" s="6" t="s">
        <v>459</v>
      </c>
      <c r="N413" s="6" t="s">
        <v>388</v>
      </c>
      <c r="O413" s="6" t="s">
        <v>389</v>
      </c>
      <c r="P413" s="6"/>
      <c r="Q413" s="6" t="s">
        <v>1120</v>
      </c>
      <c r="R413" s="12"/>
    </row>
    <row r="414" customFormat="false" ht="15" hidden="false" customHeight="true" outlineLevel="0" collapsed="false">
      <c r="A414" s="6" t="s">
        <v>1532</v>
      </c>
      <c r="B414" s="6" t="s">
        <v>222</v>
      </c>
      <c r="C414" s="6" t="s">
        <v>1533</v>
      </c>
      <c r="D414" s="6"/>
      <c r="E414" s="13"/>
      <c r="F414" s="6" t="n">
        <v>1999</v>
      </c>
      <c r="G414" s="11" t="n">
        <f aca="true">IF(F414="","",YEAR(TODAY())-F414)</f>
        <v>27</v>
      </c>
      <c r="H414" s="11" t="str">
        <f aca="false">IF(C414="","",IF(G414="","Thiếu thông tin",IF(G414&lt;6,"Trẻ em",IF(G414&lt;23,"Học sinh / Sinh viên",IF(G414&lt;60,"Đang đi làm","Nghỉ hưu")))))</f>
        <v>Đang đi làm</v>
      </c>
      <c r="I414" s="6"/>
      <c r="J414" s="11" t="str">
        <f aca="false">IF(B414="","",IFERROR(INDEX('Hộ gia đình'!$B$2:$B$2000,MATCH(B414,'Hộ gia đình'!$A$2:$A$2000,0)),"Mã hộ không tồn tại"))</f>
        <v>11A ngách 17/9 Tạ Quang Bửu</v>
      </c>
      <c r="K414" s="14"/>
      <c r="L414" s="14"/>
      <c r="M414" s="6"/>
      <c r="N414" s="6" t="s">
        <v>395</v>
      </c>
      <c r="O414" s="6" t="s">
        <v>389</v>
      </c>
      <c r="P414" s="6"/>
      <c r="Q414" s="6" t="s">
        <v>1067</v>
      </c>
      <c r="R414" s="12"/>
    </row>
    <row r="415" customFormat="false" ht="15" hidden="false" customHeight="true" outlineLevel="0" collapsed="false">
      <c r="A415" s="6" t="s">
        <v>1534</v>
      </c>
      <c r="B415" s="6" t="s">
        <v>222</v>
      </c>
      <c r="C415" s="6" t="s">
        <v>1535</v>
      </c>
      <c r="D415" s="6"/>
      <c r="E415" s="13"/>
      <c r="F415" s="6" t="n">
        <v>1958</v>
      </c>
      <c r="G415" s="11" t="n">
        <f aca="true">IF(F415="","",YEAR(TODAY())-F415)</f>
        <v>68</v>
      </c>
      <c r="H415" s="11" t="str">
        <f aca="false">IF(C415="","",IF(G415="","Thiếu thông tin",IF(G415&lt;6,"Trẻ em",IF(G415&lt;23,"Học sinh / Sinh viên",IF(G415&lt;60,"Đang đi làm","Nghỉ hưu")))))</f>
        <v>Nghỉ hưu</v>
      </c>
      <c r="I415" s="6"/>
      <c r="J415" s="11" t="str">
        <f aca="false">IF(B415="","",IFERROR(INDEX('Hộ gia đình'!$B$2:$B$2000,MATCH(B415,'Hộ gia đình'!$A$2:$A$2000,0)),"Mã hộ không tồn tại"))</f>
        <v>11A ngách 17/9 Tạ Quang Bửu</v>
      </c>
      <c r="K415" s="14"/>
      <c r="L415" s="14"/>
      <c r="M415" s="6"/>
      <c r="N415" s="6" t="s">
        <v>395</v>
      </c>
      <c r="O415" s="6" t="s">
        <v>389</v>
      </c>
      <c r="P415" s="6"/>
      <c r="Q415" s="6" t="s">
        <v>396</v>
      </c>
      <c r="R415" s="12"/>
    </row>
    <row r="416" customFormat="false" ht="15" hidden="false" customHeight="true" outlineLevel="0" collapsed="false">
      <c r="A416" s="6" t="s">
        <v>1536</v>
      </c>
      <c r="B416" s="6" t="s">
        <v>224</v>
      </c>
      <c r="C416" s="6" t="s">
        <v>1537</v>
      </c>
      <c r="D416" s="6"/>
      <c r="E416" s="13"/>
      <c r="F416" s="6" t="n">
        <v>1931</v>
      </c>
      <c r="G416" s="11" t="n">
        <f aca="true">IF(F416="","",YEAR(TODAY())-F416)</f>
        <v>95</v>
      </c>
      <c r="H416" s="11" t="str">
        <f aca="false">IF(C416="","",IF(G416="","Thiếu thông tin",IF(G416&lt;6,"Trẻ em",IF(G416&lt;23,"Học sinh / Sinh viên",IF(G416&lt;60,"Đang đi làm","Nghỉ hưu")))))</f>
        <v>Nghỉ hưu</v>
      </c>
      <c r="I416" s="6" t="s">
        <v>52</v>
      </c>
      <c r="J416" s="11" t="str">
        <f aca="false">IF(B416="","",IFERROR(INDEX('Hộ gia đình'!$B$2:$B$2000,MATCH(B416,'Hộ gia đình'!$A$2:$A$2000,0)),"Mã hộ không tồn tại"))</f>
        <v>101 E4 Bách Khoa</v>
      </c>
      <c r="K416" s="14"/>
      <c r="L416" s="14"/>
      <c r="M416" s="6"/>
      <c r="N416" s="6" t="s">
        <v>395</v>
      </c>
      <c r="O416" s="6" t="s">
        <v>389</v>
      </c>
      <c r="P416" s="6"/>
      <c r="Q416" s="6" t="s">
        <v>396</v>
      </c>
      <c r="R416" s="12"/>
    </row>
    <row r="417" customFormat="false" ht="15" hidden="false" customHeight="true" outlineLevel="0" collapsed="false">
      <c r="A417" s="6" t="s">
        <v>1538</v>
      </c>
      <c r="B417" s="6" t="s">
        <v>224</v>
      </c>
      <c r="C417" s="6" t="s">
        <v>1539</v>
      </c>
      <c r="D417" s="6" t="s">
        <v>385</v>
      </c>
      <c r="E417" s="13" t="n">
        <v>14473</v>
      </c>
      <c r="F417" s="6" t="n">
        <v>1939</v>
      </c>
      <c r="G417" s="11" t="n">
        <f aca="true">IF(F417="","",YEAR(TODAY())-F417)</f>
        <v>87</v>
      </c>
      <c r="H417" s="11" t="str">
        <f aca="false">IF(C417="","",IF(G417="","Thiếu thông tin",IF(G417&lt;6,"Trẻ em",IF(G417&lt;23,"Học sinh / Sinh viên",IF(G417&lt;60,"Đang đi làm","Nghỉ hưu")))))</f>
        <v>Nghỉ hưu</v>
      </c>
      <c r="I417" s="6"/>
      <c r="J417" s="11" t="str">
        <f aca="false">IF(B417="","",IFERROR(INDEX('Hộ gia đình'!$B$2:$B$2000,MATCH(B417,'Hộ gia đình'!$A$2:$A$2000,0)),"Mã hộ không tồn tại"))</f>
        <v>101 E4 Bách Khoa</v>
      </c>
      <c r="K417" s="14" t="s">
        <v>1540</v>
      </c>
      <c r="L417" s="14"/>
      <c r="M417" s="6" t="s">
        <v>451</v>
      </c>
      <c r="N417" s="6" t="s">
        <v>388</v>
      </c>
      <c r="O417" s="6" t="s">
        <v>389</v>
      </c>
      <c r="P417" s="6"/>
      <c r="Q417" s="6" t="s">
        <v>391</v>
      </c>
      <c r="R417" s="12"/>
    </row>
    <row r="418" customFormat="false" ht="15" hidden="false" customHeight="true" outlineLevel="0" collapsed="false">
      <c r="A418" s="6" t="s">
        <v>1541</v>
      </c>
      <c r="B418" s="6" t="s">
        <v>224</v>
      </c>
      <c r="C418" s="6" t="s">
        <v>1542</v>
      </c>
      <c r="D418" s="6" t="s">
        <v>408</v>
      </c>
      <c r="E418" s="13" t="n">
        <v>28189</v>
      </c>
      <c r="F418" s="6" t="n">
        <v>1977</v>
      </c>
      <c r="G418" s="11" t="n">
        <f aca="true">IF(F418="","",YEAR(TODAY())-F418)</f>
        <v>49</v>
      </c>
      <c r="H418" s="11" t="str">
        <f aca="false">IF(C418="","",IF(G418="","Thiếu thông tin",IF(G418&lt;6,"Trẻ em",IF(G418&lt;23,"Học sinh / Sinh viên",IF(G418&lt;60,"Đang đi làm","Nghỉ hưu")))))</f>
        <v>Đang đi làm</v>
      </c>
      <c r="I418" s="6"/>
      <c r="J418" s="11" t="str">
        <f aca="false">IF(B418="","",IFERROR(INDEX('Hộ gia đình'!$B$2:$B$2000,MATCH(B418,'Hộ gia đình'!$A$2:$A$2000,0)),"Mã hộ không tồn tại"))</f>
        <v>101 E4 Bách Khoa</v>
      </c>
      <c r="K418" s="14" t="s">
        <v>1543</v>
      </c>
      <c r="L418" s="14"/>
      <c r="M418" s="6" t="s">
        <v>459</v>
      </c>
      <c r="N418" s="6" t="s">
        <v>388</v>
      </c>
      <c r="O418" s="6" t="s">
        <v>389</v>
      </c>
      <c r="P418" s="6"/>
      <c r="Q418" s="6" t="s">
        <v>391</v>
      </c>
      <c r="R418" s="12"/>
    </row>
    <row r="419" customFormat="false" ht="15" hidden="false" customHeight="true" outlineLevel="0" collapsed="false">
      <c r="A419" s="6" t="s">
        <v>1544</v>
      </c>
      <c r="B419" s="6" t="s">
        <v>224</v>
      </c>
      <c r="C419" s="6" t="s">
        <v>1545</v>
      </c>
      <c r="D419" s="6"/>
      <c r="E419" s="13"/>
      <c r="F419" s="6" t="n">
        <v>1977</v>
      </c>
      <c r="G419" s="11" t="n">
        <f aca="true">IF(F419="","",YEAR(TODAY())-F419)</f>
        <v>49</v>
      </c>
      <c r="H419" s="11" t="str">
        <f aca="false">IF(C419="","",IF(G419="","Thiếu thông tin",IF(G419&lt;6,"Trẻ em",IF(G419&lt;23,"Học sinh / Sinh viên",IF(G419&lt;60,"Đang đi làm","Nghỉ hưu")))))</f>
        <v>Đang đi làm</v>
      </c>
      <c r="I419" s="6"/>
      <c r="J419" s="11" t="str">
        <f aca="false">IF(B419="","",IFERROR(INDEX('Hộ gia đình'!$B$2:$B$2000,MATCH(B419,'Hộ gia đình'!$A$2:$A$2000,0)),"Mã hộ không tồn tại"))</f>
        <v>101 E4 Bách Khoa</v>
      </c>
      <c r="K419" s="14"/>
      <c r="L419" s="14"/>
      <c r="M419" s="6"/>
      <c r="N419" s="6" t="s">
        <v>395</v>
      </c>
      <c r="O419" s="6" t="s">
        <v>389</v>
      </c>
      <c r="P419" s="6"/>
      <c r="Q419" s="6" t="s">
        <v>396</v>
      </c>
      <c r="R419" s="12"/>
    </row>
    <row r="420" customFormat="false" ht="15" hidden="false" customHeight="true" outlineLevel="0" collapsed="false">
      <c r="A420" s="6" t="s">
        <v>1546</v>
      </c>
      <c r="B420" s="6" t="s">
        <v>224</v>
      </c>
      <c r="C420" s="6" t="s">
        <v>1547</v>
      </c>
      <c r="D420" s="6"/>
      <c r="E420" s="13"/>
      <c r="F420" s="6" t="n">
        <v>2007</v>
      </c>
      <c r="G420" s="11" t="n">
        <f aca="true">IF(F420="","",YEAR(TODAY())-F420)</f>
        <v>19</v>
      </c>
      <c r="H420" s="11" t="str">
        <f aca="false">IF(C420="","",IF(G420="","Thiếu thông tin",IF(G420&lt;6,"Trẻ em",IF(G420&lt;23,"Học sinh / Sinh viên",IF(G420&lt;60,"Đang đi làm","Nghỉ hưu")))))</f>
        <v>Học sinh / Sinh viên</v>
      </c>
      <c r="I420" s="6"/>
      <c r="J420" s="11" t="str">
        <f aca="false">IF(B420="","",IFERROR(INDEX('Hộ gia đình'!$B$2:$B$2000,MATCH(B420,'Hộ gia đình'!$A$2:$A$2000,0)),"Mã hộ không tồn tại"))</f>
        <v>101 E4 Bách Khoa</v>
      </c>
      <c r="K420" s="14"/>
      <c r="L420" s="14"/>
      <c r="M420" s="6"/>
      <c r="N420" s="6" t="s">
        <v>395</v>
      </c>
      <c r="O420" s="6" t="s">
        <v>389</v>
      </c>
      <c r="P420" s="6"/>
      <c r="Q420" s="6" t="s">
        <v>403</v>
      </c>
      <c r="R420" s="12"/>
    </row>
    <row r="421" customFormat="false" ht="15" hidden="false" customHeight="true" outlineLevel="0" collapsed="false">
      <c r="A421" s="6" t="s">
        <v>1548</v>
      </c>
      <c r="B421" s="6" t="s">
        <v>224</v>
      </c>
      <c r="C421" s="6" t="s">
        <v>1549</v>
      </c>
      <c r="D421" s="6"/>
      <c r="E421" s="13"/>
      <c r="F421" s="6" t="n">
        <v>2010</v>
      </c>
      <c r="G421" s="11" t="n">
        <f aca="true">IF(F421="","",YEAR(TODAY())-F421)</f>
        <v>16</v>
      </c>
      <c r="H421" s="11" t="str">
        <f aca="false">IF(C421="","",IF(G421="","Thiếu thông tin",IF(G421&lt;6,"Trẻ em",IF(G421&lt;23,"Học sinh / Sinh viên",IF(G421&lt;60,"Đang đi làm","Nghỉ hưu")))))</f>
        <v>Học sinh / Sinh viên</v>
      </c>
      <c r="I421" s="6"/>
      <c r="J421" s="11" t="str">
        <f aca="false">IF(B421="","",IFERROR(INDEX('Hộ gia đình'!$B$2:$B$2000,MATCH(B421,'Hộ gia đình'!$A$2:$A$2000,0)),"Mã hộ không tồn tại"))</f>
        <v>101 E4 Bách Khoa</v>
      </c>
      <c r="K421" s="14"/>
      <c r="L421" s="14"/>
      <c r="M421" s="6"/>
      <c r="N421" s="6" t="s">
        <v>395</v>
      </c>
      <c r="O421" s="6" t="s">
        <v>389</v>
      </c>
      <c r="P421" s="6"/>
      <c r="Q421" s="6" t="s">
        <v>403</v>
      </c>
      <c r="R421" s="12"/>
    </row>
    <row r="422" customFormat="false" ht="15" hidden="false" customHeight="true" outlineLevel="0" collapsed="false">
      <c r="A422" s="6" t="s">
        <v>1550</v>
      </c>
      <c r="B422" s="6" t="s">
        <v>226</v>
      </c>
      <c r="C422" s="6" t="s">
        <v>1551</v>
      </c>
      <c r="D422" s="6"/>
      <c r="E422" s="13"/>
      <c r="F422" s="6" t="n">
        <v>1963</v>
      </c>
      <c r="G422" s="11" t="n">
        <f aca="true">IF(F422="","",YEAR(TODAY())-F422)</f>
        <v>63</v>
      </c>
      <c r="H422" s="11" t="str">
        <f aca="false">IF(C422="","",IF(G422="","Thiếu thông tin",IF(G422&lt;6,"Trẻ em",IF(G422&lt;23,"Học sinh / Sinh viên",IF(G422&lt;60,"Đang đi làm","Nghỉ hưu")))))</f>
        <v>Nghỉ hưu</v>
      </c>
      <c r="I422" s="6" t="s">
        <v>52</v>
      </c>
      <c r="J422" s="11" t="str">
        <f aca="false">IF(B422="","",IFERROR(INDEX('Hộ gia đình'!$B$2:$B$2000,MATCH(B422,'Hộ gia đình'!$A$2:$A$2000,0)),"Mã hộ không tồn tại"))</f>
        <v>101 E4 Bách Khoa</v>
      </c>
      <c r="K422" s="14"/>
      <c r="L422" s="14"/>
      <c r="M422" s="6"/>
      <c r="N422" s="6" t="s">
        <v>395</v>
      </c>
      <c r="O422" s="6" t="s">
        <v>389</v>
      </c>
      <c r="P422" s="6"/>
      <c r="Q422" s="6" t="s">
        <v>396</v>
      </c>
      <c r="R422" s="12"/>
    </row>
    <row r="423" customFormat="false" ht="15" hidden="false" customHeight="true" outlineLevel="0" collapsed="false">
      <c r="A423" s="6" t="s">
        <v>1552</v>
      </c>
      <c r="B423" s="6" t="s">
        <v>226</v>
      </c>
      <c r="C423" s="6" t="s">
        <v>1553</v>
      </c>
      <c r="D423" s="6"/>
      <c r="E423" s="13"/>
      <c r="F423" s="6" t="n">
        <v>1979</v>
      </c>
      <c r="G423" s="11" t="n">
        <f aca="true">IF(F423="","",YEAR(TODAY())-F423)</f>
        <v>47</v>
      </c>
      <c r="H423" s="11" t="str">
        <f aca="false">IF(C423="","",IF(G423="","Thiếu thông tin",IF(G423&lt;6,"Trẻ em",IF(G423&lt;23,"Học sinh / Sinh viên",IF(G423&lt;60,"Đang đi làm","Nghỉ hưu")))))</f>
        <v>Đang đi làm</v>
      </c>
      <c r="I423" s="6"/>
      <c r="J423" s="11" t="str">
        <f aca="false">IF(B423="","",IFERROR(INDEX('Hộ gia đình'!$B$2:$B$2000,MATCH(B423,'Hộ gia đình'!$A$2:$A$2000,0)),"Mã hộ không tồn tại"))</f>
        <v>101 E4 Bách Khoa</v>
      </c>
      <c r="K423" s="14"/>
      <c r="L423" s="14"/>
      <c r="M423" s="6"/>
      <c r="N423" s="6" t="s">
        <v>395</v>
      </c>
      <c r="O423" s="6" t="s">
        <v>389</v>
      </c>
      <c r="P423" s="6"/>
      <c r="Q423" s="6" t="s">
        <v>396</v>
      </c>
      <c r="R423" s="12"/>
    </row>
    <row r="424" customFormat="false" ht="15" hidden="false" customHeight="true" outlineLevel="0" collapsed="false">
      <c r="A424" s="6" t="s">
        <v>1554</v>
      </c>
      <c r="B424" s="6" t="s">
        <v>226</v>
      </c>
      <c r="C424" s="6" t="s">
        <v>1555</v>
      </c>
      <c r="D424" s="6"/>
      <c r="E424" s="13"/>
      <c r="F424" s="6" t="n">
        <v>2004</v>
      </c>
      <c r="G424" s="11" t="n">
        <f aca="true">IF(F424="","",YEAR(TODAY())-F424)</f>
        <v>22</v>
      </c>
      <c r="H424" s="11" t="str">
        <f aca="false">IF(C424="","",IF(G424="","Thiếu thông tin",IF(G424&lt;6,"Trẻ em",IF(G424&lt;23,"Học sinh / Sinh viên",IF(G424&lt;60,"Đang đi làm","Nghỉ hưu")))))</f>
        <v>Học sinh / Sinh viên</v>
      </c>
      <c r="I424" s="6"/>
      <c r="J424" s="11" t="str">
        <f aca="false">IF(B424="","",IFERROR(INDEX('Hộ gia đình'!$B$2:$B$2000,MATCH(B424,'Hộ gia đình'!$A$2:$A$2000,0)),"Mã hộ không tồn tại"))</f>
        <v>101 E4 Bách Khoa</v>
      </c>
      <c r="K424" s="14"/>
      <c r="L424" s="14"/>
      <c r="M424" s="6"/>
      <c r="N424" s="6" t="s">
        <v>395</v>
      </c>
      <c r="O424" s="6" t="s">
        <v>389</v>
      </c>
      <c r="P424" s="6"/>
      <c r="Q424" s="6" t="s">
        <v>403</v>
      </c>
      <c r="R424" s="12"/>
    </row>
    <row r="425" customFormat="false" ht="15" hidden="false" customHeight="true" outlineLevel="0" collapsed="false">
      <c r="A425" s="6" t="s">
        <v>1556</v>
      </c>
      <c r="B425" s="6" t="s">
        <v>226</v>
      </c>
      <c r="C425" s="6" t="s">
        <v>847</v>
      </c>
      <c r="D425" s="6"/>
      <c r="E425" s="13"/>
      <c r="F425" s="6" t="n">
        <v>2007</v>
      </c>
      <c r="G425" s="11" t="n">
        <f aca="true">IF(F425="","",YEAR(TODAY())-F425)</f>
        <v>19</v>
      </c>
      <c r="H425" s="11" t="str">
        <f aca="false">IF(C425="","",IF(G425="","Thiếu thông tin",IF(G425&lt;6,"Trẻ em",IF(G425&lt;23,"Học sinh / Sinh viên",IF(G425&lt;60,"Đang đi làm","Nghỉ hưu")))))</f>
        <v>Học sinh / Sinh viên</v>
      </c>
      <c r="I425" s="6"/>
      <c r="J425" s="11" t="str">
        <f aca="false">IF(B425="","",IFERROR(INDEX('Hộ gia đình'!$B$2:$B$2000,MATCH(B425,'Hộ gia đình'!$A$2:$A$2000,0)),"Mã hộ không tồn tại"))</f>
        <v>101 E4 Bách Khoa</v>
      </c>
      <c r="K425" s="14"/>
      <c r="L425" s="14"/>
      <c r="M425" s="6"/>
      <c r="N425" s="6" t="s">
        <v>395</v>
      </c>
      <c r="O425" s="6" t="s">
        <v>389</v>
      </c>
      <c r="P425" s="6"/>
      <c r="Q425" s="6" t="s">
        <v>403</v>
      </c>
      <c r="R425" s="12"/>
    </row>
    <row r="426" customFormat="false" ht="15" hidden="false" customHeight="true" outlineLevel="0" collapsed="false">
      <c r="A426" s="6" t="s">
        <v>1557</v>
      </c>
      <c r="B426" s="6" t="s">
        <v>227</v>
      </c>
      <c r="C426" s="6" t="s">
        <v>1558</v>
      </c>
      <c r="D426" s="6" t="s">
        <v>385</v>
      </c>
      <c r="E426" s="13" t="n">
        <v>20775</v>
      </c>
      <c r="F426" s="6" t="n">
        <v>1956</v>
      </c>
      <c r="G426" s="11" t="n">
        <f aca="true">IF(F426="","",YEAR(TODAY())-F426)</f>
        <v>70</v>
      </c>
      <c r="H426" s="11" t="str">
        <f aca="false">IF(C426="","",IF(G426="","Thiếu thông tin",IF(G426&lt;6,"Trẻ em",IF(G426&lt;23,"Học sinh / Sinh viên",IF(G426&lt;60,"Đang đi làm","Nghỉ hưu")))))</f>
        <v>Nghỉ hưu</v>
      </c>
      <c r="I426" s="6" t="s">
        <v>52</v>
      </c>
      <c r="J426" s="11" t="str">
        <f aca="false">IF(B426="","",IFERROR(INDEX('Hộ gia đình'!$B$2:$B$2000,MATCH(B426,'Hộ gia đình'!$A$2:$A$2000,0)),"Mã hộ không tồn tại"))</f>
        <v>103 E4 Bách Khoa</v>
      </c>
      <c r="K426" s="14" t="s">
        <v>1559</v>
      </c>
      <c r="L426" s="14"/>
      <c r="M426" s="6" t="s">
        <v>387</v>
      </c>
      <c r="N426" s="6" t="s">
        <v>388</v>
      </c>
      <c r="O426" s="6" t="s">
        <v>389</v>
      </c>
      <c r="P426" s="6"/>
      <c r="Q426" s="6" t="s">
        <v>391</v>
      </c>
      <c r="R426" s="12"/>
    </row>
    <row r="427" customFormat="false" ht="15" hidden="false" customHeight="true" outlineLevel="0" collapsed="false">
      <c r="A427" s="6" t="s">
        <v>1560</v>
      </c>
      <c r="B427" s="6" t="s">
        <v>227</v>
      </c>
      <c r="C427" s="6" t="s">
        <v>1561</v>
      </c>
      <c r="D427" s="6" t="s">
        <v>408</v>
      </c>
      <c r="E427" s="13" t="n">
        <v>31057</v>
      </c>
      <c r="F427" s="6" t="n">
        <v>1985</v>
      </c>
      <c r="G427" s="11" t="n">
        <f aca="true">IF(F427="","",YEAR(TODAY())-F427)</f>
        <v>41</v>
      </c>
      <c r="H427" s="11" t="str">
        <f aca="false">IF(C427="","",IF(G427="","Thiếu thông tin",IF(G427&lt;6,"Trẻ em",IF(G427&lt;23,"Học sinh / Sinh viên",IF(G427&lt;60,"Đang đi làm","Nghỉ hưu")))))</f>
        <v>Đang đi làm</v>
      </c>
      <c r="I427" s="6"/>
      <c r="J427" s="11" t="str">
        <f aca="false">IF(B427="","",IFERROR(INDEX('Hộ gia đình'!$B$2:$B$2000,MATCH(B427,'Hộ gia đình'!$A$2:$A$2000,0)),"Mã hộ không tồn tại"))</f>
        <v>103 E4 Bách Khoa</v>
      </c>
      <c r="K427" s="14" t="s">
        <v>1562</v>
      </c>
      <c r="L427" s="14"/>
      <c r="M427" s="6" t="s">
        <v>459</v>
      </c>
      <c r="N427" s="6" t="s">
        <v>388</v>
      </c>
      <c r="O427" s="6" t="s">
        <v>389</v>
      </c>
      <c r="P427" s="6"/>
      <c r="Q427" s="6" t="s">
        <v>391</v>
      </c>
      <c r="R427" s="12"/>
    </row>
    <row r="428" customFormat="false" ht="15" hidden="false" customHeight="true" outlineLevel="0" collapsed="false">
      <c r="A428" s="6" t="s">
        <v>1563</v>
      </c>
      <c r="B428" s="6" t="s">
        <v>227</v>
      </c>
      <c r="C428" s="6" t="s">
        <v>1564</v>
      </c>
      <c r="D428" s="6" t="s">
        <v>385</v>
      </c>
      <c r="E428" s="13" t="n">
        <v>32602</v>
      </c>
      <c r="F428" s="6" t="n">
        <v>1989</v>
      </c>
      <c r="G428" s="11" t="n">
        <f aca="true">IF(F428="","",YEAR(TODAY())-F428)</f>
        <v>37</v>
      </c>
      <c r="H428" s="11" t="str">
        <f aca="false">IF(C428="","",IF(G428="","Thiếu thông tin",IF(G428&lt;6,"Trẻ em",IF(G428&lt;23,"Học sinh / Sinh viên",IF(G428&lt;60,"Đang đi làm","Nghỉ hưu")))))</f>
        <v>Đang đi làm</v>
      </c>
      <c r="I428" s="6"/>
      <c r="J428" s="11" t="str">
        <f aca="false">IF(B428="","",IFERROR(INDEX('Hộ gia đình'!$B$2:$B$2000,MATCH(B428,'Hộ gia đình'!$A$2:$A$2000,0)),"Mã hộ không tồn tại"))</f>
        <v>103 E4 Bách Khoa</v>
      </c>
      <c r="K428" s="14" t="s">
        <v>1565</v>
      </c>
      <c r="L428" s="14"/>
      <c r="M428" s="6" t="s">
        <v>459</v>
      </c>
      <c r="N428" s="6" t="s">
        <v>388</v>
      </c>
      <c r="O428" s="6" t="s">
        <v>389</v>
      </c>
      <c r="P428" s="6"/>
      <c r="Q428" s="6" t="s">
        <v>391</v>
      </c>
      <c r="R428" s="12"/>
    </row>
    <row r="429" customFormat="false" ht="15" hidden="false" customHeight="true" outlineLevel="0" collapsed="false">
      <c r="A429" s="6" t="s">
        <v>1566</v>
      </c>
      <c r="B429" s="6" t="s">
        <v>227</v>
      </c>
      <c r="C429" s="6" t="s">
        <v>1567</v>
      </c>
      <c r="D429" s="6"/>
      <c r="E429" s="13"/>
      <c r="F429" s="6" t="n">
        <v>2013</v>
      </c>
      <c r="G429" s="11" t="n">
        <f aca="true">IF(F429="","",YEAR(TODAY())-F429)</f>
        <v>13</v>
      </c>
      <c r="H429" s="11" t="str">
        <f aca="false">IF(C429="","",IF(G429="","Thiếu thông tin",IF(G429&lt;6,"Trẻ em",IF(G429&lt;23,"Học sinh / Sinh viên",IF(G429&lt;60,"Đang đi làm","Nghỉ hưu")))))</f>
        <v>Học sinh / Sinh viên</v>
      </c>
      <c r="I429" s="6"/>
      <c r="J429" s="11" t="str">
        <f aca="false">IF(B429="","",IFERROR(INDEX('Hộ gia đình'!$B$2:$B$2000,MATCH(B429,'Hộ gia đình'!$A$2:$A$2000,0)),"Mã hộ không tồn tại"))</f>
        <v>103 E4 Bách Khoa</v>
      </c>
      <c r="K429" s="14"/>
      <c r="L429" s="14"/>
      <c r="M429" s="6"/>
      <c r="N429" s="6" t="s">
        <v>395</v>
      </c>
      <c r="O429" s="6" t="s">
        <v>389</v>
      </c>
      <c r="P429" s="6"/>
      <c r="Q429" s="6" t="s">
        <v>403</v>
      </c>
      <c r="R429" s="12"/>
    </row>
    <row r="430" customFormat="false" ht="15" hidden="false" customHeight="true" outlineLevel="0" collapsed="false">
      <c r="A430" s="6" t="s">
        <v>1568</v>
      </c>
      <c r="B430" s="6" t="s">
        <v>227</v>
      </c>
      <c r="C430" s="6" t="s">
        <v>1569</v>
      </c>
      <c r="D430" s="6"/>
      <c r="E430" s="13"/>
      <c r="F430" s="6" t="n">
        <v>2022</v>
      </c>
      <c r="G430" s="11" t="n">
        <f aca="true">IF(F430="","",YEAR(TODAY())-F430)</f>
        <v>4</v>
      </c>
      <c r="H430" s="11" t="str">
        <f aca="false">IF(C430="","",IF(G430="","Thiếu thông tin",IF(G430&lt;6,"Trẻ em",IF(G430&lt;23,"Học sinh / Sinh viên",IF(G430&lt;60,"Đang đi làm","Nghỉ hưu")))))</f>
        <v>Trẻ em</v>
      </c>
      <c r="I430" s="6"/>
      <c r="J430" s="11" t="str">
        <f aca="false">IF(B430="","",IFERROR(INDEX('Hộ gia đình'!$B$2:$B$2000,MATCH(B430,'Hộ gia đình'!$A$2:$A$2000,0)),"Mã hộ không tồn tại"))</f>
        <v>103 E4 Bách Khoa</v>
      </c>
      <c r="K430" s="14"/>
      <c r="L430" s="14"/>
      <c r="M430" s="6"/>
      <c r="N430" s="6" t="s">
        <v>395</v>
      </c>
      <c r="O430" s="6" t="s">
        <v>389</v>
      </c>
      <c r="P430" s="6"/>
      <c r="Q430" s="6" t="s">
        <v>403</v>
      </c>
      <c r="R430" s="12"/>
    </row>
    <row r="431" customFormat="false" ht="15" hidden="false" customHeight="true" outlineLevel="0" collapsed="false">
      <c r="A431" s="6" t="s">
        <v>1570</v>
      </c>
      <c r="B431" s="6" t="s">
        <v>227</v>
      </c>
      <c r="C431" s="6" t="s">
        <v>1571</v>
      </c>
      <c r="D431" s="6" t="s">
        <v>408</v>
      </c>
      <c r="E431" s="13" t="n">
        <v>23796</v>
      </c>
      <c r="F431" s="6" t="n">
        <v>1965</v>
      </c>
      <c r="G431" s="11" t="n">
        <f aca="true">IF(F431="","",YEAR(TODAY())-F431)</f>
        <v>61</v>
      </c>
      <c r="H431" s="11" t="str">
        <f aca="false">IF(C431="","",IF(G431="","Thiếu thông tin",IF(G431&lt;6,"Trẻ em",IF(G431&lt;23,"Học sinh / Sinh viên",IF(G431&lt;60,"Đang đi làm","Nghỉ hưu")))))</f>
        <v>Nghỉ hưu</v>
      </c>
      <c r="I431" s="6"/>
      <c r="J431" s="11" t="str">
        <f aca="false">IF(B431="","",IFERROR(INDEX('Hộ gia đình'!$B$2:$B$2000,MATCH(B431,'Hộ gia đình'!$A$2:$A$2000,0)),"Mã hộ không tồn tại"))</f>
        <v>103 E4 Bách Khoa</v>
      </c>
      <c r="K431" s="14" t="s">
        <v>1572</v>
      </c>
      <c r="L431" s="14"/>
      <c r="M431" s="6" t="s">
        <v>387</v>
      </c>
      <c r="N431" s="6" t="s">
        <v>388</v>
      </c>
      <c r="O431" s="6" t="s">
        <v>389</v>
      </c>
      <c r="P431" s="6"/>
      <c r="Q431" s="6" t="s">
        <v>391</v>
      </c>
      <c r="R431" s="12" t="s">
        <v>522</v>
      </c>
    </row>
    <row r="432" customFormat="false" ht="15" hidden="false" customHeight="true" outlineLevel="0" collapsed="false">
      <c r="A432" s="6" t="s">
        <v>1573</v>
      </c>
      <c r="B432" s="6" t="s">
        <v>227</v>
      </c>
      <c r="C432" s="6" t="s">
        <v>1574</v>
      </c>
      <c r="D432" s="6" t="s">
        <v>385</v>
      </c>
      <c r="E432" s="13" t="n">
        <v>34124</v>
      </c>
      <c r="F432" s="6" t="n">
        <v>1993</v>
      </c>
      <c r="G432" s="11" t="n">
        <f aca="true">IF(F432="","",YEAR(TODAY())-F432)</f>
        <v>33</v>
      </c>
      <c r="H432" s="11" t="str">
        <f aca="false">IF(C432="","",IF(G432="","Thiếu thông tin",IF(G432&lt;6,"Trẻ em",IF(G432&lt;23,"Học sinh / Sinh viên",IF(G432&lt;60,"Đang đi làm","Nghỉ hưu")))))</f>
        <v>Đang đi làm</v>
      </c>
      <c r="I432" s="6"/>
      <c r="J432" s="11" t="str">
        <f aca="false">IF(B432="","",IFERROR(INDEX('Hộ gia đình'!$B$2:$B$2000,MATCH(B432,'Hộ gia đình'!$A$2:$A$2000,0)),"Mã hộ không tồn tại"))</f>
        <v>103 E4 Bách Khoa</v>
      </c>
      <c r="K432" s="14" t="s">
        <v>1575</v>
      </c>
      <c r="L432" s="14"/>
      <c r="M432" s="6"/>
      <c r="N432" s="6" t="s">
        <v>388</v>
      </c>
      <c r="O432" s="6" t="s">
        <v>389</v>
      </c>
      <c r="P432" s="6"/>
      <c r="Q432" s="6" t="s">
        <v>391</v>
      </c>
      <c r="R432" s="12" t="s">
        <v>522</v>
      </c>
    </row>
    <row r="433" customFormat="false" ht="15" hidden="false" customHeight="true" outlineLevel="0" collapsed="false">
      <c r="A433" s="6" t="s">
        <v>1576</v>
      </c>
      <c r="B433" s="6" t="s">
        <v>227</v>
      </c>
      <c r="C433" s="6" t="s">
        <v>535</v>
      </c>
      <c r="D433" s="6" t="s">
        <v>408</v>
      </c>
      <c r="E433" s="13" t="n">
        <v>37045</v>
      </c>
      <c r="F433" s="6" t="n">
        <v>2001</v>
      </c>
      <c r="G433" s="11" t="n">
        <f aca="true">IF(F433="","",YEAR(TODAY())-F433)</f>
        <v>25</v>
      </c>
      <c r="H433" s="11" t="str">
        <f aca="false">IF(C433="","",IF(G433="","Thiếu thông tin",IF(G433&lt;6,"Trẻ em",IF(G433&lt;23,"Học sinh / Sinh viên",IF(G433&lt;60,"Đang đi làm","Nghỉ hưu")))))</f>
        <v>Đang đi làm</v>
      </c>
      <c r="I433" s="6"/>
      <c r="J433" s="11" t="str">
        <f aca="false">IF(B433="","",IFERROR(INDEX('Hộ gia đình'!$B$2:$B$2000,MATCH(B433,'Hộ gia đình'!$A$2:$A$2000,0)),"Mã hộ không tồn tại"))</f>
        <v>103 E4 Bách Khoa</v>
      </c>
      <c r="K433" s="14" t="s">
        <v>1577</v>
      </c>
      <c r="L433" s="14"/>
      <c r="M433" s="6"/>
      <c r="N433" s="6" t="s">
        <v>388</v>
      </c>
      <c r="O433" s="6" t="s">
        <v>389</v>
      </c>
      <c r="P433" s="6"/>
      <c r="Q433" s="6" t="s">
        <v>391</v>
      </c>
      <c r="R433" s="12" t="s">
        <v>522</v>
      </c>
    </row>
    <row r="434" customFormat="false" ht="15" hidden="false" customHeight="true" outlineLevel="0" collapsed="false">
      <c r="A434" s="6" t="s">
        <v>1578</v>
      </c>
      <c r="B434" s="6" t="s">
        <v>230</v>
      </c>
      <c r="C434" s="6" t="s">
        <v>1579</v>
      </c>
      <c r="D434" s="6" t="s">
        <v>408</v>
      </c>
      <c r="E434" s="13" t="n">
        <v>28729</v>
      </c>
      <c r="F434" s="6" t="n">
        <v>1978</v>
      </c>
      <c r="G434" s="11" t="n">
        <f aca="true">IF(F434="","",YEAR(TODAY())-F434)</f>
        <v>48</v>
      </c>
      <c r="H434" s="11" t="str">
        <f aca="false">IF(C434="","",IF(G434="","Thiếu thông tin",IF(G434&lt;6,"Trẻ em",IF(G434&lt;23,"Học sinh / Sinh viên",IF(G434&lt;60,"Đang đi làm","Nghỉ hưu")))))</f>
        <v>Đang đi làm</v>
      </c>
      <c r="I434" s="6" t="s">
        <v>52</v>
      </c>
      <c r="J434" s="11" t="str">
        <f aca="false">IF(B434="","",IFERROR(INDEX('Hộ gia đình'!$B$2:$B$2000,MATCH(B434,'Hộ gia đình'!$A$2:$A$2000,0)),"Mã hộ không tồn tại"))</f>
        <v>104 E4 Bách Khoa</v>
      </c>
      <c r="K434" s="14" t="s">
        <v>1580</v>
      </c>
      <c r="L434" s="14"/>
      <c r="M434" s="6" t="s">
        <v>732</v>
      </c>
      <c r="N434" s="6" t="s">
        <v>388</v>
      </c>
      <c r="O434" s="6" t="s">
        <v>389</v>
      </c>
      <c r="P434" s="6" t="s">
        <v>1581</v>
      </c>
      <c r="Q434" s="6" t="s">
        <v>391</v>
      </c>
      <c r="R434" s="12"/>
    </row>
    <row r="435" customFormat="false" ht="15" hidden="false" customHeight="true" outlineLevel="0" collapsed="false">
      <c r="A435" s="6" t="s">
        <v>1582</v>
      </c>
      <c r="B435" s="6" t="s">
        <v>230</v>
      </c>
      <c r="C435" s="6" t="s">
        <v>1583</v>
      </c>
      <c r="D435" s="6" t="s">
        <v>385</v>
      </c>
      <c r="E435" s="13" t="n">
        <v>29256</v>
      </c>
      <c r="F435" s="6" t="n">
        <v>1980</v>
      </c>
      <c r="G435" s="11" t="n">
        <f aca="true">IF(F435="","",YEAR(TODAY())-F435)</f>
        <v>46</v>
      </c>
      <c r="H435" s="11" t="str">
        <f aca="false">IF(C435="","",IF(G435="","Thiếu thông tin",IF(G435&lt;6,"Trẻ em",IF(G435&lt;23,"Học sinh / Sinh viên",IF(G435&lt;60,"Đang đi làm","Nghỉ hưu")))))</f>
        <v>Đang đi làm</v>
      </c>
      <c r="I435" s="6"/>
      <c r="J435" s="11" t="str">
        <f aca="false">IF(B435="","",IFERROR(INDEX('Hộ gia đình'!$B$2:$B$2000,MATCH(B435,'Hộ gia đình'!$A$2:$A$2000,0)),"Mã hộ không tồn tại"))</f>
        <v>104 E4 Bách Khoa</v>
      </c>
      <c r="K435" s="14" t="s">
        <v>1584</v>
      </c>
      <c r="L435" s="14"/>
      <c r="M435" s="6" t="s">
        <v>732</v>
      </c>
      <c r="N435" s="6" t="s">
        <v>388</v>
      </c>
      <c r="O435" s="6" t="s">
        <v>389</v>
      </c>
      <c r="P435" s="6"/>
      <c r="Q435" s="6" t="s">
        <v>391</v>
      </c>
      <c r="R435" s="12"/>
    </row>
    <row r="436" customFormat="false" ht="15" hidden="false" customHeight="true" outlineLevel="0" collapsed="false">
      <c r="A436" s="6" t="s">
        <v>1585</v>
      </c>
      <c r="B436" s="6" t="s">
        <v>230</v>
      </c>
      <c r="C436" s="6" t="s">
        <v>1586</v>
      </c>
      <c r="D436" s="6" t="s">
        <v>408</v>
      </c>
      <c r="E436" s="13" t="n">
        <v>39580</v>
      </c>
      <c r="F436" s="6" t="n">
        <v>2008</v>
      </c>
      <c r="G436" s="11" t="n">
        <f aca="true">IF(F436="","",YEAR(TODAY())-F436)</f>
        <v>18</v>
      </c>
      <c r="H436" s="11" t="str">
        <f aca="false">IF(C436="","",IF(G436="","Thiếu thông tin",IF(G436&lt;6,"Trẻ em",IF(G436&lt;23,"Học sinh / Sinh viên",IF(G436&lt;60,"Đang đi làm","Nghỉ hưu")))))</f>
        <v>Học sinh / Sinh viên</v>
      </c>
      <c r="I436" s="6"/>
      <c r="J436" s="11" t="str">
        <f aca="false">IF(B436="","",IFERROR(INDEX('Hộ gia đình'!$B$2:$B$2000,MATCH(B436,'Hộ gia đình'!$A$2:$A$2000,0)),"Mã hộ không tồn tại"))</f>
        <v>104 E4 Bách Khoa</v>
      </c>
      <c r="K436" s="14" t="s">
        <v>1587</v>
      </c>
      <c r="L436" s="14"/>
      <c r="M436" s="6"/>
      <c r="N436" s="6" t="s">
        <v>395</v>
      </c>
      <c r="O436" s="6" t="s">
        <v>389</v>
      </c>
      <c r="P436" s="6"/>
      <c r="Q436" s="6" t="s">
        <v>403</v>
      </c>
      <c r="R436" s="12" t="s">
        <v>1588</v>
      </c>
    </row>
    <row r="437" customFormat="false" ht="15" hidden="false" customHeight="true" outlineLevel="0" collapsed="false">
      <c r="A437" s="6" t="s">
        <v>1589</v>
      </c>
      <c r="B437" s="6" t="s">
        <v>230</v>
      </c>
      <c r="C437" s="6" t="s">
        <v>1590</v>
      </c>
      <c r="D437" s="6" t="s">
        <v>408</v>
      </c>
      <c r="E437" s="13" t="n">
        <v>41113</v>
      </c>
      <c r="F437" s="6" t="n">
        <v>2012</v>
      </c>
      <c r="G437" s="11" t="n">
        <f aca="true">IF(F437="","",YEAR(TODAY())-F437)</f>
        <v>14</v>
      </c>
      <c r="H437" s="11" t="str">
        <f aca="false">IF(C437="","",IF(G437="","Thiếu thông tin",IF(G437&lt;6,"Trẻ em",IF(G437&lt;23,"Học sinh / Sinh viên",IF(G437&lt;60,"Đang đi làm","Nghỉ hưu")))))</f>
        <v>Học sinh / Sinh viên</v>
      </c>
      <c r="I437" s="6"/>
      <c r="J437" s="11" t="str">
        <f aca="false">IF(B437="","",IFERROR(INDEX('Hộ gia đình'!$B$2:$B$2000,MATCH(B437,'Hộ gia đình'!$A$2:$A$2000,0)),"Mã hộ không tồn tại"))</f>
        <v>104 E4 Bách Khoa</v>
      </c>
      <c r="K437" s="14"/>
      <c r="L437" s="14"/>
      <c r="M437" s="6"/>
      <c r="N437" s="6" t="s">
        <v>395</v>
      </c>
      <c r="O437" s="6" t="s">
        <v>389</v>
      </c>
      <c r="P437" s="6"/>
      <c r="Q437" s="6" t="s">
        <v>403</v>
      </c>
      <c r="R437" s="12"/>
    </row>
    <row r="438" customFormat="false" ht="15" hidden="false" customHeight="true" outlineLevel="0" collapsed="false">
      <c r="A438" s="6" t="s">
        <v>1591</v>
      </c>
      <c r="B438" s="6" t="s">
        <v>232</v>
      </c>
      <c r="C438" s="6" t="s">
        <v>1592</v>
      </c>
      <c r="D438" s="6"/>
      <c r="E438" s="13"/>
      <c r="F438" s="6" t="n">
        <v>1970</v>
      </c>
      <c r="G438" s="11" t="n">
        <f aca="true">IF(F438="","",YEAR(TODAY())-F438)</f>
        <v>56</v>
      </c>
      <c r="H438" s="11" t="str">
        <f aca="false">IF(C438="","",IF(G438="","Thiếu thông tin",IF(G438&lt;6,"Trẻ em",IF(G438&lt;23,"Học sinh / Sinh viên",IF(G438&lt;60,"Đang đi làm","Nghỉ hưu")))))</f>
        <v>Đang đi làm</v>
      </c>
      <c r="I438" s="6" t="s">
        <v>52</v>
      </c>
      <c r="J438" s="11" t="str">
        <f aca="false">IF(B438="","",IFERROR(INDEX('Hộ gia đình'!$B$2:$B$2000,MATCH(B438,'Hộ gia đình'!$A$2:$A$2000,0)),"Mã hộ không tồn tại"))</f>
        <v>108 E4 Bách Khoa</v>
      </c>
      <c r="K438" s="14"/>
      <c r="L438" s="14"/>
      <c r="M438" s="6"/>
      <c r="N438" s="6" t="s">
        <v>395</v>
      </c>
      <c r="O438" s="6" t="s">
        <v>389</v>
      </c>
      <c r="P438" s="6"/>
      <c r="Q438" s="6" t="s">
        <v>396</v>
      </c>
      <c r="R438" s="12"/>
    </row>
    <row r="439" customFormat="false" ht="15" hidden="false" customHeight="true" outlineLevel="0" collapsed="false">
      <c r="A439" s="6" t="s">
        <v>1593</v>
      </c>
      <c r="B439" s="6" t="s">
        <v>234</v>
      </c>
      <c r="C439" s="6" t="s">
        <v>1594</v>
      </c>
      <c r="D439" s="6" t="s">
        <v>408</v>
      </c>
      <c r="E439" s="13" t="n">
        <v>19900</v>
      </c>
      <c r="F439" s="6" t="n">
        <v>1954</v>
      </c>
      <c r="G439" s="11" t="n">
        <f aca="true">IF(F439="","",YEAR(TODAY())-F439)</f>
        <v>72</v>
      </c>
      <c r="H439" s="11" t="str">
        <f aca="false">IF(C439="","",IF(G439="","Thiếu thông tin",IF(G439&lt;6,"Trẻ em",IF(G439&lt;23,"Học sinh / Sinh viên",IF(G439&lt;60,"Đang đi làm","Nghỉ hưu")))))</f>
        <v>Nghỉ hưu</v>
      </c>
      <c r="I439" s="6" t="s">
        <v>52</v>
      </c>
      <c r="J439" s="11" t="str">
        <f aca="false">IF(B439="","",IFERROR(INDEX('Hộ gia đình'!$B$2:$B$2000,MATCH(B439,'Hộ gia đình'!$A$2:$A$2000,0)),"Mã hộ không tồn tại"))</f>
        <v>109 E4 Bách Khoa</v>
      </c>
      <c r="K439" s="14" t="s">
        <v>1595</v>
      </c>
      <c r="L439" s="14"/>
      <c r="M439" s="6" t="s">
        <v>732</v>
      </c>
      <c r="N439" s="6" t="s">
        <v>388</v>
      </c>
      <c r="O439" s="6" t="s">
        <v>389</v>
      </c>
      <c r="P439" s="6"/>
      <c r="Q439" s="6" t="s">
        <v>391</v>
      </c>
      <c r="R439" s="12"/>
    </row>
    <row r="440" customFormat="false" ht="15" hidden="false" customHeight="true" outlineLevel="0" collapsed="false">
      <c r="A440" s="6" t="s">
        <v>1596</v>
      </c>
      <c r="B440" s="6" t="s">
        <v>234</v>
      </c>
      <c r="C440" s="6" t="s">
        <v>1597</v>
      </c>
      <c r="D440" s="6" t="s">
        <v>385</v>
      </c>
      <c r="E440" s="13" t="n">
        <v>21064</v>
      </c>
      <c r="F440" s="6" t="n">
        <v>1957</v>
      </c>
      <c r="G440" s="11" t="n">
        <f aca="true">IF(F440="","",YEAR(TODAY())-F440)</f>
        <v>69</v>
      </c>
      <c r="H440" s="11" t="str">
        <f aca="false">IF(C440="","",IF(G440="","Thiếu thông tin",IF(G440&lt;6,"Trẻ em",IF(G440&lt;23,"Học sinh / Sinh viên",IF(G440&lt;60,"Đang đi làm","Nghỉ hưu")))))</f>
        <v>Nghỉ hưu</v>
      </c>
      <c r="I440" s="6"/>
      <c r="J440" s="11" t="str">
        <f aca="false">IF(B440="","",IFERROR(INDEX('Hộ gia đình'!$B$2:$B$2000,MATCH(B440,'Hộ gia đình'!$A$2:$A$2000,0)),"Mã hộ không tồn tại"))</f>
        <v>109 E4 Bách Khoa</v>
      </c>
      <c r="K440" s="14" t="s">
        <v>1598</v>
      </c>
      <c r="L440" s="14"/>
      <c r="M440" s="6" t="s">
        <v>732</v>
      </c>
      <c r="N440" s="6" t="s">
        <v>388</v>
      </c>
      <c r="O440" s="6" t="s">
        <v>389</v>
      </c>
      <c r="P440" s="6"/>
      <c r="Q440" s="6" t="s">
        <v>391</v>
      </c>
      <c r="R440" s="12"/>
    </row>
    <row r="441" customFormat="false" ht="15" hidden="false" customHeight="true" outlineLevel="0" collapsed="false">
      <c r="A441" s="6" t="s">
        <v>1599</v>
      </c>
      <c r="B441" s="6" t="s">
        <v>234</v>
      </c>
      <c r="C441" s="6" t="s">
        <v>1600</v>
      </c>
      <c r="D441" s="6" t="s">
        <v>408</v>
      </c>
      <c r="E441" s="13" t="n">
        <v>31462</v>
      </c>
      <c r="F441" s="6" t="n">
        <v>1986</v>
      </c>
      <c r="G441" s="11" t="n">
        <f aca="true">IF(F441="","",YEAR(TODAY())-F441)</f>
        <v>40</v>
      </c>
      <c r="H441" s="11" t="str">
        <f aca="false">IF(C441="","",IF(G441="","Thiếu thông tin",IF(G441&lt;6,"Trẻ em",IF(G441&lt;23,"Học sinh / Sinh viên",IF(G441&lt;60,"Đang đi làm","Nghỉ hưu")))))</f>
        <v>Đang đi làm</v>
      </c>
      <c r="I441" s="6"/>
      <c r="J441" s="11" t="str">
        <f aca="false">IF(B441="","",IFERROR(INDEX('Hộ gia đình'!$B$2:$B$2000,MATCH(B441,'Hộ gia đình'!$A$2:$A$2000,0)),"Mã hộ không tồn tại"))</f>
        <v>109 E4 Bách Khoa</v>
      </c>
      <c r="K441" s="14" t="s">
        <v>1601</v>
      </c>
      <c r="L441" s="14"/>
      <c r="M441" s="6" t="s">
        <v>732</v>
      </c>
      <c r="N441" s="6" t="s">
        <v>388</v>
      </c>
      <c r="O441" s="6" t="s">
        <v>389</v>
      </c>
      <c r="P441" s="6"/>
      <c r="Q441" s="6" t="s">
        <v>391</v>
      </c>
      <c r="R441" s="12" t="s">
        <v>1602</v>
      </c>
    </row>
    <row r="442" customFormat="false" ht="15" hidden="false" customHeight="true" outlineLevel="0" collapsed="false">
      <c r="A442" s="6" t="s">
        <v>1603</v>
      </c>
      <c r="B442" s="6" t="s">
        <v>234</v>
      </c>
      <c r="C442" s="6" t="s">
        <v>1604</v>
      </c>
      <c r="D442" s="6" t="s">
        <v>408</v>
      </c>
      <c r="E442" s="13" t="n">
        <v>33003</v>
      </c>
      <c r="F442" s="6" t="n">
        <v>1990</v>
      </c>
      <c r="G442" s="11" t="n">
        <f aca="true">IF(F442="","",YEAR(TODAY())-F442)</f>
        <v>36</v>
      </c>
      <c r="H442" s="11" t="str">
        <f aca="false">IF(C442="","",IF(G442="","Thiếu thông tin",IF(G442&lt;6,"Trẻ em",IF(G442&lt;23,"Học sinh / Sinh viên",IF(G442&lt;60,"Đang đi làm","Nghỉ hưu")))))</f>
        <v>Đang đi làm</v>
      </c>
      <c r="I442" s="6"/>
      <c r="J442" s="11" t="str">
        <f aca="false">IF(B442="","",IFERROR(INDEX('Hộ gia đình'!$B$2:$B$2000,MATCH(B442,'Hộ gia đình'!$A$2:$A$2000,0)),"Mã hộ không tồn tại"))</f>
        <v>109 E4 Bách Khoa</v>
      </c>
      <c r="K442" s="14" t="s">
        <v>1605</v>
      </c>
      <c r="L442" s="14"/>
      <c r="M442" s="6" t="s">
        <v>732</v>
      </c>
      <c r="N442" s="6" t="s">
        <v>388</v>
      </c>
      <c r="O442" s="6" t="s">
        <v>389</v>
      </c>
      <c r="P442" s="6"/>
      <c r="Q442" s="6" t="s">
        <v>391</v>
      </c>
      <c r="R442" s="12" t="s">
        <v>1606</v>
      </c>
    </row>
    <row r="443" customFormat="false" ht="15" hidden="false" customHeight="true" outlineLevel="0" collapsed="false">
      <c r="A443" s="6" t="s">
        <v>1607</v>
      </c>
      <c r="B443" s="6" t="s">
        <v>234</v>
      </c>
      <c r="C443" s="6" t="s">
        <v>1608</v>
      </c>
      <c r="D443" s="6" t="s">
        <v>385</v>
      </c>
      <c r="E443" s="13" t="n">
        <v>33617</v>
      </c>
      <c r="F443" s="6" t="n">
        <v>1992</v>
      </c>
      <c r="G443" s="11" t="n">
        <f aca="true">IF(F443="","",YEAR(TODAY())-F443)</f>
        <v>34</v>
      </c>
      <c r="H443" s="11" t="str">
        <f aca="false">IF(C443="","",IF(G443="","Thiếu thông tin",IF(G443&lt;6,"Trẻ em",IF(G443&lt;23,"Học sinh / Sinh viên",IF(G443&lt;60,"Đang đi làm","Nghỉ hưu")))))</f>
        <v>Đang đi làm</v>
      </c>
      <c r="I443" s="6"/>
      <c r="J443" s="11" t="str">
        <f aca="false">IF(B443="","",IFERROR(INDEX('Hộ gia đình'!$B$2:$B$2000,MATCH(B443,'Hộ gia đình'!$A$2:$A$2000,0)),"Mã hộ không tồn tại"))</f>
        <v>109 E4 Bách Khoa</v>
      </c>
      <c r="K443" s="14" t="s">
        <v>1609</v>
      </c>
      <c r="L443" s="14"/>
      <c r="M443" s="6" t="s">
        <v>459</v>
      </c>
      <c r="N443" s="6" t="s">
        <v>388</v>
      </c>
      <c r="O443" s="6" t="s">
        <v>389</v>
      </c>
      <c r="P443" s="6"/>
      <c r="Q443" s="6" t="s">
        <v>391</v>
      </c>
      <c r="R443" s="12"/>
    </row>
    <row r="444" customFormat="false" ht="15" hidden="false" customHeight="true" outlineLevel="0" collapsed="false">
      <c r="A444" s="6" t="s">
        <v>1610</v>
      </c>
      <c r="B444" s="6" t="s">
        <v>234</v>
      </c>
      <c r="C444" s="6" t="s">
        <v>1611</v>
      </c>
      <c r="D444" s="6"/>
      <c r="E444" s="13"/>
      <c r="F444" s="6" t="n">
        <v>2017</v>
      </c>
      <c r="G444" s="11" t="n">
        <f aca="true">IF(F444="","",YEAR(TODAY())-F444)</f>
        <v>9</v>
      </c>
      <c r="H444" s="11" t="str">
        <f aca="false">IF(C444="","",IF(G444="","Thiếu thông tin",IF(G444&lt;6,"Trẻ em",IF(G444&lt;23,"Học sinh / Sinh viên",IF(G444&lt;60,"Đang đi làm","Nghỉ hưu")))))</f>
        <v>Học sinh / Sinh viên</v>
      </c>
      <c r="I444" s="6"/>
      <c r="J444" s="11" t="str">
        <f aca="false">IF(B444="","",IFERROR(INDEX('Hộ gia đình'!$B$2:$B$2000,MATCH(B444,'Hộ gia đình'!$A$2:$A$2000,0)),"Mã hộ không tồn tại"))</f>
        <v>109 E4 Bách Khoa</v>
      </c>
      <c r="K444" s="14"/>
      <c r="L444" s="14"/>
      <c r="M444" s="6"/>
      <c r="N444" s="6" t="s">
        <v>395</v>
      </c>
      <c r="O444" s="6" t="s">
        <v>389</v>
      </c>
      <c r="P444" s="6"/>
      <c r="Q444" s="6" t="s">
        <v>403</v>
      </c>
      <c r="R444" s="12"/>
    </row>
    <row r="445" customFormat="false" ht="15" hidden="false" customHeight="true" outlineLevel="0" collapsed="false">
      <c r="A445" s="6" t="s">
        <v>1612</v>
      </c>
      <c r="B445" s="6" t="s">
        <v>234</v>
      </c>
      <c r="C445" s="6" t="s">
        <v>1613</v>
      </c>
      <c r="D445" s="6"/>
      <c r="E445" s="13"/>
      <c r="F445" s="6" t="n">
        <v>2020</v>
      </c>
      <c r="G445" s="11" t="n">
        <f aca="true">IF(F445="","",YEAR(TODAY())-F445)</f>
        <v>6</v>
      </c>
      <c r="H445" s="11" t="str">
        <f aca="false">IF(C445="","",IF(G445="","Thiếu thông tin",IF(G445&lt;6,"Trẻ em",IF(G445&lt;23,"Học sinh / Sinh viên",IF(G445&lt;60,"Đang đi làm","Nghỉ hưu")))))</f>
        <v>Học sinh / Sinh viên</v>
      </c>
      <c r="I445" s="6"/>
      <c r="J445" s="11" t="str">
        <f aca="false">IF(B445="","",IFERROR(INDEX('Hộ gia đình'!$B$2:$B$2000,MATCH(B445,'Hộ gia đình'!$A$2:$A$2000,0)),"Mã hộ không tồn tại"))</f>
        <v>109 E4 Bách Khoa</v>
      </c>
      <c r="K445" s="14"/>
      <c r="L445" s="14"/>
      <c r="M445" s="6"/>
      <c r="N445" s="6" t="s">
        <v>395</v>
      </c>
      <c r="O445" s="6" t="s">
        <v>389</v>
      </c>
      <c r="P445" s="6"/>
      <c r="Q445" s="6" t="s">
        <v>403</v>
      </c>
      <c r="R445" s="12"/>
    </row>
    <row r="446" customFormat="false" ht="15" hidden="false" customHeight="true" outlineLevel="0" collapsed="false">
      <c r="A446" s="6" t="s">
        <v>1614</v>
      </c>
      <c r="B446" s="6" t="s">
        <v>236</v>
      </c>
      <c r="C446" s="6" t="s">
        <v>1615</v>
      </c>
      <c r="D446" s="6" t="s">
        <v>408</v>
      </c>
      <c r="E446" s="13" t="n">
        <v>12420</v>
      </c>
      <c r="F446" s="6" t="n">
        <v>1934</v>
      </c>
      <c r="G446" s="11" t="n">
        <f aca="true">IF(F446="","",YEAR(TODAY())-F446)</f>
        <v>92</v>
      </c>
      <c r="H446" s="11" t="str">
        <f aca="false">IF(C446="","",IF(G446="","Thiếu thông tin",IF(G446&lt;6,"Trẻ em",IF(G446&lt;23,"Học sinh / Sinh viên",IF(G446&lt;60,"Đang đi làm","Nghỉ hưu")))))</f>
        <v>Nghỉ hưu</v>
      </c>
      <c r="I446" s="6" t="s">
        <v>52</v>
      </c>
      <c r="J446" s="11" t="str">
        <f aca="false">IF(B446="","",IFERROR(INDEX('Hộ gia đình'!$B$2:$B$2000,MATCH(B446,'Hộ gia đình'!$A$2:$A$2000,0)),"Mã hộ không tồn tại"))</f>
        <v>113 E4 Bách Khoa</v>
      </c>
      <c r="K446" s="14" t="s">
        <v>1616</v>
      </c>
      <c r="L446" s="14"/>
      <c r="M446" s="6" t="s">
        <v>451</v>
      </c>
      <c r="N446" s="6" t="s">
        <v>388</v>
      </c>
      <c r="O446" s="6" t="s">
        <v>389</v>
      </c>
      <c r="P446" s="6"/>
      <c r="Q446" s="6" t="s">
        <v>391</v>
      </c>
      <c r="R446" s="12"/>
    </row>
    <row r="447" customFormat="false" ht="15" hidden="false" customHeight="true" outlineLevel="0" collapsed="false">
      <c r="A447" s="6" t="s">
        <v>1617</v>
      </c>
      <c r="B447" s="6" t="s">
        <v>236</v>
      </c>
      <c r="C447" s="6" t="s">
        <v>1618</v>
      </c>
      <c r="D447" s="6" t="s">
        <v>408</v>
      </c>
      <c r="E447" s="13" t="n">
        <v>26658</v>
      </c>
      <c r="F447" s="6" t="n">
        <v>1972</v>
      </c>
      <c r="G447" s="11" t="n">
        <f aca="true">IF(F447="","",YEAR(TODAY())-F447)</f>
        <v>54</v>
      </c>
      <c r="H447" s="11" t="str">
        <f aca="false">IF(C447="","",IF(G447="","Thiếu thông tin",IF(G447&lt;6,"Trẻ em",IF(G447&lt;23,"Học sinh / Sinh viên",IF(G447&lt;60,"Đang đi làm","Nghỉ hưu")))))</f>
        <v>Đang đi làm</v>
      </c>
      <c r="I447" s="6"/>
      <c r="J447" s="11" t="str">
        <f aca="false">IF(B447="","",IFERROR(INDEX('Hộ gia đình'!$B$2:$B$2000,MATCH(B447,'Hộ gia đình'!$A$2:$A$2000,0)),"Mã hộ không tồn tại"))</f>
        <v>113 E4 Bách Khoa</v>
      </c>
      <c r="K447" s="14" t="s">
        <v>1619</v>
      </c>
      <c r="L447" s="14" t="s">
        <v>1620</v>
      </c>
      <c r="M447" s="6" t="s">
        <v>459</v>
      </c>
      <c r="N447" s="6" t="s">
        <v>388</v>
      </c>
      <c r="O447" s="6" t="s">
        <v>389</v>
      </c>
      <c r="P447" s="6"/>
      <c r="Q447" s="6" t="s">
        <v>391</v>
      </c>
      <c r="R447" s="12"/>
    </row>
    <row r="448" customFormat="false" ht="15" hidden="false" customHeight="true" outlineLevel="0" collapsed="false">
      <c r="A448" s="6" t="s">
        <v>1621</v>
      </c>
      <c r="B448" s="6" t="s">
        <v>236</v>
      </c>
      <c r="C448" s="6" t="s">
        <v>1622</v>
      </c>
      <c r="D448" s="6" t="s">
        <v>385</v>
      </c>
      <c r="E448" s="13" t="n">
        <v>29743</v>
      </c>
      <c r="F448" s="6" t="n">
        <v>1981</v>
      </c>
      <c r="G448" s="11" t="n">
        <f aca="true">IF(F448="","",YEAR(TODAY())-F448)</f>
        <v>45</v>
      </c>
      <c r="H448" s="11" t="str">
        <f aca="false">IF(C448="","",IF(G448="","Thiếu thông tin",IF(G448&lt;6,"Trẻ em",IF(G448&lt;23,"Học sinh / Sinh viên",IF(G448&lt;60,"Đang đi làm","Nghỉ hưu")))))</f>
        <v>Đang đi làm</v>
      </c>
      <c r="I448" s="6"/>
      <c r="J448" s="11" t="str">
        <f aca="false">IF(B448="","",IFERROR(INDEX('Hộ gia đình'!$B$2:$B$2000,MATCH(B448,'Hộ gia đình'!$A$2:$A$2000,0)),"Mã hộ không tồn tại"))</f>
        <v>113 E4 Bách Khoa</v>
      </c>
      <c r="K448" s="14" t="s">
        <v>1623</v>
      </c>
      <c r="L448" s="14"/>
      <c r="M448" s="6" t="s">
        <v>459</v>
      </c>
      <c r="N448" s="6" t="s">
        <v>388</v>
      </c>
      <c r="O448" s="6" t="s">
        <v>389</v>
      </c>
      <c r="P448" s="6"/>
      <c r="Q448" s="6" t="s">
        <v>391</v>
      </c>
      <c r="R448" s="12"/>
    </row>
    <row r="449" customFormat="false" ht="15" hidden="false" customHeight="true" outlineLevel="0" collapsed="false">
      <c r="A449" s="6" t="s">
        <v>1624</v>
      </c>
      <c r="B449" s="6" t="s">
        <v>236</v>
      </c>
      <c r="C449" s="6" t="s">
        <v>1625</v>
      </c>
      <c r="D449" s="6" t="s">
        <v>408</v>
      </c>
      <c r="E449" s="13" t="n">
        <v>38769</v>
      </c>
      <c r="F449" s="6" t="n">
        <v>2006</v>
      </c>
      <c r="G449" s="11" t="n">
        <f aca="true">IF(F449="","",YEAR(TODAY())-F449)</f>
        <v>20</v>
      </c>
      <c r="H449" s="11" t="str">
        <f aca="false">IF(C449="","",IF(G449="","Thiếu thông tin",IF(G449&lt;6,"Trẻ em",IF(G449&lt;23,"Học sinh / Sinh viên",IF(G449&lt;60,"Đang đi làm","Nghỉ hưu")))))</f>
        <v>Học sinh / Sinh viên</v>
      </c>
      <c r="I449" s="6"/>
      <c r="J449" s="11" t="str">
        <f aca="false">IF(B449="","",IFERROR(INDEX('Hộ gia đình'!$B$2:$B$2000,MATCH(B449,'Hộ gia đình'!$A$2:$A$2000,0)),"Mã hộ không tồn tại"))</f>
        <v>113 E4 Bách Khoa</v>
      </c>
      <c r="K449" s="14" t="s">
        <v>1626</v>
      </c>
      <c r="L449" s="14"/>
      <c r="M449" s="6" t="s">
        <v>422</v>
      </c>
      <c r="N449" s="6" t="s">
        <v>388</v>
      </c>
      <c r="O449" s="6" t="s">
        <v>389</v>
      </c>
      <c r="P449" s="6"/>
      <c r="Q449" s="6" t="s">
        <v>583</v>
      </c>
      <c r="R449" s="12"/>
    </row>
    <row r="450" customFormat="false" ht="15" hidden="false" customHeight="true" outlineLevel="0" collapsed="false">
      <c r="A450" s="6" t="s">
        <v>1627</v>
      </c>
      <c r="B450" s="6" t="s">
        <v>236</v>
      </c>
      <c r="C450" s="6" t="s">
        <v>1628</v>
      </c>
      <c r="D450" s="6"/>
      <c r="E450" s="13"/>
      <c r="F450" s="6" t="n">
        <v>2012</v>
      </c>
      <c r="G450" s="11" t="n">
        <f aca="true">IF(F450="","",YEAR(TODAY())-F450)</f>
        <v>14</v>
      </c>
      <c r="H450" s="11" t="str">
        <f aca="false">IF(C450="","",IF(G450="","Thiếu thông tin",IF(G450&lt;6,"Trẻ em",IF(G450&lt;23,"Học sinh / Sinh viên",IF(G450&lt;60,"Đang đi làm","Nghỉ hưu")))))</f>
        <v>Học sinh / Sinh viên</v>
      </c>
      <c r="I450" s="6"/>
      <c r="J450" s="11" t="str">
        <f aca="false">IF(B450="","",IFERROR(INDEX('Hộ gia đình'!$B$2:$B$2000,MATCH(B450,'Hộ gia đình'!$A$2:$A$2000,0)),"Mã hộ không tồn tại"))</f>
        <v>113 E4 Bách Khoa</v>
      </c>
      <c r="K450" s="14"/>
      <c r="L450" s="14"/>
      <c r="M450" s="6"/>
      <c r="N450" s="6" t="s">
        <v>395</v>
      </c>
      <c r="O450" s="6" t="s">
        <v>389</v>
      </c>
      <c r="P450" s="6"/>
      <c r="Q450" s="6" t="s">
        <v>403</v>
      </c>
      <c r="R450" s="12"/>
    </row>
    <row r="451" customFormat="false" ht="15" hidden="false" customHeight="true" outlineLevel="0" collapsed="false">
      <c r="A451" s="6" t="s">
        <v>1629</v>
      </c>
      <c r="B451" s="6" t="s">
        <v>238</v>
      </c>
      <c r="C451" s="6" t="s">
        <v>1630</v>
      </c>
      <c r="D451" s="6" t="s">
        <v>408</v>
      </c>
      <c r="E451" s="13" t="n">
        <v>24523</v>
      </c>
      <c r="F451" s="6" t="n">
        <v>1967</v>
      </c>
      <c r="G451" s="11" t="n">
        <f aca="true">IF(F451="","",YEAR(TODAY())-F451)</f>
        <v>59</v>
      </c>
      <c r="H451" s="11" t="str">
        <f aca="false">IF(C451="","",IF(G451="","Thiếu thông tin",IF(G451&lt;6,"Trẻ em",IF(G451&lt;23,"Học sinh / Sinh viên",IF(G451&lt;60,"Đang đi làm","Nghỉ hưu")))))</f>
        <v>Đang đi làm</v>
      </c>
      <c r="I451" s="6" t="s">
        <v>52</v>
      </c>
      <c r="J451" s="11" t="str">
        <f aca="false">IF(B451="","",IFERROR(INDEX('Hộ gia đình'!$B$2:$B$2000,MATCH(B451,'Hộ gia đình'!$A$2:$A$2000,0)),"Mã hộ không tồn tại"))</f>
        <v>114 E4 Bách Khoa</v>
      </c>
      <c r="K451" s="14" t="s">
        <v>1631</v>
      </c>
      <c r="L451" s="14"/>
      <c r="M451" s="6" t="s">
        <v>451</v>
      </c>
      <c r="N451" s="6" t="s">
        <v>388</v>
      </c>
      <c r="O451" s="6" t="s">
        <v>389</v>
      </c>
      <c r="P451" s="6"/>
      <c r="Q451" s="6" t="s">
        <v>391</v>
      </c>
      <c r="R451" s="12"/>
    </row>
    <row r="452" customFormat="false" ht="15" hidden="false" customHeight="true" outlineLevel="0" collapsed="false">
      <c r="A452" s="6" t="s">
        <v>1632</v>
      </c>
      <c r="B452" s="6" t="s">
        <v>238</v>
      </c>
      <c r="C452" s="6" t="s">
        <v>1633</v>
      </c>
      <c r="D452" s="6" t="s">
        <v>385</v>
      </c>
      <c r="E452" s="13" t="n">
        <v>27904</v>
      </c>
      <c r="F452" s="6" t="n">
        <v>1976</v>
      </c>
      <c r="G452" s="11" t="n">
        <f aca="true">IF(F452="","",YEAR(TODAY())-F452)</f>
        <v>50</v>
      </c>
      <c r="H452" s="11" t="str">
        <f aca="false">IF(C452="","",IF(G452="","Thiếu thông tin",IF(G452&lt;6,"Trẻ em",IF(G452&lt;23,"Học sinh / Sinh viên",IF(G452&lt;60,"Đang đi làm","Nghỉ hưu")))))</f>
        <v>Đang đi làm</v>
      </c>
      <c r="I452" s="6"/>
      <c r="J452" s="11" t="str">
        <f aca="false">IF(B452="","",IFERROR(INDEX('Hộ gia đình'!$B$2:$B$2000,MATCH(B452,'Hộ gia đình'!$A$2:$A$2000,0)),"Mã hộ không tồn tại"))</f>
        <v>114 E4 Bách Khoa</v>
      </c>
      <c r="K452" s="14" t="s">
        <v>1634</v>
      </c>
      <c r="L452" s="14"/>
      <c r="M452" s="6" t="s">
        <v>459</v>
      </c>
      <c r="N452" s="6" t="s">
        <v>388</v>
      </c>
      <c r="O452" s="6" t="s">
        <v>389</v>
      </c>
      <c r="P452" s="6"/>
      <c r="Q452" s="6" t="s">
        <v>391</v>
      </c>
      <c r="R452" s="12" t="s">
        <v>1635</v>
      </c>
    </row>
    <row r="453" customFormat="false" ht="15" hidden="false" customHeight="true" outlineLevel="0" collapsed="false">
      <c r="A453" s="6" t="s">
        <v>1636</v>
      </c>
      <c r="B453" s="6" t="s">
        <v>238</v>
      </c>
      <c r="C453" s="6" t="s">
        <v>1637</v>
      </c>
      <c r="D453" s="6"/>
      <c r="E453" s="13"/>
      <c r="F453" s="6" t="n">
        <v>1994</v>
      </c>
      <c r="G453" s="11" t="n">
        <f aca="true">IF(F453="","",YEAR(TODAY())-F453)</f>
        <v>32</v>
      </c>
      <c r="H453" s="11" t="str">
        <f aca="false">IF(C453="","",IF(G453="","Thiếu thông tin",IF(G453&lt;6,"Trẻ em",IF(G453&lt;23,"Học sinh / Sinh viên",IF(G453&lt;60,"Đang đi làm","Nghỉ hưu")))))</f>
        <v>Đang đi làm</v>
      </c>
      <c r="I453" s="6"/>
      <c r="J453" s="11" t="str">
        <f aca="false">IF(B453="","",IFERROR(INDEX('Hộ gia đình'!$B$2:$B$2000,MATCH(B453,'Hộ gia đình'!$A$2:$A$2000,0)),"Mã hộ không tồn tại"))</f>
        <v>114 E4 Bách Khoa</v>
      </c>
      <c r="K453" s="14"/>
      <c r="L453" s="14"/>
      <c r="M453" s="6"/>
      <c r="N453" s="6" t="s">
        <v>395</v>
      </c>
      <c r="O453" s="6" t="s">
        <v>389</v>
      </c>
      <c r="P453" s="6"/>
      <c r="Q453" s="6" t="s">
        <v>396</v>
      </c>
      <c r="R453" s="12"/>
    </row>
    <row r="454" customFormat="false" ht="15" hidden="false" customHeight="true" outlineLevel="0" collapsed="false">
      <c r="A454" s="6" t="s">
        <v>1638</v>
      </c>
      <c r="B454" s="6" t="s">
        <v>238</v>
      </c>
      <c r="C454" s="6" t="s">
        <v>1639</v>
      </c>
      <c r="D454" s="6" t="s">
        <v>385</v>
      </c>
      <c r="E454" s="13" t="n">
        <v>35688</v>
      </c>
      <c r="F454" s="6" t="n">
        <v>1997</v>
      </c>
      <c r="G454" s="11" t="n">
        <f aca="true">IF(F454="","",YEAR(TODAY())-F454)</f>
        <v>29</v>
      </c>
      <c r="H454" s="11" t="str">
        <f aca="false">IF(C454="","",IF(G454="","Thiếu thông tin",IF(G454&lt;6,"Trẻ em",IF(G454&lt;23,"Học sinh / Sinh viên",IF(G454&lt;60,"Đang đi làm","Nghỉ hưu")))))</f>
        <v>Đang đi làm</v>
      </c>
      <c r="I454" s="6"/>
      <c r="J454" s="11" t="str">
        <f aca="false">IF(B454="","",IFERROR(INDEX('Hộ gia đình'!$B$2:$B$2000,MATCH(B454,'Hộ gia đình'!$A$2:$A$2000,0)),"Mã hộ không tồn tại"))</f>
        <v>114 E4 Bách Khoa</v>
      </c>
      <c r="K454" s="14" t="s">
        <v>1640</v>
      </c>
      <c r="L454" s="14"/>
      <c r="M454" s="6" t="s">
        <v>459</v>
      </c>
      <c r="N454" s="6" t="s">
        <v>388</v>
      </c>
      <c r="O454" s="6" t="s">
        <v>389</v>
      </c>
      <c r="P454" s="6"/>
      <c r="Q454" s="6" t="s">
        <v>583</v>
      </c>
      <c r="R454" s="12"/>
    </row>
    <row r="455" customFormat="false" ht="15" hidden="false" customHeight="true" outlineLevel="0" collapsed="false">
      <c r="A455" s="6" t="s">
        <v>1641</v>
      </c>
      <c r="B455" s="6" t="s">
        <v>240</v>
      </c>
      <c r="C455" s="6" t="s">
        <v>1642</v>
      </c>
      <c r="D455" s="6"/>
      <c r="E455" s="13" t="n">
        <v>16796</v>
      </c>
      <c r="F455" s="6" t="n">
        <v>1945</v>
      </c>
      <c r="G455" s="11" t="n">
        <f aca="true">IF(F455="","",YEAR(TODAY())-F455)</f>
        <v>81</v>
      </c>
      <c r="H455" s="11" t="str">
        <f aca="false">IF(C455="","",IF(G455="","Thiếu thông tin",IF(G455&lt;6,"Trẻ em",IF(G455&lt;23,"Học sinh / Sinh viên",IF(G455&lt;60,"Đang đi làm","Nghỉ hưu")))))</f>
        <v>Nghỉ hưu</v>
      </c>
      <c r="I455" s="6" t="s">
        <v>52</v>
      </c>
      <c r="J455" s="11" t="str">
        <f aca="false">IF(B455="","",IFERROR(INDEX('Hộ gia đình'!$B$2:$B$2000,MATCH(B455,'Hộ gia đình'!$A$2:$A$2000,0)),"Mã hộ không tồn tại"))</f>
        <v>115 E4 Bách Khoa</v>
      </c>
      <c r="K455" s="14"/>
      <c r="L455" s="14"/>
      <c r="M455" s="6"/>
      <c r="N455" s="6" t="s">
        <v>395</v>
      </c>
      <c r="O455" s="6" t="s">
        <v>979</v>
      </c>
      <c r="P455" s="6" t="s">
        <v>1643</v>
      </c>
      <c r="Q455" s="6" t="s">
        <v>396</v>
      </c>
      <c r="R455" s="12"/>
    </row>
    <row r="456" customFormat="false" ht="15" hidden="false" customHeight="true" outlineLevel="0" collapsed="false">
      <c r="A456" s="6" t="s">
        <v>1644</v>
      </c>
      <c r="B456" s="6" t="s">
        <v>240</v>
      </c>
      <c r="C456" s="6" t="s">
        <v>1645</v>
      </c>
      <c r="D456" s="6" t="s">
        <v>408</v>
      </c>
      <c r="E456" s="13" t="n">
        <v>27530</v>
      </c>
      <c r="F456" s="6" t="n">
        <v>1975</v>
      </c>
      <c r="G456" s="11" t="n">
        <f aca="true">IF(F456="","",YEAR(TODAY())-F456)</f>
        <v>51</v>
      </c>
      <c r="H456" s="11" t="str">
        <f aca="false">IF(C456="","",IF(G456="","Thiếu thông tin",IF(G456&lt;6,"Trẻ em",IF(G456&lt;23,"Học sinh / Sinh viên",IF(G456&lt;60,"Đang đi làm","Nghỉ hưu")))))</f>
        <v>Đang đi làm</v>
      </c>
      <c r="I456" s="6"/>
      <c r="J456" s="11" t="str">
        <f aca="false">IF(B456="","",IFERROR(INDEX('Hộ gia đình'!$B$2:$B$2000,MATCH(B456,'Hộ gia đình'!$A$2:$A$2000,0)),"Mã hộ không tồn tại"))</f>
        <v>115 E4 Bách Khoa</v>
      </c>
      <c r="K456" s="14" t="s">
        <v>1646</v>
      </c>
      <c r="L456" s="14"/>
      <c r="M456" s="6" t="s">
        <v>459</v>
      </c>
      <c r="N456" s="6" t="s">
        <v>388</v>
      </c>
      <c r="O456" s="6" t="s">
        <v>389</v>
      </c>
      <c r="P456" s="6"/>
      <c r="Q456" s="6" t="s">
        <v>391</v>
      </c>
      <c r="R456" s="12"/>
    </row>
    <row r="457" customFormat="false" ht="15" hidden="false" customHeight="true" outlineLevel="0" collapsed="false">
      <c r="A457" s="6" t="s">
        <v>1647</v>
      </c>
      <c r="B457" s="6" t="s">
        <v>240</v>
      </c>
      <c r="C457" s="6" t="s">
        <v>1648</v>
      </c>
      <c r="D457" s="6" t="s">
        <v>385</v>
      </c>
      <c r="E457" s="13" t="n">
        <v>26209</v>
      </c>
      <c r="F457" s="6" t="n">
        <v>1971</v>
      </c>
      <c r="G457" s="11" t="n">
        <f aca="true">IF(F457="","",YEAR(TODAY())-F457)</f>
        <v>55</v>
      </c>
      <c r="H457" s="11" t="str">
        <f aca="false">IF(C457="","",IF(G457="","Thiếu thông tin",IF(G457&lt;6,"Trẻ em",IF(G457&lt;23,"Học sinh / Sinh viên",IF(G457&lt;60,"Đang đi làm","Nghỉ hưu")))))</f>
        <v>Đang đi làm</v>
      </c>
      <c r="I457" s="6"/>
      <c r="J457" s="11" t="str">
        <f aca="false">IF(B457="","",IFERROR(INDEX('Hộ gia đình'!$B$2:$B$2000,MATCH(B457,'Hộ gia đình'!$A$2:$A$2000,0)),"Mã hộ không tồn tại"))</f>
        <v>115 E4 Bách Khoa</v>
      </c>
      <c r="K457" s="14" t="s">
        <v>1649</v>
      </c>
      <c r="L457" s="14"/>
      <c r="M457" s="6" t="s">
        <v>459</v>
      </c>
      <c r="N457" s="6" t="s">
        <v>388</v>
      </c>
      <c r="O457" s="6" t="s">
        <v>389</v>
      </c>
      <c r="P457" s="6"/>
      <c r="Q457" s="6" t="s">
        <v>391</v>
      </c>
      <c r="R457" s="12"/>
    </row>
    <row r="458" customFormat="false" ht="15" hidden="false" customHeight="true" outlineLevel="0" collapsed="false">
      <c r="A458" s="6" t="s">
        <v>1650</v>
      </c>
      <c r="B458" s="6" t="s">
        <v>240</v>
      </c>
      <c r="C458" s="6" t="s">
        <v>1651</v>
      </c>
      <c r="D458" s="6" t="s">
        <v>408</v>
      </c>
      <c r="E458" s="13" t="n">
        <v>39458</v>
      </c>
      <c r="F458" s="6" t="n">
        <v>2008</v>
      </c>
      <c r="G458" s="11" t="n">
        <f aca="true">IF(F458="","",YEAR(TODAY())-F458)</f>
        <v>18</v>
      </c>
      <c r="H458" s="11" t="str">
        <f aca="false">IF(C458="","",IF(G458="","Thiếu thông tin",IF(G458&lt;6,"Trẻ em",IF(G458&lt;23,"Học sinh / Sinh viên",IF(G458&lt;60,"Đang đi làm","Nghỉ hưu")))))</f>
        <v>Học sinh / Sinh viên</v>
      </c>
      <c r="I458" s="6"/>
      <c r="J458" s="11" t="str">
        <f aca="false">IF(B458="","",IFERROR(INDEX('Hộ gia đình'!$B$2:$B$2000,MATCH(B458,'Hộ gia đình'!$A$2:$A$2000,0)),"Mã hộ không tồn tại"))</f>
        <v>115 E4 Bách Khoa</v>
      </c>
      <c r="K458" s="14" t="s">
        <v>1652</v>
      </c>
      <c r="L458" s="14"/>
      <c r="M458" s="6"/>
      <c r="N458" s="6" t="s">
        <v>395</v>
      </c>
      <c r="O458" s="6" t="s">
        <v>389</v>
      </c>
      <c r="P458" s="6"/>
      <c r="Q458" s="6" t="s">
        <v>403</v>
      </c>
      <c r="R458" s="12" t="s">
        <v>1653</v>
      </c>
    </row>
    <row r="459" customFormat="false" ht="15" hidden="false" customHeight="true" outlineLevel="0" collapsed="false">
      <c r="A459" s="6" t="s">
        <v>1654</v>
      </c>
      <c r="B459" s="6" t="s">
        <v>240</v>
      </c>
      <c r="C459" s="6" t="s">
        <v>1655</v>
      </c>
      <c r="D459" s="6" t="s">
        <v>385</v>
      </c>
      <c r="E459" s="13" t="n">
        <v>40286</v>
      </c>
      <c r="F459" s="6" t="n">
        <v>2010</v>
      </c>
      <c r="G459" s="11" t="n">
        <f aca="true">IF(F459="","",YEAR(TODAY())-F459)</f>
        <v>16</v>
      </c>
      <c r="H459" s="11" t="str">
        <f aca="false">IF(C459="","",IF(G459="","Thiếu thông tin",IF(G459&lt;6,"Trẻ em",IF(G459&lt;23,"Học sinh / Sinh viên",IF(G459&lt;60,"Đang đi làm","Nghỉ hưu")))))</f>
        <v>Học sinh / Sinh viên</v>
      </c>
      <c r="I459" s="6"/>
      <c r="J459" s="11" t="str">
        <f aca="false">IF(B459="","",IFERROR(INDEX('Hộ gia đình'!$B$2:$B$2000,MATCH(B459,'Hộ gia đình'!$A$2:$A$2000,0)),"Mã hộ không tồn tại"))</f>
        <v>115 E4 Bách Khoa</v>
      </c>
      <c r="K459" s="14"/>
      <c r="L459" s="14"/>
      <c r="M459" s="6"/>
      <c r="N459" s="6" t="s">
        <v>395</v>
      </c>
      <c r="O459" s="6" t="s">
        <v>389</v>
      </c>
      <c r="P459" s="6"/>
      <c r="Q459" s="6" t="s">
        <v>403</v>
      </c>
      <c r="R459" s="12"/>
    </row>
    <row r="460" customFormat="false" ht="15" hidden="false" customHeight="true" outlineLevel="0" collapsed="false">
      <c r="A460" s="6" t="s">
        <v>1656</v>
      </c>
      <c r="B460" s="6" t="s">
        <v>240</v>
      </c>
      <c r="C460" s="6" t="s">
        <v>1657</v>
      </c>
      <c r="D460" s="6" t="s">
        <v>408</v>
      </c>
      <c r="E460" s="13"/>
      <c r="F460" s="6" t="n">
        <v>1971</v>
      </c>
      <c r="G460" s="11" t="n">
        <f aca="true">IF(F460="","",YEAR(TODAY())-F460)</f>
        <v>55</v>
      </c>
      <c r="H460" s="11" t="str">
        <f aca="false">IF(C460="","",IF(G460="","Thiếu thông tin",IF(G460&lt;6,"Trẻ em",IF(G460&lt;23,"Học sinh / Sinh viên",IF(G460&lt;60,"Đang đi làm","Nghỉ hưu")))))</f>
        <v>Đang đi làm</v>
      </c>
      <c r="I460" s="6"/>
      <c r="J460" s="11" t="str">
        <f aca="false">IF(B460="","",IFERROR(INDEX('Hộ gia đình'!$B$2:$B$2000,MATCH(B460,'Hộ gia đình'!$A$2:$A$2000,0)),"Mã hộ không tồn tại"))</f>
        <v>115 E4 Bách Khoa</v>
      </c>
      <c r="K460" s="14"/>
      <c r="L460" s="14"/>
      <c r="M460" s="6"/>
      <c r="N460" s="6" t="s">
        <v>395</v>
      </c>
      <c r="O460" s="6" t="s">
        <v>389</v>
      </c>
      <c r="P460" s="6"/>
      <c r="Q460" s="6" t="s">
        <v>396</v>
      </c>
      <c r="R460" s="12"/>
    </row>
    <row r="461" customFormat="false" ht="15" hidden="false" customHeight="true" outlineLevel="0" collapsed="false">
      <c r="A461" s="6" t="s">
        <v>1658</v>
      </c>
      <c r="B461" s="6" t="s">
        <v>240</v>
      </c>
      <c r="C461" s="6" t="s">
        <v>1659</v>
      </c>
      <c r="D461" s="6" t="s">
        <v>385</v>
      </c>
      <c r="E461" s="13"/>
      <c r="F461" s="6" t="n">
        <v>1977</v>
      </c>
      <c r="G461" s="11" t="n">
        <f aca="true">IF(F461="","",YEAR(TODAY())-F461)</f>
        <v>49</v>
      </c>
      <c r="H461" s="11" t="str">
        <f aca="false">IF(C461="","",IF(G461="","Thiếu thông tin",IF(G461&lt;6,"Trẻ em",IF(G461&lt;23,"Học sinh / Sinh viên",IF(G461&lt;60,"Đang đi làm","Nghỉ hưu")))))</f>
        <v>Đang đi làm</v>
      </c>
      <c r="I461" s="6"/>
      <c r="J461" s="11" t="str">
        <f aca="false">IF(B461="","",IFERROR(INDEX('Hộ gia đình'!$B$2:$B$2000,MATCH(B461,'Hộ gia đình'!$A$2:$A$2000,0)),"Mã hộ không tồn tại"))</f>
        <v>115 E4 Bách Khoa</v>
      </c>
      <c r="K461" s="14"/>
      <c r="L461" s="14"/>
      <c r="M461" s="6"/>
      <c r="N461" s="6" t="s">
        <v>395</v>
      </c>
      <c r="O461" s="6" t="s">
        <v>389</v>
      </c>
      <c r="P461" s="6" t="s">
        <v>1660</v>
      </c>
      <c r="Q461" s="6" t="s">
        <v>396</v>
      </c>
      <c r="R461" s="12"/>
    </row>
    <row r="462" customFormat="false" ht="15" hidden="false" customHeight="true" outlineLevel="0" collapsed="false">
      <c r="A462" s="6" t="s">
        <v>1661</v>
      </c>
      <c r="B462" s="6" t="s">
        <v>240</v>
      </c>
      <c r="C462" s="6" t="s">
        <v>1662</v>
      </c>
      <c r="D462" s="6" t="s">
        <v>408</v>
      </c>
      <c r="E462" s="13"/>
      <c r="F462" s="6" t="n">
        <v>2006</v>
      </c>
      <c r="G462" s="11" t="n">
        <f aca="true">IF(F462="","",YEAR(TODAY())-F462)</f>
        <v>20</v>
      </c>
      <c r="H462" s="11" t="str">
        <f aca="false">IF(C462="","",IF(G462="","Thiếu thông tin",IF(G462&lt;6,"Trẻ em",IF(G462&lt;23,"Học sinh / Sinh viên",IF(G462&lt;60,"Đang đi làm","Nghỉ hưu")))))</f>
        <v>Học sinh / Sinh viên</v>
      </c>
      <c r="I462" s="6"/>
      <c r="J462" s="11" t="str">
        <f aca="false">IF(B462="","",IFERROR(INDEX('Hộ gia đình'!$B$2:$B$2000,MATCH(B462,'Hộ gia đình'!$A$2:$A$2000,0)),"Mã hộ không tồn tại"))</f>
        <v>115 E4 Bách Khoa</v>
      </c>
      <c r="K462" s="14"/>
      <c r="L462" s="14"/>
      <c r="M462" s="6"/>
      <c r="N462" s="6" t="s">
        <v>395</v>
      </c>
      <c r="O462" s="6" t="s">
        <v>389</v>
      </c>
      <c r="P462" s="6"/>
      <c r="Q462" s="6" t="s">
        <v>396</v>
      </c>
      <c r="R462" s="12"/>
    </row>
    <row r="463" customFormat="false" ht="15" hidden="false" customHeight="true" outlineLevel="0" collapsed="false">
      <c r="A463" s="6" t="s">
        <v>1663</v>
      </c>
      <c r="B463" s="6" t="s">
        <v>240</v>
      </c>
      <c r="C463" s="6" t="s">
        <v>1664</v>
      </c>
      <c r="D463" s="6" t="s">
        <v>408</v>
      </c>
      <c r="E463" s="13" t="n">
        <v>39506</v>
      </c>
      <c r="F463" s="6" t="n">
        <v>2008</v>
      </c>
      <c r="G463" s="11" t="n">
        <f aca="true">IF(F463="","",YEAR(TODAY())-F463)</f>
        <v>18</v>
      </c>
      <c r="H463" s="11" t="str">
        <f aca="false">IF(C463="","",IF(G463="","Thiếu thông tin",IF(G463&lt;6,"Trẻ em",IF(G463&lt;23,"Học sinh / Sinh viên",IF(G463&lt;60,"Đang đi làm","Nghỉ hưu")))))</f>
        <v>Học sinh / Sinh viên</v>
      </c>
      <c r="I463" s="6"/>
      <c r="J463" s="11" t="str">
        <f aca="false">IF(B463="","",IFERROR(INDEX('Hộ gia đình'!$B$2:$B$2000,MATCH(B463,'Hộ gia đình'!$A$2:$A$2000,0)),"Mã hộ không tồn tại"))</f>
        <v>115 E4 Bách Khoa</v>
      </c>
      <c r="K463" s="14" t="s">
        <v>1665</v>
      </c>
      <c r="L463" s="14"/>
      <c r="M463" s="6"/>
      <c r="N463" s="6" t="s">
        <v>395</v>
      </c>
      <c r="O463" s="6" t="s">
        <v>389</v>
      </c>
      <c r="P463" s="6"/>
      <c r="Q463" s="6" t="s">
        <v>403</v>
      </c>
      <c r="R463" s="12"/>
    </row>
    <row r="464" customFormat="false" ht="15" hidden="false" customHeight="true" outlineLevel="0" collapsed="false">
      <c r="A464" s="6" t="s">
        <v>1666</v>
      </c>
      <c r="B464" s="6" t="s">
        <v>242</v>
      </c>
      <c r="C464" s="6" t="s">
        <v>1667</v>
      </c>
      <c r="D464" s="6" t="s">
        <v>385</v>
      </c>
      <c r="E464" s="13" t="n">
        <v>14785</v>
      </c>
      <c r="F464" s="6" t="n">
        <v>1940</v>
      </c>
      <c r="G464" s="11" t="n">
        <f aca="true">IF(F464="","",YEAR(TODAY())-F464)</f>
        <v>86</v>
      </c>
      <c r="H464" s="11" t="str">
        <f aca="false">IF(C464="","",IF(G464="","Thiếu thông tin",IF(G464&lt;6,"Trẻ em",IF(G464&lt;23,"Học sinh / Sinh viên",IF(G464&lt;60,"Đang đi làm","Nghỉ hưu")))))</f>
        <v>Nghỉ hưu</v>
      </c>
      <c r="I464" s="6" t="s">
        <v>52</v>
      </c>
      <c r="J464" s="11" t="str">
        <f aca="false">IF(B464="","",IFERROR(INDEX('Hộ gia đình'!$B$2:$B$2000,MATCH(B464,'Hộ gia đình'!$A$2:$A$2000,0)),"Mã hộ không tồn tại"))</f>
        <v>201 E4 Bách Khoa</v>
      </c>
      <c r="K464" s="14" t="s">
        <v>1668</v>
      </c>
      <c r="L464" s="14"/>
      <c r="M464" s="6" t="s">
        <v>451</v>
      </c>
      <c r="N464" s="6" t="s">
        <v>388</v>
      </c>
      <c r="O464" s="6" t="s">
        <v>389</v>
      </c>
      <c r="P464" s="6"/>
      <c r="Q464" s="6" t="s">
        <v>583</v>
      </c>
      <c r="R464" s="12"/>
    </row>
    <row r="465" customFormat="false" ht="15" hidden="false" customHeight="true" outlineLevel="0" collapsed="false">
      <c r="A465" s="6" t="s">
        <v>1669</v>
      </c>
      <c r="B465" s="6" t="s">
        <v>244</v>
      </c>
      <c r="C465" s="6" t="s">
        <v>1670</v>
      </c>
      <c r="D465" s="6" t="s">
        <v>385</v>
      </c>
      <c r="E465" s="13" t="n">
        <v>32850</v>
      </c>
      <c r="F465" s="6" t="n">
        <v>1989</v>
      </c>
      <c r="G465" s="11" t="n">
        <f aca="true">IF(F465="","",YEAR(TODAY())-F465)</f>
        <v>37</v>
      </c>
      <c r="H465" s="11" t="str">
        <f aca="false">IF(C465="","",IF(G465="","Thiếu thông tin",IF(G465&lt;6,"Trẻ em",IF(G465&lt;23,"Học sinh / Sinh viên",IF(G465&lt;60,"Đang đi làm","Nghỉ hưu")))))</f>
        <v>Đang đi làm</v>
      </c>
      <c r="I465" s="6" t="s">
        <v>52</v>
      </c>
      <c r="J465" s="11" t="str">
        <f aca="false">IF(B465="","",IFERROR(INDEX('Hộ gia đình'!$B$2:$B$2000,MATCH(B465,'Hộ gia đình'!$A$2:$A$2000,0)),"Mã hộ không tồn tại"))</f>
        <v>203 E4 Bách Khoa</v>
      </c>
      <c r="K465" s="14" t="s">
        <v>1671</v>
      </c>
      <c r="L465" s="14"/>
      <c r="M465" s="6" t="s">
        <v>451</v>
      </c>
      <c r="N465" s="6" t="s">
        <v>388</v>
      </c>
      <c r="O465" s="6" t="s">
        <v>389</v>
      </c>
      <c r="P465" s="6"/>
      <c r="Q465" s="6" t="s">
        <v>391</v>
      </c>
      <c r="R465" s="12"/>
    </row>
    <row r="466" customFormat="false" ht="15" hidden="false" customHeight="true" outlineLevel="0" collapsed="false">
      <c r="A466" s="6" t="s">
        <v>1672</v>
      </c>
      <c r="B466" s="6" t="s">
        <v>244</v>
      </c>
      <c r="C466" s="6" t="s">
        <v>1673</v>
      </c>
      <c r="D466" s="6"/>
      <c r="E466" s="13"/>
      <c r="F466" s="6" t="n">
        <v>1988</v>
      </c>
      <c r="G466" s="11" t="n">
        <f aca="true">IF(F466="","",YEAR(TODAY())-F466)</f>
        <v>38</v>
      </c>
      <c r="H466" s="11" t="str">
        <f aca="false">IF(C466="","",IF(G466="","Thiếu thông tin",IF(G466&lt;6,"Trẻ em",IF(G466&lt;23,"Học sinh / Sinh viên",IF(G466&lt;60,"Đang đi làm","Nghỉ hưu")))))</f>
        <v>Đang đi làm</v>
      </c>
      <c r="I466" s="6"/>
      <c r="J466" s="11" t="str">
        <f aca="false">IF(B466="","",IFERROR(INDEX('Hộ gia đình'!$B$2:$B$2000,MATCH(B466,'Hộ gia đình'!$A$2:$A$2000,0)),"Mã hộ không tồn tại"))</f>
        <v>203 E4 Bách Khoa</v>
      </c>
      <c r="K466" s="14"/>
      <c r="L466" s="14"/>
      <c r="M466" s="6"/>
      <c r="N466" s="6" t="s">
        <v>395</v>
      </c>
      <c r="O466" s="6" t="s">
        <v>389</v>
      </c>
      <c r="P466" s="6" t="s">
        <v>1659</v>
      </c>
      <c r="Q466" s="6" t="s">
        <v>396</v>
      </c>
      <c r="R466" s="12"/>
    </row>
    <row r="467" customFormat="false" ht="15" hidden="false" customHeight="true" outlineLevel="0" collapsed="false">
      <c r="A467" s="6" t="s">
        <v>1674</v>
      </c>
      <c r="B467" s="6" t="s">
        <v>244</v>
      </c>
      <c r="C467" s="6" t="s">
        <v>1675</v>
      </c>
      <c r="D467" s="6"/>
      <c r="E467" s="13"/>
      <c r="F467" s="6" t="n">
        <v>2016</v>
      </c>
      <c r="G467" s="11" t="n">
        <f aca="true">IF(F467="","",YEAR(TODAY())-F467)</f>
        <v>10</v>
      </c>
      <c r="H467" s="11" t="str">
        <f aca="false">IF(C467="","",IF(G467="","Thiếu thông tin",IF(G467&lt;6,"Trẻ em",IF(G467&lt;23,"Học sinh / Sinh viên",IF(G467&lt;60,"Đang đi làm","Nghỉ hưu")))))</f>
        <v>Học sinh / Sinh viên</v>
      </c>
      <c r="I467" s="6"/>
      <c r="J467" s="11" t="str">
        <f aca="false">IF(B467="","",IFERROR(INDEX('Hộ gia đình'!$B$2:$B$2000,MATCH(B467,'Hộ gia đình'!$A$2:$A$2000,0)),"Mã hộ không tồn tại"))</f>
        <v>203 E4 Bách Khoa</v>
      </c>
      <c r="K467" s="14"/>
      <c r="L467" s="14"/>
      <c r="M467" s="6"/>
      <c r="N467" s="6" t="s">
        <v>395</v>
      </c>
      <c r="O467" s="6" t="s">
        <v>389</v>
      </c>
      <c r="P467" s="6"/>
      <c r="Q467" s="6" t="s">
        <v>403</v>
      </c>
      <c r="R467" s="12"/>
    </row>
    <row r="468" customFormat="false" ht="15" hidden="false" customHeight="true" outlineLevel="0" collapsed="false">
      <c r="A468" s="6" t="s">
        <v>1676</v>
      </c>
      <c r="B468" s="6" t="s">
        <v>246</v>
      </c>
      <c r="C468" s="6" t="s">
        <v>1677</v>
      </c>
      <c r="D468" s="6"/>
      <c r="E468" s="13"/>
      <c r="F468" s="6" t="n">
        <v>1998</v>
      </c>
      <c r="G468" s="11" t="n">
        <f aca="true">IF(F468="","",YEAR(TODAY())-F468)</f>
        <v>28</v>
      </c>
      <c r="H468" s="11" t="str">
        <f aca="false">IF(C468="","",IF(G468="","Thiếu thông tin",IF(G468&lt;6,"Trẻ em",IF(G468&lt;23,"Học sinh / Sinh viên",IF(G468&lt;60,"Đang đi làm","Nghỉ hưu")))))</f>
        <v>Đang đi làm</v>
      </c>
      <c r="I468" s="6" t="s">
        <v>52</v>
      </c>
      <c r="J468" s="11" t="str">
        <f aca="false">IF(B468="","",IFERROR(INDEX('Hộ gia đình'!$B$2:$B$2000,MATCH(B468,'Hộ gia đình'!$A$2:$A$2000,0)),"Mã hộ không tồn tại"))</f>
        <v>204 E4 Bách Khoa</v>
      </c>
      <c r="K468" s="14"/>
      <c r="L468" s="14"/>
      <c r="M468" s="6"/>
      <c r="N468" s="6" t="s">
        <v>395</v>
      </c>
      <c r="O468" s="6" t="s">
        <v>389</v>
      </c>
      <c r="P468" s="6"/>
      <c r="Q468" s="6" t="s">
        <v>403</v>
      </c>
      <c r="R468" s="12"/>
    </row>
    <row r="469" customFormat="false" ht="15" hidden="false" customHeight="true" outlineLevel="0" collapsed="false">
      <c r="A469" s="6" t="s">
        <v>1678</v>
      </c>
      <c r="B469" s="6" t="s">
        <v>248</v>
      </c>
      <c r="C469" s="6" t="s">
        <v>1679</v>
      </c>
      <c r="D469" s="6"/>
      <c r="E469" s="13" t="n">
        <v>16072</v>
      </c>
      <c r="F469" s="6" t="n">
        <v>1974</v>
      </c>
      <c r="G469" s="11" t="n">
        <f aca="true">IF(F469="","",YEAR(TODAY())-F469)</f>
        <v>52</v>
      </c>
      <c r="H469" s="11" t="str">
        <f aca="false">IF(C469="","",IF(G469="","Thiếu thông tin",IF(G469&lt;6,"Trẻ em",IF(G469&lt;23,"Học sinh / Sinh viên",IF(G469&lt;60,"Đang đi làm","Nghỉ hưu")))))</f>
        <v>Đang đi làm</v>
      </c>
      <c r="I469" s="6" t="s">
        <v>52</v>
      </c>
      <c r="J469" s="11" t="str">
        <f aca="false">IF(B469="","",IFERROR(INDEX('Hộ gia đình'!$B$2:$B$2000,MATCH(B469,'Hộ gia đình'!$A$2:$A$2000,0)),"Mã hộ không tồn tại"))</f>
        <v>205 E4 Bách Khoa</v>
      </c>
      <c r="K469" s="14"/>
      <c r="L469" s="14"/>
      <c r="M469" s="6"/>
      <c r="N469" s="6" t="s">
        <v>395</v>
      </c>
      <c r="O469" s="6" t="s">
        <v>389</v>
      </c>
      <c r="P469" s="6"/>
      <c r="Q469" s="6" t="s">
        <v>396</v>
      </c>
      <c r="R469" s="12" t="s">
        <v>1680</v>
      </c>
    </row>
    <row r="470" customFormat="false" ht="15" hidden="false" customHeight="true" outlineLevel="0" collapsed="false">
      <c r="A470" s="6" t="s">
        <v>1681</v>
      </c>
      <c r="B470" s="6" t="s">
        <v>250</v>
      </c>
      <c r="C470" s="6" t="s">
        <v>1682</v>
      </c>
      <c r="D470" s="6"/>
      <c r="E470" s="13" t="n">
        <v>30235</v>
      </c>
      <c r="F470" s="6" t="n">
        <v>1982</v>
      </c>
      <c r="G470" s="11" t="n">
        <f aca="true">IF(F470="","",YEAR(TODAY())-F470)</f>
        <v>44</v>
      </c>
      <c r="H470" s="11" t="str">
        <f aca="false">IF(C470="","",IF(G470="","Thiếu thông tin",IF(G470&lt;6,"Trẻ em",IF(G470&lt;23,"Học sinh / Sinh viên",IF(G470&lt;60,"Đang đi làm","Nghỉ hưu")))))</f>
        <v>Đang đi làm</v>
      </c>
      <c r="I470" s="6" t="s">
        <v>52</v>
      </c>
      <c r="J470" s="11" t="str">
        <f aca="false">IF(B470="","",IFERROR(INDEX('Hộ gia đình'!$B$2:$B$2000,MATCH(B470,'Hộ gia đình'!$A$2:$A$2000,0)),"Mã hộ không tồn tại"))</f>
        <v>206 E4 Bách Khoa</v>
      </c>
      <c r="K470" s="14"/>
      <c r="L470" s="14"/>
      <c r="M470" s="6"/>
      <c r="N470" s="6" t="s">
        <v>395</v>
      </c>
      <c r="O470" s="6" t="s">
        <v>389</v>
      </c>
      <c r="P470" s="6"/>
      <c r="Q470" s="6" t="s">
        <v>396</v>
      </c>
      <c r="R470" s="12"/>
    </row>
    <row r="471" customFormat="false" ht="15" hidden="false" customHeight="true" outlineLevel="0" collapsed="false">
      <c r="A471" s="6" t="s">
        <v>1683</v>
      </c>
      <c r="B471" s="6" t="s">
        <v>250</v>
      </c>
      <c r="C471" s="6" t="s">
        <v>1684</v>
      </c>
      <c r="D471" s="6"/>
      <c r="E471" s="13" t="n">
        <v>31115</v>
      </c>
      <c r="F471" s="6" t="n">
        <v>1985</v>
      </c>
      <c r="G471" s="11" t="n">
        <f aca="true">IF(F471="","",YEAR(TODAY())-F471)</f>
        <v>41</v>
      </c>
      <c r="H471" s="11" t="str">
        <f aca="false">IF(C471="","",IF(G471="","Thiếu thông tin",IF(G471&lt;6,"Trẻ em",IF(G471&lt;23,"Học sinh / Sinh viên",IF(G471&lt;60,"Đang đi làm","Nghỉ hưu")))))</f>
        <v>Đang đi làm</v>
      </c>
      <c r="I471" s="6"/>
      <c r="J471" s="11" t="str">
        <f aca="false">IF(B471="","",IFERROR(INDEX('Hộ gia đình'!$B$2:$B$2000,MATCH(B471,'Hộ gia đình'!$A$2:$A$2000,0)),"Mã hộ không tồn tại"))</f>
        <v>206 E4 Bách Khoa</v>
      </c>
      <c r="K471" s="14"/>
      <c r="L471" s="14"/>
      <c r="M471" s="6"/>
      <c r="N471" s="6" t="s">
        <v>395</v>
      </c>
      <c r="O471" s="6" t="s">
        <v>389</v>
      </c>
      <c r="P471" s="6"/>
      <c r="Q471" s="6" t="s">
        <v>396</v>
      </c>
      <c r="R471" s="12"/>
    </row>
    <row r="472" customFormat="false" ht="15" hidden="false" customHeight="true" outlineLevel="0" collapsed="false">
      <c r="A472" s="6" t="s">
        <v>1685</v>
      </c>
      <c r="B472" s="6" t="s">
        <v>250</v>
      </c>
      <c r="C472" s="6" t="s">
        <v>1686</v>
      </c>
      <c r="D472" s="6" t="s">
        <v>385</v>
      </c>
      <c r="E472" s="13" t="n">
        <v>43994</v>
      </c>
      <c r="F472" s="6" t="n">
        <v>2020</v>
      </c>
      <c r="G472" s="11" t="n">
        <f aca="true">IF(F472="","",YEAR(TODAY())-F472)</f>
        <v>6</v>
      </c>
      <c r="H472" s="11" t="str">
        <f aca="false">IF(C472="","",IF(G472="","Thiếu thông tin",IF(G472&lt;6,"Trẻ em",IF(G472&lt;23,"Học sinh / Sinh viên",IF(G472&lt;60,"Đang đi làm","Nghỉ hưu")))))</f>
        <v>Học sinh / Sinh viên</v>
      </c>
      <c r="I472" s="6"/>
      <c r="J472" s="11" t="str">
        <f aca="false">IF(B472="","",IFERROR(INDEX('Hộ gia đình'!$B$2:$B$2000,MATCH(B472,'Hộ gia đình'!$A$2:$A$2000,0)),"Mã hộ không tồn tại"))</f>
        <v>206 E4 Bách Khoa</v>
      </c>
      <c r="K472" s="14"/>
      <c r="L472" s="14"/>
      <c r="M472" s="6"/>
      <c r="N472" s="6" t="s">
        <v>395</v>
      </c>
      <c r="O472" s="6" t="s">
        <v>389</v>
      </c>
      <c r="P472" s="6"/>
      <c r="Q472" s="6" t="s">
        <v>396</v>
      </c>
      <c r="R472" s="12"/>
    </row>
    <row r="473" customFormat="false" ht="15" hidden="false" customHeight="true" outlineLevel="0" collapsed="false">
      <c r="A473" s="6" t="s">
        <v>1687</v>
      </c>
      <c r="B473" s="6" t="s">
        <v>250</v>
      </c>
      <c r="C473" s="6" t="s">
        <v>1688</v>
      </c>
      <c r="D473" s="6" t="s">
        <v>408</v>
      </c>
      <c r="E473" s="13" t="n">
        <v>41464</v>
      </c>
      <c r="F473" s="6" t="n">
        <v>2013</v>
      </c>
      <c r="G473" s="11" t="n">
        <f aca="true">IF(F473="","",YEAR(TODAY())-F473)</f>
        <v>13</v>
      </c>
      <c r="H473" s="11" t="str">
        <f aca="false">IF(C473="","",IF(G473="","Thiếu thông tin",IF(G473&lt;6,"Trẻ em",IF(G473&lt;23,"Học sinh / Sinh viên",IF(G473&lt;60,"Đang đi làm","Nghỉ hưu")))))</f>
        <v>Học sinh / Sinh viên</v>
      </c>
      <c r="I473" s="6"/>
      <c r="J473" s="11" t="str">
        <f aca="false">IF(B473="","",IFERROR(INDEX('Hộ gia đình'!$B$2:$B$2000,MATCH(B473,'Hộ gia đình'!$A$2:$A$2000,0)),"Mã hộ không tồn tại"))</f>
        <v>206 E4 Bách Khoa</v>
      </c>
      <c r="K473" s="14"/>
      <c r="L473" s="14"/>
      <c r="M473" s="6"/>
      <c r="N473" s="6" t="s">
        <v>395</v>
      </c>
      <c r="O473" s="6" t="s">
        <v>389</v>
      </c>
      <c r="P473" s="6"/>
      <c r="Q473" s="6" t="s">
        <v>403</v>
      </c>
      <c r="R473" s="12" t="s">
        <v>1689</v>
      </c>
    </row>
    <row r="474" customFormat="false" ht="15" hidden="false" customHeight="true" outlineLevel="0" collapsed="false">
      <c r="A474" s="6" t="s">
        <v>1690</v>
      </c>
      <c r="B474" s="6" t="s">
        <v>250</v>
      </c>
      <c r="C474" s="6" t="s">
        <v>1691</v>
      </c>
      <c r="D474" s="6"/>
      <c r="E474" s="13" t="n">
        <v>29124</v>
      </c>
      <c r="F474" s="6" t="n">
        <v>1979</v>
      </c>
      <c r="G474" s="11" t="n">
        <f aca="true">IF(F474="","",YEAR(TODAY())-F474)</f>
        <v>47</v>
      </c>
      <c r="H474" s="11" t="str">
        <f aca="false">IF(C474="","",IF(G474="","Thiếu thông tin",IF(G474&lt;6,"Trẻ em",IF(G474&lt;23,"Học sinh / Sinh viên",IF(G474&lt;60,"Đang đi làm","Nghỉ hưu")))))</f>
        <v>Đang đi làm</v>
      </c>
      <c r="I474" s="6"/>
      <c r="J474" s="11" t="str">
        <f aca="false">IF(B474="","",IFERROR(INDEX('Hộ gia đình'!$B$2:$B$2000,MATCH(B474,'Hộ gia đình'!$A$2:$A$2000,0)),"Mã hộ không tồn tại"))</f>
        <v>206 E4 Bách Khoa</v>
      </c>
      <c r="K474" s="14"/>
      <c r="L474" s="14"/>
      <c r="M474" s="6"/>
      <c r="N474" s="6" t="s">
        <v>395</v>
      </c>
      <c r="O474" s="6" t="s">
        <v>389</v>
      </c>
      <c r="P474" s="6"/>
      <c r="Q474" s="6" t="s">
        <v>396</v>
      </c>
      <c r="R474" s="12"/>
    </row>
    <row r="475" customFormat="false" ht="15" hidden="false" customHeight="true" outlineLevel="0" collapsed="false">
      <c r="A475" s="6" t="s">
        <v>1692</v>
      </c>
      <c r="B475" s="6" t="s">
        <v>250</v>
      </c>
      <c r="C475" s="6" t="s">
        <v>1693</v>
      </c>
      <c r="D475" s="6"/>
      <c r="E475" s="13" t="n">
        <v>27752</v>
      </c>
      <c r="F475" s="6" t="n">
        <v>1975</v>
      </c>
      <c r="G475" s="11" t="n">
        <f aca="true">IF(F475="","",YEAR(TODAY())-F475)</f>
        <v>51</v>
      </c>
      <c r="H475" s="11" t="str">
        <f aca="false">IF(C475="","",IF(G475="","Thiếu thông tin",IF(G475&lt;6,"Trẻ em",IF(G475&lt;23,"Học sinh / Sinh viên",IF(G475&lt;60,"Đang đi làm","Nghỉ hưu")))))</f>
        <v>Đang đi làm</v>
      </c>
      <c r="I475" s="6"/>
      <c r="J475" s="11" t="str">
        <f aca="false">IF(B475="","",IFERROR(INDEX('Hộ gia đình'!$B$2:$B$2000,MATCH(B475,'Hộ gia đình'!$A$2:$A$2000,0)),"Mã hộ không tồn tại"))</f>
        <v>206 E4 Bách Khoa</v>
      </c>
      <c r="K475" s="14"/>
      <c r="L475" s="14"/>
      <c r="M475" s="6"/>
      <c r="N475" s="6" t="s">
        <v>395</v>
      </c>
      <c r="O475" s="6" t="s">
        <v>1694</v>
      </c>
      <c r="P475" s="6" t="s">
        <v>1694</v>
      </c>
      <c r="Q475" s="6" t="s">
        <v>396</v>
      </c>
      <c r="R475" s="12"/>
    </row>
    <row r="476" customFormat="false" ht="15" hidden="false" customHeight="true" outlineLevel="0" collapsed="false">
      <c r="A476" s="6" t="s">
        <v>1695</v>
      </c>
      <c r="B476" s="6" t="s">
        <v>250</v>
      </c>
      <c r="C476" s="6" t="s">
        <v>1696</v>
      </c>
      <c r="D476" s="6" t="s">
        <v>385</v>
      </c>
      <c r="E476" s="13" t="n">
        <v>39578</v>
      </c>
      <c r="F476" s="6" t="n">
        <v>2008</v>
      </c>
      <c r="G476" s="11" t="n">
        <f aca="true">IF(F476="","",YEAR(TODAY())-F476)</f>
        <v>18</v>
      </c>
      <c r="H476" s="11" t="str">
        <f aca="false">IF(C476="","",IF(G476="","Thiếu thông tin",IF(G476&lt;6,"Trẻ em",IF(G476&lt;23,"Học sinh / Sinh viên",IF(G476&lt;60,"Đang đi làm","Nghỉ hưu")))))</f>
        <v>Học sinh / Sinh viên</v>
      </c>
      <c r="I476" s="6"/>
      <c r="J476" s="11" t="str">
        <f aca="false">IF(B476="","",IFERROR(INDEX('Hộ gia đình'!$B$2:$B$2000,MATCH(B476,'Hộ gia đình'!$A$2:$A$2000,0)),"Mã hộ không tồn tại"))</f>
        <v>206 E4 Bách Khoa</v>
      </c>
      <c r="K476" s="14"/>
      <c r="L476" s="14"/>
      <c r="M476" s="6"/>
      <c r="N476" s="6" t="s">
        <v>395</v>
      </c>
      <c r="O476" s="6" t="s">
        <v>389</v>
      </c>
      <c r="P476" s="6"/>
      <c r="Q476" s="6" t="s">
        <v>396</v>
      </c>
      <c r="R476" s="12"/>
    </row>
    <row r="477" customFormat="false" ht="15" hidden="false" customHeight="true" outlineLevel="0" collapsed="false">
      <c r="A477" s="6" t="s">
        <v>1697</v>
      </c>
      <c r="B477" s="6" t="s">
        <v>250</v>
      </c>
      <c r="C477" s="6" t="s">
        <v>1698</v>
      </c>
      <c r="D477" s="6"/>
      <c r="E477" s="13" t="n">
        <v>40941</v>
      </c>
      <c r="F477" s="6" t="n">
        <v>2012</v>
      </c>
      <c r="G477" s="11" t="n">
        <f aca="true">IF(F477="","",YEAR(TODAY())-F477)</f>
        <v>14</v>
      </c>
      <c r="H477" s="11" t="str">
        <f aca="false">IF(C477="","",IF(G477="","Thiếu thông tin",IF(G477&lt;6,"Trẻ em",IF(G477&lt;23,"Học sinh / Sinh viên",IF(G477&lt;60,"Đang đi làm","Nghỉ hưu")))))</f>
        <v>Học sinh / Sinh viên</v>
      </c>
      <c r="I477" s="6"/>
      <c r="J477" s="11" t="str">
        <f aca="false">IF(B477="","",IFERROR(INDEX('Hộ gia đình'!$B$2:$B$2000,MATCH(B477,'Hộ gia đình'!$A$2:$A$2000,0)),"Mã hộ không tồn tại"))</f>
        <v>206 E4 Bách Khoa</v>
      </c>
      <c r="K477" s="14"/>
      <c r="L477" s="14"/>
      <c r="M477" s="6"/>
      <c r="N477" s="6" t="s">
        <v>395</v>
      </c>
      <c r="O477" s="6" t="s">
        <v>389</v>
      </c>
      <c r="P477" s="6"/>
      <c r="Q477" s="6" t="s">
        <v>396</v>
      </c>
      <c r="R477" s="12"/>
    </row>
    <row r="478" customFormat="false" ht="15" hidden="false" customHeight="true" outlineLevel="0" collapsed="false">
      <c r="A478" s="6" t="s">
        <v>1699</v>
      </c>
      <c r="B478" s="6" t="s">
        <v>250</v>
      </c>
      <c r="C478" s="6" t="s">
        <v>1700</v>
      </c>
      <c r="D478" s="6" t="s">
        <v>385</v>
      </c>
      <c r="E478" s="13" t="n">
        <v>39578</v>
      </c>
      <c r="F478" s="6" t="n">
        <v>2008</v>
      </c>
      <c r="G478" s="11" t="n">
        <f aca="true">IF(F478="","",YEAR(TODAY())-F478)</f>
        <v>18</v>
      </c>
      <c r="H478" s="11" t="str">
        <f aca="false">IF(C478="","",IF(G478="","Thiếu thông tin",IF(G478&lt;6,"Trẻ em",IF(G478&lt;23,"Học sinh / Sinh viên",IF(G478&lt;60,"Đang đi làm","Nghỉ hưu")))))</f>
        <v>Học sinh / Sinh viên</v>
      </c>
      <c r="I478" s="6"/>
      <c r="J478" s="11" t="str">
        <f aca="false">IF(B478="","",IFERROR(INDEX('Hộ gia đình'!$B$2:$B$2000,MATCH(B478,'Hộ gia đình'!$A$2:$A$2000,0)),"Mã hộ không tồn tại"))</f>
        <v>206 E4 Bách Khoa</v>
      </c>
      <c r="K478" s="14" t="s">
        <v>1701</v>
      </c>
      <c r="L478" s="14"/>
      <c r="M478" s="6"/>
      <c r="N478" s="6" t="s">
        <v>395</v>
      </c>
      <c r="O478" s="6" t="s">
        <v>389</v>
      </c>
      <c r="P478" s="6"/>
      <c r="Q478" s="6" t="s">
        <v>1702</v>
      </c>
      <c r="R478" s="12" t="s">
        <v>1703</v>
      </c>
    </row>
    <row r="479" customFormat="false" ht="15" hidden="false" customHeight="true" outlineLevel="0" collapsed="false">
      <c r="A479" s="6" t="s">
        <v>1704</v>
      </c>
      <c r="B479" s="6" t="s">
        <v>252</v>
      </c>
      <c r="C479" s="6" t="s">
        <v>1705</v>
      </c>
      <c r="D479" s="6" t="s">
        <v>408</v>
      </c>
      <c r="E479" s="13" t="n">
        <v>25356</v>
      </c>
      <c r="F479" s="6" t="n">
        <v>1969</v>
      </c>
      <c r="G479" s="11" t="n">
        <f aca="true">IF(F479="","",YEAR(TODAY())-F479)</f>
        <v>57</v>
      </c>
      <c r="H479" s="11" t="str">
        <f aca="false">IF(C479="","",IF(G479="","Thiếu thông tin",IF(G479&lt;6,"Trẻ em",IF(G479&lt;23,"Học sinh / Sinh viên",IF(G479&lt;60,"Đang đi làm","Nghỉ hưu")))))</f>
        <v>Đang đi làm</v>
      </c>
      <c r="I479" s="6" t="s">
        <v>52</v>
      </c>
      <c r="J479" s="11" t="str">
        <f aca="false">IF(B479="","",IFERROR(INDEX('Hộ gia đình'!$B$2:$B$2000,MATCH(B479,'Hộ gia đình'!$A$2:$A$2000,0)),"Mã hộ không tồn tại"))</f>
        <v>207 E4 Bách Khoa</v>
      </c>
      <c r="K479" s="14" t="s">
        <v>1706</v>
      </c>
      <c r="L479" s="14"/>
      <c r="M479" s="6" t="s">
        <v>451</v>
      </c>
      <c r="N479" s="6" t="s">
        <v>388</v>
      </c>
      <c r="O479" s="6" t="s">
        <v>389</v>
      </c>
      <c r="P479" s="6"/>
      <c r="Q479" s="6" t="s">
        <v>391</v>
      </c>
      <c r="R479" s="12" t="s">
        <v>1707</v>
      </c>
    </row>
    <row r="480" customFormat="false" ht="15" hidden="false" customHeight="true" outlineLevel="0" collapsed="false">
      <c r="A480" s="6" t="s">
        <v>1708</v>
      </c>
      <c r="B480" s="6" t="s">
        <v>252</v>
      </c>
      <c r="C480" s="6" t="s">
        <v>1709</v>
      </c>
      <c r="D480" s="6" t="s">
        <v>385</v>
      </c>
      <c r="E480" s="13" t="n">
        <v>24787</v>
      </c>
      <c r="F480" s="6" t="n">
        <v>1967</v>
      </c>
      <c r="G480" s="11" t="n">
        <f aca="true">IF(F480="","",YEAR(TODAY())-F480)</f>
        <v>59</v>
      </c>
      <c r="H480" s="11" t="str">
        <f aca="false">IF(C480="","",IF(G480="","Thiếu thông tin",IF(G480&lt;6,"Trẻ em",IF(G480&lt;23,"Học sinh / Sinh viên",IF(G480&lt;60,"Đang đi làm","Nghỉ hưu")))))</f>
        <v>Đang đi làm</v>
      </c>
      <c r="I480" s="6"/>
      <c r="J480" s="11" t="str">
        <f aca="false">IF(B480="","",IFERROR(INDEX('Hộ gia đình'!$B$2:$B$2000,MATCH(B480,'Hộ gia đình'!$A$2:$A$2000,0)),"Mã hộ không tồn tại"))</f>
        <v>207 E4 Bách Khoa</v>
      </c>
      <c r="K480" s="14" t="s">
        <v>1710</v>
      </c>
      <c r="L480" s="14"/>
      <c r="M480" s="6" t="s">
        <v>451</v>
      </c>
      <c r="N480" s="6" t="s">
        <v>388</v>
      </c>
      <c r="O480" s="6" t="s">
        <v>389</v>
      </c>
      <c r="P480" s="6"/>
      <c r="Q480" s="6" t="s">
        <v>391</v>
      </c>
      <c r="R480" s="12"/>
    </row>
    <row r="481" customFormat="false" ht="15" hidden="false" customHeight="true" outlineLevel="0" collapsed="false">
      <c r="A481" s="6" t="s">
        <v>1711</v>
      </c>
      <c r="B481" s="6" t="s">
        <v>252</v>
      </c>
      <c r="C481" s="6" t="s">
        <v>1712</v>
      </c>
      <c r="D481" s="6"/>
      <c r="E481" s="13"/>
      <c r="F481" s="6" t="n">
        <v>1993</v>
      </c>
      <c r="G481" s="11" t="n">
        <f aca="true">IF(F481="","",YEAR(TODAY())-F481)</f>
        <v>33</v>
      </c>
      <c r="H481" s="11" t="str">
        <f aca="false">IF(C481="","",IF(G481="","Thiếu thông tin",IF(G481&lt;6,"Trẻ em",IF(G481&lt;23,"Học sinh / Sinh viên",IF(G481&lt;60,"Đang đi làm","Nghỉ hưu")))))</f>
        <v>Đang đi làm</v>
      </c>
      <c r="I481" s="6"/>
      <c r="J481" s="11" t="str">
        <f aca="false">IF(B481="","",IFERROR(INDEX('Hộ gia đình'!$B$2:$B$2000,MATCH(B481,'Hộ gia đình'!$A$2:$A$2000,0)),"Mã hộ không tồn tại"))</f>
        <v>207 E4 Bách Khoa</v>
      </c>
      <c r="K481" s="14"/>
      <c r="L481" s="14"/>
      <c r="M481" s="6"/>
      <c r="N481" s="6" t="s">
        <v>395</v>
      </c>
      <c r="O481" s="6" t="s">
        <v>389</v>
      </c>
      <c r="P481" s="6"/>
      <c r="Q481" s="6" t="s">
        <v>396</v>
      </c>
      <c r="R481" s="12"/>
    </row>
    <row r="482" customFormat="false" ht="15" hidden="false" customHeight="true" outlineLevel="0" collapsed="false">
      <c r="A482" s="6" t="s">
        <v>1713</v>
      </c>
      <c r="B482" s="6" t="s">
        <v>252</v>
      </c>
      <c r="C482" s="6" t="s">
        <v>1714</v>
      </c>
      <c r="D482" s="6"/>
      <c r="E482" s="13"/>
      <c r="F482" s="6" t="n">
        <v>2003</v>
      </c>
      <c r="G482" s="11" t="n">
        <f aca="true">IF(F482="","",YEAR(TODAY())-F482)</f>
        <v>23</v>
      </c>
      <c r="H482" s="11" t="str">
        <f aca="false">IF(C482="","",IF(G482="","Thiếu thông tin",IF(G482&lt;6,"Trẻ em",IF(G482&lt;23,"Học sinh / Sinh viên",IF(G482&lt;60,"Đang đi làm","Nghỉ hưu")))))</f>
        <v>Đang đi làm</v>
      </c>
      <c r="I482" s="6"/>
      <c r="J482" s="11" t="str">
        <f aca="false">IF(B482="","",IFERROR(INDEX('Hộ gia đình'!$B$2:$B$2000,MATCH(B482,'Hộ gia đình'!$A$2:$A$2000,0)),"Mã hộ không tồn tại"))</f>
        <v>207 E4 Bách Khoa</v>
      </c>
      <c r="K482" s="14"/>
      <c r="L482" s="14"/>
      <c r="M482" s="6"/>
      <c r="N482" s="6" t="s">
        <v>395</v>
      </c>
      <c r="O482" s="6" t="s">
        <v>389</v>
      </c>
      <c r="P482" s="6"/>
      <c r="Q482" s="6" t="s">
        <v>403</v>
      </c>
      <c r="R482" s="12"/>
    </row>
    <row r="483" customFormat="false" ht="15" hidden="false" customHeight="true" outlineLevel="0" collapsed="false">
      <c r="A483" s="6" t="s">
        <v>1715</v>
      </c>
      <c r="B483" s="6" t="s">
        <v>254</v>
      </c>
      <c r="C483" s="6" t="s">
        <v>1716</v>
      </c>
      <c r="D483" s="6"/>
      <c r="E483" s="13"/>
      <c r="F483" s="6" t="n">
        <v>1965</v>
      </c>
      <c r="G483" s="11" t="n">
        <f aca="true">IF(F483="","",YEAR(TODAY())-F483)</f>
        <v>61</v>
      </c>
      <c r="H483" s="11" t="str">
        <f aca="false">IF(C483="","",IF(G483="","Thiếu thông tin",IF(G483&lt;6,"Trẻ em",IF(G483&lt;23,"Học sinh / Sinh viên",IF(G483&lt;60,"Đang đi làm","Nghỉ hưu")))))</f>
        <v>Nghỉ hưu</v>
      </c>
      <c r="I483" s="6" t="s">
        <v>52</v>
      </c>
      <c r="J483" s="11" t="str">
        <f aca="false">IF(B483="","",IFERROR(INDEX('Hộ gia đình'!$B$2:$B$2000,MATCH(B483,'Hộ gia đình'!$A$2:$A$2000,0)),"Mã hộ không tồn tại"))</f>
        <v>209 E4 Bách Khoa</v>
      </c>
      <c r="K483" s="14"/>
      <c r="L483" s="14"/>
      <c r="M483" s="6"/>
      <c r="N483" s="6" t="s">
        <v>395</v>
      </c>
      <c r="O483" s="6" t="s">
        <v>389</v>
      </c>
      <c r="P483" s="6"/>
      <c r="Q483" s="6" t="s">
        <v>396</v>
      </c>
      <c r="R483" s="12"/>
    </row>
    <row r="484" customFormat="false" ht="15" hidden="false" customHeight="true" outlineLevel="0" collapsed="false">
      <c r="A484" s="6" t="s">
        <v>1717</v>
      </c>
      <c r="B484" s="6" t="s">
        <v>254</v>
      </c>
      <c r="C484" s="6" t="s">
        <v>1718</v>
      </c>
      <c r="D484" s="6"/>
      <c r="E484" s="13"/>
      <c r="F484" s="6" t="n">
        <v>1992</v>
      </c>
      <c r="G484" s="11" t="n">
        <f aca="true">IF(F484="","",YEAR(TODAY())-F484)</f>
        <v>34</v>
      </c>
      <c r="H484" s="11" t="str">
        <f aca="false">IF(C484="","",IF(G484="","Thiếu thông tin",IF(G484&lt;6,"Trẻ em",IF(G484&lt;23,"Học sinh / Sinh viên",IF(G484&lt;60,"Đang đi làm","Nghỉ hưu")))))</f>
        <v>Đang đi làm</v>
      </c>
      <c r="I484" s="6"/>
      <c r="J484" s="11" t="str">
        <f aca="false">IF(B484="","",IFERROR(INDEX('Hộ gia đình'!$B$2:$B$2000,MATCH(B484,'Hộ gia đình'!$A$2:$A$2000,0)),"Mã hộ không tồn tại"))</f>
        <v>209 E4 Bách Khoa</v>
      </c>
      <c r="K484" s="14"/>
      <c r="L484" s="14"/>
      <c r="M484" s="6"/>
      <c r="N484" s="6" t="s">
        <v>395</v>
      </c>
      <c r="O484" s="6" t="s">
        <v>389</v>
      </c>
      <c r="P484" s="6"/>
      <c r="Q484" s="6" t="s">
        <v>396</v>
      </c>
      <c r="R484" s="12"/>
    </row>
    <row r="485" customFormat="false" ht="15" hidden="false" customHeight="true" outlineLevel="0" collapsed="false">
      <c r="A485" s="6" t="s">
        <v>1719</v>
      </c>
      <c r="B485" s="6" t="s">
        <v>254</v>
      </c>
      <c r="C485" s="6" t="s">
        <v>1720</v>
      </c>
      <c r="D485" s="6"/>
      <c r="E485" s="13"/>
      <c r="F485" s="6" t="n">
        <v>1999</v>
      </c>
      <c r="G485" s="11" t="n">
        <f aca="true">IF(F485="","",YEAR(TODAY())-F485)</f>
        <v>27</v>
      </c>
      <c r="H485" s="11" t="str">
        <f aca="false">IF(C485="","",IF(G485="","Thiếu thông tin",IF(G485&lt;6,"Trẻ em",IF(G485&lt;23,"Học sinh / Sinh viên",IF(G485&lt;60,"Đang đi làm","Nghỉ hưu")))))</f>
        <v>Đang đi làm</v>
      </c>
      <c r="I485" s="6"/>
      <c r="J485" s="11" t="str">
        <f aca="false">IF(B485="","",IFERROR(INDEX('Hộ gia đình'!$B$2:$B$2000,MATCH(B485,'Hộ gia đình'!$A$2:$A$2000,0)),"Mã hộ không tồn tại"))</f>
        <v>209 E4 Bách Khoa</v>
      </c>
      <c r="K485" s="14"/>
      <c r="L485" s="14"/>
      <c r="M485" s="6"/>
      <c r="N485" s="6" t="s">
        <v>395</v>
      </c>
      <c r="O485" s="6" t="s">
        <v>389</v>
      </c>
      <c r="P485" s="6"/>
      <c r="Q485" s="6" t="s">
        <v>403</v>
      </c>
      <c r="R485" s="12"/>
    </row>
    <row r="486" customFormat="false" ht="15" hidden="false" customHeight="true" outlineLevel="0" collapsed="false">
      <c r="A486" s="6" t="s">
        <v>1721</v>
      </c>
      <c r="B486" s="6" t="s">
        <v>256</v>
      </c>
      <c r="C486" s="6" t="s">
        <v>1722</v>
      </c>
      <c r="D486" s="6"/>
      <c r="E486" s="13"/>
      <c r="F486" s="6" t="n">
        <v>1980</v>
      </c>
      <c r="G486" s="11" t="n">
        <f aca="true">IF(F486="","",YEAR(TODAY())-F486)</f>
        <v>46</v>
      </c>
      <c r="H486" s="11" t="str">
        <f aca="false">IF(C486="","",IF(G486="","Thiếu thông tin",IF(G486&lt;6,"Trẻ em",IF(G486&lt;23,"Học sinh / Sinh viên",IF(G486&lt;60,"Đang đi làm","Nghỉ hưu")))))</f>
        <v>Đang đi làm</v>
      </c>
      <c r="I486" s="6" t="s">
        <v>52</v>
      </c>
      <c r="J486" s="11" t="str">
        <f aca="false">IF(B486="","",IFERROR(INDEX('Hộ gia đình'!$B$2:$B$2000,MATCH(B486,'Hộ gia đình'!$A$2:$A$2000,0)),"Mã hộ không tồn tại"))</f>
        <v>210 E4 Bách Khoa</v>
      </c>
      <c r="K486" s="14"/>
      <c r="L486" s="14"/>
      <c r="M486" s="6"/>
      <c r="N486" s="6" t="s">
        <v>395</v>
      </c>
      <c r="O486" s="6" t="s">
        <v>389</v>
      </c>
      <c r="P486" s="6"/>
      <c r="Q486" s="6" t="s">
        <v>396</v>
      </c>
      <c r="R486" s="12"/>
    </row>
    <row r="487" customFormat="false" ht="15" hidden="false" customHeight="true" outlineLevel="0" collapsed="false">
      <c r="A487" s="6" t="s">
        <v>1723</v>
      </c>
      <c r="B487" s="6" t="s">
        <v>258</v>
      </c>
      <c r="C487" s="6" t="s">
        <v>1724</v>
      </c>
      <c r="D487" s="6" t="s">
        <v>385</v>
      </c>
      <c r="E487" s="13" t="n">
        <v>21046</v>
      </c>
      <c r="F487" s="6" t="n">
        <v>1957</v>
      </c>
      <c r="G487" s="11" t="n">
        <f aca="true">IF(F487="","",YEAR(TODAY())-F487)</f>
        <v>69</v>
      </c>
      <c r="H487" s="11" t="str">
        <f aca="false">IF(C487="","",IF(G487="","Thiếu thông tin",IF(G487&lt;6,"Trẻ em",IF(G487&lt;23,"Học sinh / Sinh viên",IF(G487&lt;60,"Đang đi làm","Nghỉ hưu")))))</f>
        <v>Nghỉ hưu</v>
      </c>
      <c r="I487" s="6" t="s">
        <v>52</v>
      </c>
      <c r="J487" s="11" t="str">
        <f aca="false">IF(B487="","",IFERROR(INDEX('Hộ gia đình'!$B$2:$B$2000,MATCH(B487,'Hộ gia đình'!$A$2:$A$2000,0)),"Mã hộ không tồn tại"))</f>
        <v>212 E4 Bách Khoa</v>
      </c>
      <c r="K487" s="14" t="s">
        <v>1725</v>
      </c>
      <c r="L487" s="14"/>
      <c r="M487" s="6" t="s">
        <v>451</v>
      </c>
      <c r="N487" s="6" t="s">
        <v>388</v>
      </c>
      <c r="O487" s="6" t="s">
        <v>389</v>
      </c>
      <c r="P487" s="6"/>
      <c r="Q487" s="6" t="s">
        <v>391</v>
      </c>
      <c r="R487" s="12"/>
    </row>
    <row r="488" customFormat="false" ht="15" hidden="false" customHeight="true" outlineLevel="0" collapsed="false">
      <c r="A488" s="6" t="s">
        <v>1726</v>
      </c>
      <c r="B488" s="6" t="s">
        <v>258</v>
      </c>
      <c r="C488" s="6" t="s">
        <v>1727</v>
      </c>
      <c r="D488" s="6" t="s">
        <v>385</v>
      </c>
      <c r="E488" s="13" t="n">
        <v>28822</v>
      </c>
      <c r="F488" s="6" t="n">
        <v>1978</v>
      </c>
      <c r="G488" s="11" t="n">
        <f aca="true">IF(F488="","",YEAR(TODAY())-F488)</f>
        <v>48</v>
      </c>
      <c r="H488" s="11" t="str">
        <f aca="false">IF(C488="","",IF(G488="","Thiếu thông tin",IF(G488&lt;6,"Trẻ em",IF(G488&lt;23,"Học sinh / Sinh viên",IF(G488&lt;60,"Đang đi làm","Nghỉ hưu")))))</f>
        <v>Đang đi làm</v>
      </c>
      <c r="I488" s="6"/>
      <c r="J488" s="11" t="str">
        <f aca="false">IF(B488="","",IFERROR(INDEX('Hộ gia đình'!$B$2:$B$2000,MATCH(B488,'Hộ gia đình'!$A$2:$A$2000,0)),"Mã hộ không tồn tại"))</f>
        <v>212 E4 Bách Khoa</v>
      </c>
      <c r="K488" s="14" t="s">
        <v>1728</v>
      </c>
      <c r="L488" s="14"/>
      <c r="M488" s="6" t="s">
        <v>1729</v>
      </c>
      <c r="N488" s="6" t="s">
        <v>388</v>
      </c>
      <c r="O488" s="6" t="s">
        <v>389</v>
      </c>
      <c r="P488" s="6"/>
      <c r="Q488" s="6" t="s">
        <v>410</v>
      </c>
      <c r="R488" s="12"/>
    </row>
    <row r="489" customFormat="false" ht="15" hidden="false" customHeight="true" outlineLevel="0" collapsed="false">
      <c r="A489" s="6" t="s">
        <v>1730</v>
      </c>
      <c r="B489" s="6" t="s">
        <v>258</v>
      </c>
      <c r="C489" s="6" t="s">
        <v>1731</v>
      </c>
      <c r="D489" s="6" t="s">
        <v>408</v>
      </c>
      <c r="E489" s="13" t="n">
        <v>27030</v>
      </c>
      <c r="F489" s="6" t="n">
        <v>1974</v>
      </c>
      <c r="G489" s="11" t="n">
        <f aca="true">IF(F489="","",YEAR(TODAY())-F489)</f>
        <v>52</v>
      </c>
      <c r="H489" s="11" t="str">
        <f aca="false">IF(C489="","",IF(G489="","Thiếu thông tin",IF(G489&lt;6,"Trẻ em",IF(G489&lt;23,"Học sinh / Sinh viên",IF(G489&lt;60,"Đang đi làm","Nghỉ hưu")))))</f>
        <v>Đang đi làm</v>
      </c>
      <c r="I489" s="6"/>
      <c r="J489" s="11" t="str">
        <f aca="false">IF(B489="","",IFERROR(INDEX('Hộ gia đình'!$B$2:$B$2000,MATCH(B489,'Hộ gia đình'!$A$2:$A$2000,0)),"Mã hộ không tồn tại"))</f>
        <v>212 E4 Bách Khoa</v>
      </c>
      <c r="K489" s="14" t="s">
        <v>1732</v>
      </c>
      <c r="L489" s="14"/>
      <c r="M489" s="6" t="s">
        <v>1729</v>
      </c>
      <c r="N489" s="6" t="s">
        <v>388</v>
      </c>
      <c r="O489" s="6" t="s">
        <v>389</v>
      </c>
      <c r="P489" s="6"/>
      <c r="Q489" s="6" t="s">
        <v>410</v>
      </c>
      <c r="R489" s="12"/>
    </row>
    <row r="490" customFormat="false" ht="15" hidden="false" customHeight="true" outlineLevel="0" collapsed="false">
      <c r="A490" s="6" t="s">
        <v>1733</v>
      </c>
      <c r="B490" s="6" t="s">
        <v>258</v>
      </c>
      <c r="C490" s="6" t="s">
        <v>1734</v>
      </c>
      <c r="D490" s="6" t="s">
        <v>385</v>
      </c>
      <c r="E490" s="13" t="n">
        <v>38881</v>
      </c>
      <c r="F490" s="6" t="n">
        <v>2006</v>
      </c>
      <c r="G490" s="11" t="n">
        <f aca="true">IF(F490="","",YEAR(TODAY())-F490)</f>
        <v>20</v>
      </c>
      <c r="H490" s="11" t="str">
        <f aca="false">IF(C490="","",IF(G490="","Thiếu thông tin",IF(G490&lt;6,"Trẻ em",IF(G490&lt;23,"Học sinh / Sinh viên",IF(G490&lt;60,"Đang đi làm","Nghỉ hưu")))))</f>
        <v>Học sinh / Sinh viên</v>
      </c>
      <c r="I490" s="6"/>
      <c r="J490" s="11" t="str">
        <f aca="false">IF(B490="","",IFERROR(INDEX('Hộ gia đình'!$B$2:$B$2000,MATCH(B490,'Hộ gia đình'!$A$2:$A$2000,0)),"Mã hộ không tồn tại"))</f>
        <v>212 E4 Bách Khoa</v>
      </c>
      <c r="K490" s="14" t="s">
        <v>1735</v>
      </c>
      <c r="L490" s="14"/>
      <c r="M490" s="6" t="s">
        <v>422</v>
      </c>
      <c r="N490" s="6" t="s">
        <v>388</v>
      </c>
      <c r="O490" s="6" t="s">
        <v>389</v>
      </c>
      <c r="P490" s="6"/>
      <c r="Q490" s="6" t="s">
        <v>410</v>
      </c>
      <c r="R490" s="12"/>
    </row>
    <row r="491" customFormat="false" ht="15" hidden="false" customHeight="true" outlineLevel="0" collapsed="false">
      <c r="A491" s="6" t="s">
        <v>1736</v>
      </c>
      <c r="B491" s="6" t="s">
        <v>260</v>
      </c>
      <c r="C491" s="6" t="s">
        <v>1737</v>
      </c>
      <c r="D491" s="6"/>
      <c r="E491" s="13"/>
      <c r="F491" s="6" t="n">
        <v>1995</v>
      </c>
      <c r="G491" s="11" t="n">
        <f aca="true">IF(F491="","",YEAR(TODAY())-F491)</f>
        <v>31</v>
      </c>
      <c r="H491" s="11" t="str">
        <f aca="false">IF(C491="","",IF(G491="","Thiếu thông tin",IF(G491&lt;6,"Trẻ em",IF(G491&lt;23,"Học sinh / Sinh viên",IF(G491&lt;60,"Đang đi làm","Nghỉ hưu")))))</f>
        <v>Đang đi làm</v>
      </c>
      <c r="I491" s="6" t="s">
        <v>52</v>
      </c>
      <c r="J491" s="11" t="str">
        <f aca="false">IF(B491="","",IFERROR(INDEX('Hộ gia đình'!$B$2:$B$2000,MATCH(B491,'Hộ gia đình'!$A$2:$A$2000,0)),"Mã hộ không tồn tại"))</f>
        <v>213 E4 Bách Khoa</v>
      </c>
      <c r="K491" s="14"/>
      <c r="L491" s="14"/>
      <c r="M491" s="6"/>
      <c r="N491" s="6" t="s">
        <v>395</v>
      </c>
      <c r="O491" s="6" t="s">
        <v>389</v>
      </c>
      <c r="P491" s="6"/>
      <c r="Q491" s="6" t="s">
        <v>403</v>
      </c>
      <c r="R491" s="12"/>
    </row>
    <row r="492" customFormat="false" ht="15" hidden="false" customHeight="true" outlineLevel="0" collapsed="false">
      <c r="A492" s="6" t="s">
        <v>1738</v>
      </c>
      <c r="B492" s="6" t="s">
        <v>260</v>
      </c>
      <c r="C492" s="6" t="s">
        <v>1739</v>
      </c>
      <c r="D492" s="6"/>
      <c r="E492" s="13"/>
      <c r="F492" s="6" t="n">
        <v>1997</v>
      </c>
      <c r="G492" s="11" t="n">
        <f aca="true">IF(F492="","",YEAR(TODAY())-F492)</f>
        <v>29</v>
      </c>
      <c r="H492" s="11" t="str">
        <f aca="false">IF(C492="","",IF(G492="","Thiếu thông tin",IF(G492&lt;6,"Trẻ em",IF(G492&lt;23,"Học sinh / Sinh viên",IF(G492&lt;60,"Đang đi làm","Nghỉ hưu")))))</f>
        <v>Đang đi làm</v>
      </c>
      <c r="I492" s="6"/>
      <c r="J492" s="11" t="str">
        <f aca="false">IF(B492="","",IFERROR(INDEX('Hộ gia đình'!$B$2:$B$2000,MATCH(B492,'Hộ gia đình'!$A$2:$A$2000,0)),"Mã hộ không tồn tại"))</f>
        <v>213 E4 Bách Khoa</v>
      </c>
      <c r="K492" s="14"/>
      <c r="L492" s="14"/>
      <c r="M492" s="6"/>
      <c r="N492" s="6" t="s">
        <v>395</v>
      </c>
      <c r="O492" s="6" t="s">
        <v>389</v>
      </c>
      <c r="P492" s="6"/>
      <c r="Q492" s="6" t="s">
        <v>403</v>
      </c>
      <c r="R492" s="12"/>
    </row>
    <row r="493" customFormat="false" ht="15" hidden="false" customHeight="true" outlineLevel="0" collapsed="false">
      <c r="A493" s="6" t="s">
        <v>1740</v>
      </c>
      <c r="B493" s="6" t="s">
        <v>260</v>
      </c>
      <c r="C493" s="6" t="s">
        <v>1741</v>
      </c>
      <c r="D493" s="6"/>
      <c r="E493" s="13"/>
      <c r="F493" s="6" t="n">
        <v>1945</v>
      </c>
      <c r="G493" s="11" t="n">
        <f aca="true">IF(F493="","",YEAR(TODAY())-F493)</f>
        <v>81</v>
      </c>
      <c r="H493" s="11" t="str">
        <f aca="false">IF(C493="","",IF(G493="","Thiếu thông tin",IF(G493&lt;6,"Trẻ em",IF(G493&lt;23,"Học sinh / Sinh viên",IF(G493&lt;60,"Đang đi làm","Nghỉ hưu")))))</f>
        <v>Nghỉ hưu</v>
      </c>
      <c r="I493" s="6"/>
      <c r="J493" s="11" t="str">
        <f aca="false">IF(B493="","",IFERROR(INDEX('Hộ gia đình'!$B$2:$B$2000,MATCH(B493,'Hộ gia đình'!$A$2:$A$2000,0)),"Mã hộ không tồn tại"))</f>
        <v>213 E4 Bách Khoa</v>
      </c>
      <c r="K493" s="14"/>
      <c r="L493" s="14"/>
      <c r="M493" s="6"/>
      <c r="N493" s="6" t="s">
        <v>395</v>
      </c>
      <c r="O493" s="6" t="s">
        <v>389</v>
      </c>
      <c r="P493" s="6"/>
      <c r="Q493" s="6" t="s">
        <v>396</v>
      </c>
      <c r="R493" s="12"/>
    </row>
    <row r="494" customFormat="false" ht="15" hidden="false" customHeight="true" outlineLevel="0" collapsed="false">
      <c r="A494" s="6" t="s">
        <v>1742</v>
      </c>
      <c r="B494" s="6" t="s">
        <v>262</v>
      </c>
      <c r="C494" s="6" t="s">
        <v>1743</v>
      </c>
      <c r="D494" s="6"/>
      <c r="E494" s="13"/>
      <c r="F494" s="6"/>
      <c r="G494" s="11" t="str">
        <f aca="true">IF(F494="","",YEAR(TODAY())-F494)</f>
        <v/>
      </c>
      <c r="H494" s="11" t="str">
        <f aca="false">IF(C494="","",IF(G494="","Thiếu thông tin",IF(G494&lt;6,"Trẻ em",IF(G494&lt;23,"Học sinh / Sinh viên",IF(G494&lt;60,"Đang đi làm","Nghỉ hưu")))))</f>
        <v>Thiếu thông tin</v>
      </c>
      <c r="I494" s="6" t="s">
        <v>52</v>
      </c>
      <c r="J494" s="11" t="str">
        <f aca="false">IF(B494="","",IFERROR(INDEX('Hộ gia đình'!$B$2:$B$2000,MATCH(B494,'Hộ gia đình'!$A$2:$A$2000,0)),"Mã hộ không tồn tại"))</f>
        <v>214 E4 Bách Khoa</v>
      </c>
      <c r="K494" s="14"/>
      <c r="L494" s="14"/>
      <c r="M494" s="6"/>
      <c r="N494" s="6" t="s">
        <v>395</v>
      </c>
      <c r="O494" s="6" t="s">
        <v>389</v>
      </c>
      <c r="P494" s="6"/>
      <c r="Q494" s="6" t="s">
        <v>403</v>
      </c>
      <c r="R494" s="12" t="s">
        <v>522</v>
      </c>
    </row>
    <row r="495" customFormat="false" ht="15" hidden="false" customHeight="true" outlineLevel="0" collapsed="false">
      <c r="A495" s="6" t="s">
        <v>1744</v>
      </c>
      <c r="B495" s="6" t="s">
        <v>264</v>
      </c>
      <c r="C495" s="6" t="s">
        <v>1745</v>
      </c>
      <c r="D495" s="6" t="s">
        <v>408</v>
      </c>
      <c r="E495" s="13" t="n">
        <v>24456</v>
      </c>
      <c r="F495" s="6" t="n">
        <v>1966</v>
      </c>
      <c r="G495" s="11" t="n">
        <f aca="true">IF(F495="","",YEAR(TODAY())-F495)</f>
        <v>60</v>
      </c>
      <c r="H495" s="11" t="str">
        <f aca="false">IF(C495="","",IF(G495="","Thiếu thông tin",IF(G495&lt;6,"Trẻ em",IF(G495&lt;23,"Học sinh / Sinh viên",IF(G495&lt;60,"Đang đi làm","Nghỉ hưu")))))</f>
        <v>Nghỉ hưu</v>
      </c>
      <c r="I495" s="6" t="s">
        <v>52</v>
      </c>
      <c r="J495" s="11" t="str">
        <f aca="false">IF(B495="","",IFERROR(INDEX('Hộ gia đình'!$B$2:$B$2000,MATCH(B495,'Hộ gia đình'!$A$2:$A$2000,0)),"Mã hộ không tồn tại"))</f>
        <v>215 E4 Bách Khoa</v>
      </c>
      <c r="K495" s="14" t="s">
        <v>1746</v>
      </c>
      <c r="L495" s="14"/>
      <c r="M495" s="6" t="s">
        <v>451</v>
      </c>
      <c r="N495" s="6" t="s">
        <v>388</v>
      </c>
      <c r="O495" s="6" t="s">
        <v>389</v>
      </c>
      <c r="P495" s="6"/>
      <c r="Q495" s="6" t="s">
        <v>391</v>
      </c>
      <c r="R495" s="12" t="s">
        <v>1747</v>
      </c>
    </row>
    <row r="496" customFormat="false" ht="15" hidden="false" customHeight="true" outlineLevel="0" collapsed="false">
      <c r="A496" s="6" t="s">
        <v>1748</v>
      </c>
      <c r="B496" s="6" t="s">
        <v>264</v>
      </c>
      <c r="C496" s="6" t="s">
        <v>1749</v>
      </c>
      <c r="D496" s="6" t="s">
        <v>385</v>
      </c>
      <c r="E496" s="13" t="n">
        <v>27046</v>
      </c>
      <c r="F496" s="6" t="n">
        <v>1974</v>
      </c>
      <c r="G496" s="11" t="n">
        <f aca="true">IF(F496="","",YEAR(TODAY())-F496)</f>
        <v>52</v>
      </c>
      <c r="H496" s="11" t="str">
        <f aca="false">IF(C496="","",IF(G496="","Thiếu thông tin",IF(G496&lt;6,"Trẻ em",IF(G496&lt;23,"Học sinh / Sinh viên",IF(G496&lt;60,"Đang đi làm","Nghỉ hưu")))))</f>
        <v>Đang đi làm</v>
      </c>
      <c r="I496" s="6"/>
      <c r="J496" s="11" t="str">
        <f aca="false">IF(B496="","",IFERROR(INDEX('Hộ gia đình'!$B$2:$B$2000,MATCH(B496,'Hộ gia đình'!$A$2:$A$2000,0)),"Mã hộ không tồn tại"))</f>
        <v>215 E4 Bách Khoa</v>
      </c>
      <c r="K496" s="14" t="s">
        <v>1750</v>
      </c>
      <c r="L496" s="14"/>
      <c r="M496" s="6" t="s">
        <v>451</v>
      </c>
      <c r="N496" s="6" t="s">
        <v>388</v>
      </c>
      <c r="O496" s="6" t="s">
        <v>389</v>
      </c>
      <c r="P496" s="6"/>
      <c r="Q496" s="6" t="s">
        <v>391</v>
      </c>
      <c r="R496" s="12"/>
    </row>
    <row r="497" customFormat="false" ht="15" hidden="false" customHeight="true" outlineLevel="0" collapsed="false">
      <c r="A497" s="6" t="s">
        <v>1751</v>
      </c>
      <c r="B497" s="6" t="s">
        <v>264</v>
      </c>
      <c r="C497" s="6" t="s">
        <v>1752</v>
      </c>
      <c r="D497" s="6" t="s">
        <v>408</v>
      </c>
      <c r="E497" s="13" t="n">
        <v>37586</v>
      </c>
      <c r="F497" s="6" t="n">
        <v>2002</v>
      </c>
      <c r="G497" s="11" t="n">
        <f aca="true">IF(F497="","",YEAR(TODAY())-F497)</f>
        <v>24</v>
      </c>
      <c r="H497" s="11" t="str">
        <f aca="false">IF(C497="","",IF(G497="","Thiếu thông tin",IF(G497&lt;6,"Trẻ em",IF(G497&lt;23,"Học sinh / Sinh viên",IF(G497&lt;60,"Đang đi làm","Nghỉ hưu")))))</f>
        <v>Đang đi làm</v>
      </c>
      <c r="I497" s="6"/>
      <c r="J497" s="11" t="str">
        <f aca="false">IF(B497="","",IFERROR(INDEX('Hộ gia đình'!$B$2:$B$2000,MATCH(B497,'Hộ gia đình'!$A$2:$A$2000,0)),"Mã hộ không tồn tại"))</f>
        <v>215 E4 Bách Khoa</v>
      </c>
      <c r="K497" s="14" t="s">
        <v>1753</v>
      </c>
      <c r="L497" s="14"/>
      <c r="M497" s="6" t="s">
        <v>422</v>
      </c>
      <c r="N497" s="6" t="s">
        <v>388</v>
      </c>
      <c r="O497" s="6" t="s">
        <v>389</v>
      </c>
      <c r="P497" s="6"/>
      <c r="Q497" s="6" t="s">
        <v>583</v>
      </c>
      <c r="R497" s="12"/>
    </row>
    <row r="498" customFormat="false" ht="15" hidden="false" customHeight="true" outlineLevel="0" collapsed="false">
      <c r="A498" s="6" t="s">
        <v>1754</v>
      </c>
      <c r="B498" s="6" t="s">
        <v>264</v>
      </c>
      <c r="C498" s="6" t="s">
        <v>1755</v>
      </c>
      <c r="D498" s="6" t="s">
        <v>408</v>
      </c>
      <c r="E498" s="13" t="n">
        <v>23864</v>
      </c>
      <c r="F498" s="6" t="n">
        <v>1965</v>
      </c>
      <c r="G498" s="11" t="n">
        <f aca="true">IF(F498="","",YEAR(TODAY())-F498)</f>
        <v>61</v>
      </c>
      <c r="H498" s="11" t="str">
        <f aca="false">IF(C498="","",IF(G498="","Thiếu thông tin",IF(G498&lt;6,"Trẻ em",IF(G498&lt;23,"Học sinh / Sinh viên",IF(G498&lt;60,"Đang đi làm","Nghỉ hưu")))))</f>
        <v>Nghỉ hưu</v>
      </c>
      <c r="I498" s="6"/>
      <c r="J498" s="11" t="str">
        <f aca="false">IF(B498="","",IFERROR(INDEX('Hộ gia đình'!$B$2:$B$2000,MATCH(B498,'Hộ gia đình'!$A$2:$A$2000,0)),"Mã hộ không tồn tại"))</f>
        <v>215 E4 Bách Khoa</v>
      </c>
      <c r="K498" s="14" t="s">
        <v>1756</v>
      </c>
      <c r="L498" s="14"/>
      <c r="M498" s="6" t="s">
        <v>451</v>
      </c>
      <c r="N498" s="6" t="s">
        <v>388</v>
      </c>
      <c r="O498" s="6" t="s">
        <v>389</v>
      </c>
      <c r="P498" s="6"/>
      <c r="Q498" s="6" t="s">
        <v>391</v>
      </c>
      <c r="R498" s="12"/>
    </row>
    <row r="499" customFormat="false" ht="15" hidden="false" customHeight="true" outlineLevel="0" collapsed="false">
      <c r="A499" s="6" t="s">
        <v>1757</v>
      </c>
      <c r="B499" s="6" t="s">
        <v>264</v>
      </c>
      <c r="C499" s="6" t="s">
        <v>1758</v>
      </c>
      <c r="D499" s="6"/>
      <c r="E499" s="13"/>
      <c r="F499" s="6" t="n">
        <v>2009</v>
      </c>
      <c r="G499" s="11" t="n">
        <f aca="true">IF(F499="","",YEAR(TODAY())-F499)</f>
        <v>17</v>
      </c>
      <c r="H499" s="11" t="str">
        <f aca="false">IF(C499="","",IF(G499="","Thiếu thông tin",IF(G499&lt;6,"Trẻ em",IF(G499&lt;23,"Học sinh / Sinh viên",IF(G499&lt;60,"Đang đi làm","Nghỉ hưu")))))</f>
        <v>Học sinh / Sinh viên</v>
      </c>
      <c r="I499" s="6"/>
      <c r="J499" s="11" t="str">
        <f aca="false">IF(B499="","",IFERROR(INDEX('Hộ gia đình'!$B$2:$B$2000,MATCH(B499,'Hộ gia đình'!$A$2:$A$2000,0)),"Mã hộ không tồn tại"))</f>
        <v>215 E4 Bách Khoa</v>
      </c>
      <c r="K499" s="14"/>
      <c r="L499" s="14"/>
      <c r="M499" s="6"/>
      <c r="N499" s="6" t="s">
        <v>395</v>
      </c>
      <c r="O499" s="6" t="s">
        <v>389</v>
      </c>
      <c r="P499" s="6"/>
      <c r="Q499" s="6" t="s">
        <v>403</v>
      </c>
      <c r="R499" s="12"/>
    </row>
    <row r="500" customFormat="false" ht="15" hidden="false" customHeight="true" outlineLevel="0" collapsed="false">
      <c r="A500" s="6" t="s">
        <v>1759</v>
      </c>
      <c r="B500" s="6" t="s">
        <v>266</v>
      </c>
      <c r="C500" s="6" t="s">
        <v>1760</v>
      </c>
      <c r="D500" s="6"/>
      <c r="E500" s="13"/>
      <c r="F500" s="6" t="n">
        <v>1932</v>
      </c>
      <c r="G500" s="11" t="n">
        <f aca="true">IF(F500="","",YEAR(TODAY())-F500)</f>
        <v>94</v>
      </c>
      <c r="H500" s="11" t="str">
        <f aca="false">IF(C500="","",IF(G500="","Thiếu thông tin",IF(G500&lt;6,"Trẻ em",IF(G500&lt;23,"Học sinh / Sinh viên",IF(G500&lt;60,"Đang đi làm","Nghỉ hưu")))))</f>
        <v>Nghỉ hưu</v>
      </c>
      <c r="I500" s="6" t="s">
        <v>52</v>
      </c>
      <c r="J500" s="11" t="str">
        <f aca="false">IF(B500="","",IFERROR(INDEX('Hộ gia đình'!$B$2:$B$2000,MATCH(B500,'Hộ gia đình'!$A$2:$A$2000,0)),"Mã hộ không tồn tại"))</f>
        <v>216 E4 Bách Khoa</v>
      </c>
      <c r="K500" s="14"/>
      <c r="L500" s="14"/>
      <c r="M500" s="6"/>
      <c r="N500" s="6" t="s">
        <v>395</v>
      </c>
      <c r="O500" s="6" t="s">
        <v>389</v>
      </c>
      <c r="P500" s="6"/>
      <c r="Q500" s="6" t="s">
        <v>396</v>
      </c>
      <c r="R500" s="12"/>
    </row>
    <row r="501" customFormat="false" ht="15" hidden="false" customHeight="true" outlineLevel="0" collapsed="false">
      <c r="A501" s="6" t="s">
        <v>1761</v>
      </c>
      <c r="B501" s="6" t="s">
        <v>268</v>
      </c>
      <c r="C501" s="6" t="s">
        <v>1762</v>
      </c>
      <c r="D501" s="6" t="s">
        <v>408</v>
      </c>
      <c r="E501" s="13" t="n">
        <v>29839</v>
      </c>
      <c r="F501" s="6" t="n">
        <v>1981</v>
      </c>
      <c r="G501" s="11" t="n">
        <f aca="true">IF(F501="","",YEAR(TODAY())-F501)</f>
        <v>45</v>
      </c>
      <c r="H501" s="11" t="str">
        <f aca="false">IF(C501="","",IF(G501="","Thiếu thông tin",IF(G501&lt;6,"Trẻ em",IF(G501&lt;23,"Học sinh / Sinh viên",IF(G501&lt;60,"Đang đi làm","Nghỉ hưu")))))</f>
        <v>Đang đi làm</v>
      </c>
      <c r="I501" s="6" t="s">
        <v>52</v>
      </c>
      <c r="J501" s="11" t="str">
        <f aca="false">IF(B501="","",IFERROR(INDEX('Hộ gia đình'!$B$2:$B$2000,MATCH(B501,'Hộ gia đình'!$A$2:$A$2000,0)),"Mã hộ không tồn tại"))</f>
        <v>301 E4 Bách Khoa</v>
      </c>
      <c r="K501" s="14" t="s">
        <v>1763</v>
      </c>
      <c r="L501" s="14"/>
      <c r="M501" s="6" t="s">
        <v>459</v>
      </c>
      <c r="N501" s="6" t="s">
        <v>388</v>
      </c>
      <c r="O501" s="6" t="s">
        <v>389</v>
      </c>
      <c r="P501" s="6" t="s">
        <v>1764</v>
      </c>
      <c r="Q501" s="6" t="s">
        <v>391</v>
      </c>
      <c r="R501" s="12"/>
    </row>
    <row r="502" customFormat="false" ht="15" hidden="false" customHeight="true" outlineLevel="0" collapsed="false">
      <c r="A502" s="6" t="s">
        <v>1765</v>
      </c>
      <c r="B502" s="6" t="s">
        <v>268</v>
      </c>
      <c r="C502" s="6" t="s">
        <v>1766</v>
      </c>
      <c r="D502" s="6" t="s">
        <v>385</v>
      </c>
      <c r="E502" s="13" t="n">
        <v>31744</v>
      </c>
      <c r="F502" s="6" t="n">
        <v>1986</v>
      </c>
      <c r="G502" s="11" t="n">
        <f aca="true">IF(F502="","",YEAR(TODAY())-F502)</f>
        <v>40</v>
      </c>
      <c r="H502" s="11" t="str">
        <f aca="false">IF(C502="","",IF(G502="","Thiếu thông tin",IF(G502&lt;6,"Trẻ em",IF(G502&lt;23,"Học sinh / Sinh viên",IF(G502&lt;60,"Đang đi làm","Nghỉ hưu")))))</f>
        <v>Đang đi làm</v>
      </c>
      <c r="I502" s="6"/>
      <c r="J502" s="11" t="str">
        <f aca="false">IF(B502="","",IFERROR(INDEX('Hộ gia đình'!$B$2:$B$2000,MATCH(B502,'Hộ gia đình'!$A$2:$A$2000,0)),"Mã hộ không tồn tại"))</f>
        <v>301 E4 Bách Khoa</v>
      </c>
      <c r="K502" s="14" t="s">
        <v>1767</v>
      </c>
      <c r="L502" s="14"/>
      <c r="M502" s="6" t="s">
        <v>459</v>
      </c>
      <c r="N502" s="6" t="s">
        <v>388</v>
      </c>
      <c r="O502" s="6" t="s">
        <v>389</v>
      </c>
      <c r="P502" s="6"/>
      <c r="Q502" s="6" t="s">
        <v>391</v>
      </c>
      <c r="R502" s="12"/>
    </row>
    <row r="503" customFormat="false" ht="15" hidden="false" customHeight="true" outlineLevel="0" collapsed="false">
      <c r="A503" s="6" t="s">
        <v>1768</v>
      </c>
      <c r="B503" s="6" t="s">
        <v>268</v>
      </c>
      <c r="C503" s="6" t="s">
        <v>1769</v>
      </c>
      <c r="D503" s="6"/>
      <c r="E503" s="13"/>
      <c r="F503" s="6" t="n">
        <v>2016</v>
      </c>
      <c r="G503" s="11" t="n">
        <f aca="true">IF(F503="","",YEAR(TODAY())-F503)</f>
        <v>10</v>
      </c>
      <c r="H503" s="11" t="str">
        <f aca="false">IF(C503="","",IF(G503="","Thiếu thông tin",IF(G503&lt;6,"Trẻ em",IF(G503&lt;23,"Học sinh / Sinh viên",IF(G503&lt;60,"Đang đi làm","Nghỉ hưu")))))</f>
        <v>Học sinh / Sinh viên</v>
      </c>
      <c r="I503" s="6"/>
      <c r="J503" s="11" t="str">
        <f aca="false">IF(B503="","",IFERROR(INDEX('Hộ gia đình'!$B$2:$B$2000,MATCH(B503,'Hộ gia đình'!$A$2:$A$2000,0)),"Mã hộ không tồn tại"))</f>
        <v>301 E4 Bách Khoa</v>
      </c>
      <c r="K503" s="14"/>
      <c r="L503" s="14"/>
      <c r="M503" s="6"/>
      <c r="N503" s="6" t="s">
        <v>395</v>
      </c>
      <c r="O503" s="6" t="s">
        <v>389</v>
      </c>
      <c r="P503" s="6"/>
      <c r="Q503" s="6" t="s">
        <v>403</v>
      </c>
      <c r="R503" s="12"/>
    </row>
    <row r="504" customFormat="false" ht="15" hidden="false" customHeight="true" outlineLevel="0" collapsed="false">
      <c r="A504" s="6" t="s">
        <v>1770</v>
      </c>
      <c r="B504" s="6" t="s">
        <v>268</v>
      </c>
      <c r="C504" s="6" t="s">
        <v>1771</v>
      </c>
      <c r="D504" s="6"/>
      <c r="E504" s="13"/>
      <c r="F504" s="6" t="n">
        <v>2021</v>
      </c>
      <c r="G504" s="11" t="n">
        <f aca="true">IF(F504="","",YEAR(TODAY())-F504)</f>
        <v>5</v>
      </c>
      <c r="H504" s="11" t="str">
        <f aca="false">IF(C504="","",IF(G504="","Thiếu thông tin",IF(G504&lt;6,"Trẻ em",IF(G504&lt;23,"Học sinh / Sinh viên",IF(G504&lt;60,"Đang đi làm","Nghỉ hưu")))))</f>
        <v>Trẻ em</v>
      </c>
      <c r="I504" s="6"/>
      <c r="J504" s="11" t="str">
        <f aca="false">IF(B504="","",IFERROR(INDEX('Hộ gia đình'!$B$2:$B$2000,MATCH(B504,'Hộ gia đình'!$A$2:$A$2000,0)),"Mã hộ không tồn tại"))</f>
        <v>301 E4 Bách Khoa</v>
      </c>
      <c r="K504" s="14"/>
      <c r="L504" s="14"/>
      <c r="M504" s="6"/>
      <c r="N504" s="6" t="s">
        <v>395</v>
      </c>
      <c r="O504" s="6" t="s">
        <v>389</v>
      </c>
      <c r="P504" s="6"/>
      <c r="Q504" s="6" t="s">
        <v>403</v>
      </c>
      <c r="R504" s="12"/>
    </row>
    <row r="505" customFormat="false" ht="15" hidden="false" customHeight="true" outlineLevel="0" collapsed="false">
      <c r="A505" s="6" t="s">
        <v>1772</v>
      </c>
      <c r="B505" s="6" t="s">
        <v>268</v>
      </c>
      <c r="C505" s="6" t="s">
        <v>1773</v>
      </c>
      <c r="D505" s="6"/>
      <c r="E505" s="13"/>
      <c r="F505" s="6" t="n">
        <v>2023</v>
      </c>
      <c r="G505" s="11" t="n">
        <f aca="true">IF(F505="","",YEAR(TODAY())-F505)</f>
        <v>3</v>
      </c>
      <c r="H505" s="11" t="str">
        <f aca="false">IF(C505="","",IF(G505="","Thiếu thông tin",IF(G505&lt;6,"Trẻ em",IF(G505&lt;23,"Học sinh / Sinh viên",IF(G505&lt;60,"Đang đi làm","Nghỉ hưu")))))</f>
        <v>Trẻ em</v>
      </c>
      <c r="I505" s="6"/>
      <c r="J505" s="11" t="str">
        <f aca="false">IF(B505="","",IFERROR(INDEX('Hộ gia đình'!$B$2:$B$2000,MATCH(B505,'Hộ gia đình'!$A$2:$A$2000,0)),"Mã hộ không tồn tại"))</f>
        <v>301 E4 Bách Khoa</v>
      </c>
      <c r="K505" s="14"/>
      <c r="L505" s="14"/>
      <c r="M505" s="6"/>
      <c r="N505" s="6" t="s">
        <v>395</v>
      </c>
      <c r="O505" s="6" t="s">
        <v>389</v>
      </c>
      <c r="P505" s="6"/>
      <c r="Q505" s="6" t="s">
        <v>403</v>
      </c>
      <c r="R505" s="12"/>
    </row>
    <row r="506" customFormat="false" ht="15" hidden="false" customHeight="true" outlineLevel="0" collapsed="false">
      <c r="A506" s="6" t="s">
        <v>1774</v>
      </c>
      <c r="B506" s="6" t="s">
        <v>270</v>
      </c>
      <c r="C506" s="6" t="s">
        <v>1775</v>
      </c>
      <c r="D506" s="6"/>
      <c r="E506" s="13"/>
      <c r="F506" s="6" t="n">
        <v>1991</v>
      </c>
      <c r="G506" s="11" t="n">
        <f aca="true">IF(F506="","",YEAR(TODAY())-F506)</f>
        <v>35</v>
      </c>
      <c r="H506" s="11" t="str">
        <f aca="false">IF(C506="","",IF(G506="","Thiếu thông tin",IF(G506&lt;6,"Trẻ em",IF(G506&lt;23,"Học sinh / Sinh viên",IF(G506&lt;60,"Đang đi làm","Nghỉ hưu")))))</f>
        <v>Đang đi làm</v>
      </c>
      <c r="I506" s="6" t="s">
        <v>52</v>
      </c>
      <c r="J506" s="11" t="str">
        <f aca="false">IF(B506="","",IFERROR(INDEX('Hộ gia đình'!$B$2:$B$2000,MATCH(B506,'Hộ gia đình'!$A$2:$A$2000,0)),"Mã hộ không tồn tại"))</f>
        <v>302 E4 Bách Khoa</v>
      </c>
      <c r="K506" s="14"/>
      <c r="L506" s="14"/>
      <c r="M506" s="6"/>
      <c r="N506" s="6" t="s">
        <v>395</v>
      </c>
      <c r="O506" s="6" t="s">
        <v>389</v>
      </c>
      <c r="P506" s="6"/>
      <c r="Q506" s="6" t="s">
        <v>396</v>
      </c>
      <c r="R506" s="12"/>
    </row>
    <row r="507" customFormat="false" ht="15" hidden="false" customHeight="true" outlineLevel="0" collapsed="false">
      <c r="A507" s="6" t="s">
        <v>1776</v>
      </c>
      <c r="B507" s="6" t="s">
        <v>272</v>
      </c>
      <c r="C507" s="6" t="s">
        <v>1777</v>
      </c>
      <c r="D507" s="6" t="s">
        <v>385</v>
      </c>
      <c r="E507" s="13" t="n">
        <v>28312</v>
      </c>
      <c r="F507" s="6" t="n">
        <v>1977</v>
      </c>
      <c r="G507" s="11" t="n">
        <f aca="true">IF(F507="","",YEAR(TODAY())-F507)</f>
        <v>49</v>
      </c>
      <c r="H507" s="11" t="str">
        <f aca="false">IF(C507="","",IF(G507="","Thiếu thông tin",IF(G507&lt;6,"Trẻ em",IF(G507&lt;23,"Học sinh / Sinh viên",IF(G507&lt;60,"Đang đi làm","Nghỉ hưu")))))</f>
        <v>Đang đi làm</v>
      </c>
      <c r="I507" s="6" t="s">
        <v>52</v>
      </c>
      <c r="J507" s="11" t="str">
        <f aca="false">IF(B507="","",IFERROR(INDEX('Hộ gia đình'!$B$2:$B$2000,MATCH(B507,'Hộ gia đình'!$A$2:$A$2000,0)),"Mã hộ không tồn tại"))</f>
        <v>303 E4 Bách Khoa</v>
      </c>
      <c r="K507" s="14" t="s">
        <v>1778</v>
      </c>
      <c r="L507" s="14"/>
      <c r="M507" s="6" t="s">
        <v>459</v>
      </c>
      <c r="N507" s="6" t="s">
        <v>388</v>
      </c>
      <c r="O507" s="6" t="s">
        <v>389</v>
      </c>
      <c r="P507" s="6"/>
      <c r="Q507" s="6" t="s">
        <v>391</v>
      </c>
      <c r="R507" s="12"/>
    </row>
    <row r="508" customFormat="false" ht="15" hidden="false" customHeight="true" outlineLevel="0" collapsed="false">
      <c r="A508" s="6" t="s">
        <v>1779</v>
      </c>
      <c r="B508" s="6" t="s">
        <v>272</v>
      </c>
      <c r="C508" s="6" t="s">
        <v>1780</v>
      </c>
      <c r="D508" s="6" t="s">
        <v>408</v>
      </c>
      <c r="E508" s="13" t="n">
        <v>37473</v>
      </c>
      <c r="F508" s="6" t="n">
        <v>2002</v>
      </c>
      <c r="G508" s="11" t="n">
        <f aca="true">IF(F508="","",YEAR(TODAY())-F508)</f>
        <v>24</v>
      </c>
      <c r="H508" s="11" t="str">
        <f aca="false">IF(C508="","",IF(G508="","Thiếu thông tin",IF(G508&lt;6,"Trẻ em",IF(G508&lt;23,"Học sinh / Sinh viên",IF(G508&lt;60,"Đang đi làm","Nghỉ hưu")))))</f>
        <v>Đang đi làm</v>
      </c>
      <c r="I508" s="6"/>
      <c r="J508" s="11" t="str">
        <f aca="false">IF(B508="","",IFERROR(INDEX('Hộ gia đình'!$B$2:$B$2000,MATCH(B508,'Hộ gia đình'!$A$2:$A$2000,0)),"Mã hộ không tồn tại"))</f>
        <v>303 E4 Bách Khoa</v>
      </c>
      <c r="K508" s="14" t="s">
        <v>1781</v>
      </c>
      <c r="L508" s="14"/>
      <c r="M508" s="6" t="s">
        <v>422</v>
      </c>
      <c r="N508" s="6" t="s">
        <v>388</v>
      </c>
      <c r="O508" s="6" t="s">
        <v>389</v>
      </c>
      <c r="P508" s="6"/>
      <c r="Q508" s="6" t="s">
        <v>583</v>
      </c>
      <c r="R508" s="12"/>
    </row>
    <row r="509" customFormat="false" ht="15" hidden="false" customHeight="true" outlineLevel="0" collapsed="false">
      <c r="A509" s="6" t="s">
        <v>1782</v>
      </c>
      <c r="B509" s="6" t="s">
        <v>272</v>
      </c>
      <c r="C509" s="6" t="s">
        <v>1783</v>
      </c>
      <c r="D509" s="6"/>
      <c r="E509" s="13"/>
      <c r="F509" s="6" t="n">
        <v>2009</v>
      </c>
      <c r="G509" s="11" t="n">
        <f aca="true">IF(F509="","",YEAR(TODAY())-F509)</f>
        <v>17</v>
      </c>
      <c r="H509" s="11" t="str">
        <f aca="false">IF(C509="","",IF(G509="","Thiếu thông tin",IF(G509&lt;6,"Trẻ em",IF(G509&lt;23,"Học sinh / Sinh viên",IF(G509&lt;60,"Đang đi làm","Nghỉ hưu")))))</f>
        <v>Học sinh / Sinh viên</v>
      </c>
      <c r="I509" s="6"/>
      <c r="J509" s="11" t="str">
        <f aca="false">IF(B509="","",IFERROR(INDEX('Hộ gia đình'!$B$2:$B$2000,MATCH(B509,'Hộ gia đình'!$A$2:$A$2000,0)),"Mã hộ không tồn tại"))</f>
        <v>303 E4 Bách Khoa</v>
      </c>
      <c r="K509" s="14"/>
      <c r="L509" s="14"/>
      <c r="M509" s="6"/>
      <c r="N509" s="6" t="s">
        <v>395</v>
      </c>
      <c r="O509" s="6" t="s">
        <v>389</v>
      </c>
      <c r="P509" s="6"/>
      <c r="Q509" s="6" t="s">
        <v>403</v>
      </c>
      <c r="R509" s="12"/>
    </row>
    <row r="510" customFormat="false" ht="15" hidden="false" customHeight="true" outlineLevel="0" collapsed="false">
      <c r="A510" s="6" t="s">
        <v>1784</v>
      </c>
      <c r="B510" s="6" t="s">
        <v>274</v>
      </c>
      <c r="C510" s="6" t="s">
        <v>1785</v>
      </c>
      <c r="D510" s="6" t="s">
        <v>408</v>
      </c>
      <c r="E510" s="13" t="n">
        <v>27615</v>
      </c>
      <c r="F510" s="6" t="n">
        <v>1975</v>
      </c>
      <c r="G510" s="11" t="n">
        <f aca="true">IF(F510="","",YEAR(TODAY())-F510)</f>
        <v>51</v>
      </c>
      <c r="H510" s="11" t="str">
        <f aca="false">IF(C510="","",IF(G510="","Thiếu thông tin",IF(G510&lt;6,"Trẻ em",IF(G510&lt;23,"Học sinh / Sinh viên",IF(G510&lt;60,"Đang đi làm","Nghỉ hưu")))))</f>
        <v>Đang đi làm</v>
      </c>
      <c r="I510" s="6" t="s">
        <v>52</v>
      </c>
      <c r="J510" s="11" t="str">
        <f aca="false">IF(B510="","",IFERROR(INDEX('Hộ gia đình'!$B$2:$B$2000,MATCH(B510,'Hộ gia đình'!$A$2:$A$2000,0)),"Mã hộ không tồn tại"))</f>
        <v>304 E4 Bách Khoa</v>
      </c>
      <c r="K510" s="14" t="s">
        <v>1786</v>
      </c>
      <c r="L510" s="14"/>
      <c r="M510" s="6" t="s">
        <v>459</v>
      </c>
      <c r="N510" s="6" t="s">
        <v>388</v>
      </c>
      <c r="O510" s="6" t="s">
        <v>389</v>
      </c>
      <c r="P510" s="6"/>
      <c r="Q510" s="6" t="s">
        <v>391</v>
      </c>
      <c r="R510" s="12"/>
    </row>
    <row r="511" customFormat="false" ht="15" hidden="false" customHeight="true" outlineLevel="0" collapsed="false">
      <c r="A511" s="6" t="s">
        <v>1787</v>
      </c>
      <c r="B511" s="6" t="s">
        <v>274</v>
      </c>
      <c r="C511" s="6" t="s">
        <v>1788</v>
      </c>
      <c r="D511" s="6" t="s">
        <v>385</v>
      </c>
      <c r="E511" s="13" t="n">
        <v>27517</v>
      </c>
      <c r="F511" s="6" t="n">
        <v>1975</v>
      </c>
      <c r="G511" s="11" t="n">
        <f aca="true">IF(F511="","",YEAR(TODAY())-F511)</f>
        <v>51</v>
      </c>
      <c r="H511" s="11" t="str">
        <f aca="false">IF(C511="","",IF(G511="","Thiếu thông tin",IF(G511&lt;6,"Trẻ em",IF(G511&lt;23,"Học sinh / Sinh viên",IF(G511&lt;60,"Đang đi làm","Nghỉ hưu")))))</f>
        <v>Đang đi làm</v>
      </c>
      <c r="I511" s="6"/>
      <c r="J511" s="11" t="str">
        <f aca="false">IF(B511="","",IFERROR(INDEX('Hộ gia đình'!$B$2:$B$2000,MATCH(B511,'Hộ gia đình'!$A$2:$A$2000,0)),"Mã hộ không tồn tại"))</f>
        <v>304 E4 Bách Khoa</v>
      </c>
      <c r="K511" s="14" t="s">
        <v>1789</v>
      </c>
      <c r="L511" s="14"/>
      <c r="M511" s="6" t="s">
        <v>459</v>
      </c>
      <c r="N511" s="6" t="s">
        <v>388</v>
      </c>
      <c r="O511" s="6" t="s">
        <v>389</v>
      </c>
      <c r="P511" s="6"/>
      <c r="Q511" s="6" t="s">
        <v>391</v>
      </c>
      <c r="R511" s="12"/>
    </row>
    <row r="512" customFormat="false" ht="15" hidden="false" customHeight="true" outlineLevel="0" collapsed="false">
      <c r="A512" s="6" t="s">
        <v>1790</v>
      </c>
      <c r="B512" s="6" t="s">
        <v>274</v>
      </c>
      <c r="C512" s="6" t="s">
        <v>1791</v>
      </c>
      <c r="D512" s="6"/>
      <c r="E512" s="13"/>
      <c r="F512" s="6" t="n">
        <v>1997</v>
      </c>
      <c r="G512" s="11" t="n">
        <f aca="true">IF(F512="","",YEAR(TODAY())-F512)</f>
        <v>29</v>
      </c>
      <c r="H512" s="11" t="str">
        <f aca="false">IF(C512="","",IF(G512="","Thiếu thông tin",IF(G512&lt;6,"Trẻ em",IF(G512&lt;23,"Học sinh / Sinh viên",IF(G512&lt;60,"Đang đi làm","Nghỉ hưu")))))</f>
        <v>Đang đi làm</v>
      </c>
      <c r="I512" s="6"/>
      <c r="J512" s="11" t="str">
        <f aca="false">IF(B512="","",IFERROR(INDEX('Hộ gia đình'!$B$2:$B$2000,MATCH(B512,'Hộ gia đình'!$A$2:$A$2000,0)),"Mã hộ không tồn tại"))</f>
        <v>304 E4 Bách Khoa</v>
      </c>
      <c r="K512" s="14"/>
      <c r="L512" s="14"/>
      <c r="M512" s="6"/>
      <c r="N512" s="6" t="s">
        <v>395</v>
      </c>
      <c r="O512" s="6" t="s">
        <v>389</v>
      </c>
      <c r="P512" s="6"/>
      <c r="Q512" s="6" t="s">
        <v>403</v>
      </c>
      <c r="R512" s="12"/>
    </row>
    <row r="513" customFormat="false" ht="15" hidden="false" customHeight="true" outlineLevel="0" collapsed="false">
      <c r="A513" s="6" t="s">
        <v>1792</v>
      </c>
      <c r="B513" s="6" t="s">
        <v>274</v>
      </c>
      <c r="C513" s="6" t="s">
        <v>1793</v>
      </c>
      <c r="D513" s="6" t="s">
        <v>408</v>
      </c>
      <c r="E513" s="13" t="n">
        <v>38440</v>
      </c>
      <c r="F513" s="6" t="n">
        <v>2005</v>
      </c>
      <c r="G513" s="11" t="n">
        <f aca="true">IF(F513="","",YEAR(TODAY())-F513)</f>
        <v>21</v>
      </c>
      <c r="H513" s="11" t="str">
        <f aca="false">IF(C513="","",IF(G513="","Thiếu thông tin",IF(G513&lt;6,"Trẻ em",IF(G513&lt;23,"Học sinh / Sinh viên",IF(G513&lt;60,"Đang đi làm","Nghỉ hưu")))))</f>
        <v>Học sinh / Sinh viên</v>
      </c>
      <c r="I513" s="6"/>
      <c r="J513" s="11" t="str">
        <f aca="false">IF(B513="","",IFERROR(INDEX('Hộ gia đình'!$B$2:$B$2000,MATCH(B513,'Hộ gia đình'!$A$2:$A$2000,0)),"Mã hộ không tồn tại"))</f>
        <v>304 E4 Bách Khoa</v>
      </c>
      <c r="K513" s="14" t="s">
        <v>1794</v>
      </c>
      <c r="L513" s="14"/>
      <c r="M513" s="6" t="s">
        <v>422</v>
      </c>
      <c r="N513" s="6" t="s">
        <v>388</v>
      </c>
      <c r="O513" s="6" t="s">
        <v>389</v>
      </c>
      <c r="P513" s="6"/>
      <c r="Q513" s="6" t="s">
        <v>583</v>
      </c>
      <c r="R513" s="12"/>
    </row>
    <row r="514" customFormat="false" ht="15" hidden="false" customHeight="true" outlineLevel="0" collapsed="false">
      <c r="A514" s="6" t="s">
        <v>1795</v>
      </c>
      <c r="B514" s="6" t="s">
        <v>274</v>
      </c>
      <c r="C514" s="6" t="s">
        <v>1796</v>
      </c>
      <c r="D514" s="6" t="s">
        <v>408</v>
      </c>
      <c r="E514" s="13" t="n">
        <v>32005</v>
      </c>
      <c r="F514" s="6" t="n">
        <v>1987</v>
      </c>
      <c r="G514" s="11" t="n">
        <f aca="true">IF(F514="","",YEAR(TODAY())-F514)</f>
        <v>39</v>
      </c>
      <c r="H514" s="11" t="str">
        <f aca="false">IF(C514="","",IF(G514="","Thiếu thông tin",IF(G514&lt;6,"Trẻ em",IF(G514&lt;23,"Học sinh / Sinh viên",IF(G514&lt;60,"Đang đi làm","Nghỉ hưu")))))</f>
        <v>Đang đi làm</v>
      </c>
      <c r="I514" s="6"/>
      <c r="J514" s="11" t="str">
        <f aca="false">IF(B514="","",IFERROR(INDEX('Hộ gia đình'!$B$2:$B$2000,MATCH(B514,'Hộ gia đình'!$A$2:$A$2000,0)),"Mã hộ không tồn tại"))</f>
        <v>304 E4 Bách Khoa</v>
      </c>
      <c r="K514" s="14" t="s">
        <v>1797</v>
      </c>
      <c r="L514" s="14"/>
      <c r="M514" s="6" t="s">
        <v>459</v>
      </c>
      <c r="N514" s="6" t="s">
        <v>388</v>
      </c>
      <c r="O514" s="6" t="s">
        <v>389</v>
      </c>
      <c r="P514" s="6"/>
      <c r="Q514" s="6" t="s">
        <v>410</v>
      </c>
      <c r="R514" s="12"/>
    </row>
    <row r="515" customFormat="false" ht="15" hidden="false" customHeight="true" outlineLevel="0" collapsed="false">
      <c r="A515" s="6" t="s">
        <v>1798</v>
      </c>
      <c r="B515" s="6" t="s">
        <v>276</v>
      </c>
      <c r="C515" s="6" t="s">
        <v>1799</v>
      </c>
      <c r="D515" s="6"/>
      <c r="E515" s="13"/>
      <c r="F515" s="6" t="n">
        <v>1978</v>
      </c>
      <c r="G515" s="11" t="n">
        <f aca="true">IF(F515="","",YEAR(TODAY())-F515)</f>
        <v>48</v>
      </c>
      <c r="H515" s="11" t="str">
        <f aca="false">IF(C515="","",IF(G515="","Thiếu thông tin",IF(G515&lt;6,"Trẻ em",IF(G515&lt;23,"Học sinh / Sinh viên",IF(G515&lt;60,"Đang đi làm","Nghỉ hưu")))))</f>
        <v>Đang đi làm</v>
      </c>
      <c r="I515" s="6" t="s">
        <v>52</v>
      </c>
      <c r="J515" s="11" t="str">
        <f aca="false">IF(B515="","",IFERROR(INDEX('Hộ gia đình'!$B$2:$B$2000,MATCH(B515,'Hộ gia đình'!$A$2:$A$2000,0)),"Mã hộ không tồn tại"))</f>
        <v>305 E4 Bách Khoa</v>
      </c>
      <c r="K515" s="14"/>
      <c r="L515" s="14"/>
      <c r="M515" s="6"/>
      <c r="N515" s="6" t="s">
        <v>395</v>
      </c>
      <c r="O515" s="6" t="s">
        <v>389</v>
      </c>
      <c r="P515" s="6"/>
      <c r="Q515" s="6" t="s">
        <v>396</v>
      </c>
      <c r="R515" s="12"/>
    </row>
    <row r="516" customFormat="false" ht="15" hidden="false" customHeight="true" outlineLevel="0" collapsed="false">
      <c r="A516" s="6" t="s">
        <v>1800</v>
      </c>
      <c r="B516" s="6" t="s">
        <v>276</v>
      </c>
      <c r="C516" s="6" t="s">
        <v>1801</v>
      </c>
      <c r="D516" s="6"/>
      <c r="E516" s="13"/>
      <c r="F516" s="6" t="n">
        <v>1982</v>
      </c>
      <c r="G516" s="11" t="n">
        <f aca="true">IF(F516="","",YEAR(TODAY())-F516)</f>
        <v>44</v>
      </c>
      <c r="H516" s="11" t="str">
        <f aca="false">IF(C516="","",IF(G516="","Thiếu thông tin",IF(G516&lt;6,"Trẻ em",IF(G516&lt;23,"Học sinh / Sinh viên",IF(G516&lt;60,"Đang đi làm","Nghỉ hưu")))))</f>
        <v>Đang đi làm</v>
      </c>
      <c r="I516" s="6"/>
      <c r="J516" s="11" t="str">
        <f aca="false">IF(B516="","",IFERROR(INDEX('Hộ gia đình'!$B$2:$B$2000,MATCH(B516,'Hộ gia đình'!$A$2:$A$2000,0)),"Mã hộ không tồn tại"))</f>
        <v>305 E4 Bách Khoa</v>
      </c>
      <c r="K516" s="14"/>
      <c r="L516" s="14"/>
      <c r="M516" s="6"/>
      <c r="N516" s="6" t="s">
        <v>395</v>
      </c>
      <c r="O516" s="6" t="s">
        <v>389</v>
      </c>
      <c r="P516" s="6"/>
      <c r="Q516" s="6" t="s">
        <v>396</v>
      </c>
      <c r="R516" s="12"/>
    </row>
    <row r="517" customFormat="false" ht="15" hidden="false" customHeight="true" outlineLevel="0" collapsed="false">
      <c r="A517" s="6" t="s">
        <v>1802</v>
      </c>
      <c r="B517" s="6" t="s">
        <v>276</v>
      </c>
      <c r="C517" s="6" t="s">
        <v>1803</v>
      </c>
      <c r="D517" s="6"/>
      <c r="E517" s="13" t="n">
        <v>39259</v>
      </c>
      <c r="F517" s="6" t="n">
        <v>2007</v>
      </c>
      <c r="G517" s="11" t="n">
        <f aca="true">IF(F517="","",YEAR(TODAY())-F517)</f>
        <v>19</v>
      </c>
      <c r="H517" s="11" t="str">
        <f aca="false">IF(C517="","",IF(G517="","Thiếu thông tin",IF(G517&lt;6,"Trẻ em",IF(G517&lt;23,"Học sinh / Sinh viên",IF(G517&lt;60,"Đang đi làm","Nghỉ hưu")))))</f>
        <v>Học sinh / Sinh viên</v>
      </c>
      <c r="I517" s="6"/>
      <c r="J517" s="11" t="str">
        <f aca="false">IF(B517="","",IFERROR(INDEX('Hộ gia đình'!$B$2:$B$2000,MATCH(B517,'Hộ gia đình'!$A$2:$A$2000,0)),"Mã hộ không tồn tại"))</f>
        <v>305 E4 Bách Khoa</v>
      </c>
      <c r="K517" s="14"/>
      <c r="L517" s="14"/>
      <c r="M517" s="6"/>
      <c r="N517" s="6" t="s">
        <v>395</v>
      </c>
      <c r="O517" s="6" t="s">
        <v>389</v>
      </c>
      <c r="P517" s="6"/>
      <c r="Q517" s="6" t="s">
        <v>403</v>
      </c>
      <c r="R517" s="12"/>
    </row>
    <row r="518" customFormat="false" ht="15" hidden="false" customHeight="true" outlineLevel="0" collapsed="false">
      <c r="A518" s="6" t="s">
        <v>1804</v>
      </c>
      <c r="B518" s="6" t="s">
        <v>276</v>
      </c>
      <c r="C518" s="6" t="s">
        <v>1805</v>
      </c>
      <c r="D518" s="6"/>
      <c r="E518" s="13" t="n">
        <v>41148</v>
      </c>
      <c r="F518" s="6" t="n">
        <v>2012</v>
      </c>
      <c r="G518" s="11" t="n">
        <f aca="true">IF(F518="","",YEAR(TODAY())-F518)</f>
        <v>14</v>
      </c>
      <c r="H518" s="11" t="str">
        <f aca="false">IF(C518="","",IF(G518="","Thiếu thông tin",IF(G518&lt;6,"Trẻ em",IF(G518&lt;23,"Học sinh / Sinh viên",IF(G518&lt;60,"Đang đi làm","Nghỉ hưu")))))</f>
        <v>Học sinh / Sinh viên</v>
      </c>
      <c r="I518" s="6"/>
      <c r="J518" s="11" t="str">
        <f aca="false">IF(B518="","",IFERROR(INDEX('Hộ gia đình'!$B$2:$B$2000,MATCH(B518,'Hộ gia đình'!$A$2:$A$2000,0)),"Mã hộ không tồn tại"))</f>
        <v>305 E4 Bách Khoa</v>
      </c>
      <c r="K518" s="14"/>
      <c r="L518" s="14"/>
      <c r="M518" s="6"/>
      <c r="N518" s="6" t="s">
        <v>395</v>
      </c>
      <c r="O518" s="6" t="s">
        <v>389</v>
      </c>
      <c r="P518" s="6"/>
      <c r="Q518" s="6" t="s">
        <v>403</v>
      </c>
      <c r="R518" s="12"/>
    </row>
    <row r="519" customFormat="false" ht="15" hidden="false" customHeight="true" outlineLevel="0" collapsed="false">
      <c r="A519" s="6" t="s">
        <v>1806</v>
      </c>
      <c r="B519" s="6" t="s">
        <v>278</v>
      </c>
      <c r="C519" s="6" t="s">
        <v>1807</v>
      </c>
      <c r="D519" s="6" t="s">
        <v>408</v>
      </c>
      <c r="E519" s="13" t="n">
        <v>14612</v>
      </c>
      <c r="F519" s="6" t="n">
        <v>1940</v>
      </c>
      <c r="G519" s="11" t="n">
        <f aca="true">IF(F519="","",YEAR(TODAY())-F519)</f>
        <v>86</v>
      </c>
      <c r="H519" s="11" t="str">
        <f aca="false">IF(C519="","",IF(G519="","Thiếu thông tin",IF(G519&lt;6,"Trẻ em",IF(G519&lt;23,"Học sinh / Sinh viên",IF(G519&lt;60,"Đang đi làm","Nghỉ hưu")))))</f>
        <v>Nghỉ hưu</v>
      </c>
      <c r="I519" s="6" t="s">
        <v>52</v>
      </c>
      <c r="J519" s="11" t="str">
        <f aca="false">IF(B519="","",IFERROR(INDEX('Hộ gia đình'!$B$2:$B$2000,MATCH(B519,'Hộ gia đình'!$A$2:$A$2000,0)),"Mã hộ không tồn tại"))</f>
        <v>306 E4 Bách Khoa</v>
      </c>
      <c r="K519" s="14" t="s">
        <v>1808</v>
      </c>
      <c r="L519" s="14"/>
      <c r="M519" s="6" t="s">
        <v>451</v>
      </c>
      <c r="N519" s="6" t="s">
        <v>388</v>
      </c>
      <c r="O519" s="6" t="s">
        <v>389</v>
      </c>
      <c r="P519" s="6"/>
      <c r="Q519" s="6" t="s">
        <v>391</v>
      </c>
      <c r="R519" s="12"/>
    </row>
    <row r="520" customFormat="false" ht="15" hidden="false" customHeight="true" outlineLevel="0" collapsed="false">
      <c r="A520" s="6" t="s">
        <v>1809</v>
      </c>
      <c r="B520" s="6" t="s">
        <v>278</v>
      </c>
      <c r="C520" s="6" t="s">
        <v>1810</v>
      </c>
      <c r="D520" s="6"/>
      <c r="E520" s="13" t="n">
        <v>18143</v>
      </c>
      <c r="F520" s="6" t="n">
        <v>1949</v>
      </c>
      <c r="G520" s="11" t="n">
        <f aca="true">IF(F520="","",YEAR(TODAY())-F520)</f>
        <v>77</v>
      </c>
      <c r="H520" s="11" t="str">
        <f aca="false">IF(C520="","",IF(G520="","Thiếu thông tin",IF(G520&lt;6,"Trẻ em",IF(G520&lt;23,"Học sinh / Sinh viên",IF(G520&lt;60,"Đang đi làm","Nghỉ hưu")))))</f>
        <v>Nghỉ hưu</v>
      </c>
      <c r="I520" s="6"/>
      <c r="J520" s="11" t="str">
        <f aca="false">IF(B520="","",IFERROR(INDEX('Hộ gia đình'!$B$2:$B$2000,MATCH(B520,'Hộ gia đình'!$A$2:$A$2000,0)),"Mã hộ không tồn tại"))</f>
        <v>306 E4 Bách Khoa</v>
      </c>
      <c r="K520" s="14"/>
      <c r="L520" s="14"/>
      <c r="M520" s="6"/>
      <c r="N520" s="6" t="s">
        <v>395</v>
      </c>
      <c r="O520" s="6" t="s">
        <v>389</v>
      </c>
      <c r="P520" s="6"/>
      <c r="Q520" s="6" t="s">
        <v>396</v>
      </c>
      <c r="R520" s="12"/>
    </row>
    <row r="521" customFormat="false" ht="15" hidden="false" customHeight="true" outlineLevel="0" collapsed="false">
      <c r="A521" s="6" t="s">
        <v>1811</v>
      </c>
      <c r="B521" s="6" t="s">
        <v>280</v>
      </c>
      <c r="C521" s="6" t="s">
        <v>1812</v>
      </c>
      <c r="D521" s="6" t="s">
        <v>385</v>
      </c>
      <c r="E521" s="13" t="n">
        <v>28799</v>
      </c>
      <c r="F521" s="6" t="n">
        <v>1978</v>
      </c>
      <c r="G521" s="11" t="n">
        <f aca="true">IF(F521="","",YEAR(TODAY())-F521)</f>
        <v>48</v>
      </c>
      <c r="H521" s="11" t="str">
        <f aca="false">IF(C521="","",IF(G521="","Thiếu thông tin",IF(G521&lt;6,"Trẻ em",IF(G521&lt;23,"Học sinh / Sinh viên",IF(G521&lt;60,"Đang đi làm","Nghỉ hưu")))))</f>
        <v>Đang đi làm</v>
      </c>
      <c r="I521" s="6" t="s">
        <v>52</v>
      </c>
      <c r="J521" s="11" t="str">
        <f aca="false">IF(B521="","",IFERROR(INDEX('Hộ gia đình'!$B$2:$B$2000,MATCH(B521,'Hộ gia đình'!$A$2:$A$2000,0)),"Mã hộ không tồn tại"))</f>
        <v>307 E4 Bách Khoa</v>
      </c>
      <c r="K521" s="14" t="s">
        <v>1813</v>
      </c>
      <c r="L521" s="14"/>
      <c r="M521" s="6" t="s">
        <v>459</v>
      </c>
      <c r="N521" s="6" t="s">
        <v>388</v>
      </c>
      <c r="O521" s="6" t="s">
        <v>389</v>
      </c>
      <c r="P521" s="6"/>
      <c r="Q521" s="6" t="s">
        <v>391</v>
      </c>
      <c r="R521" s="12"/>
    </row>
    <row r="522" customFormat="false" ht="15" hidden="false" customHeight="true" outlineLevel="0" collapsed="false">
      <c r="A522" s="6" t="s">
        <v>1814</v>
      </c>
      <c r="B522" s="6" t="s">
        <v>280</v>
      </c>
      <c r="C522" s="6" t="s">
        <v>1815</v>
      </c>
      <c r="D522" s="6" t="s">
        <v>408</v>
      </c>
      <c r="E522" s="13" t="n">
        <v>31480</v>
      </c>
      <c r="F522" s="6" t="n">
        <v>1986</v>
      </c>
      <c r="G522" s="11" t="n">
        <f aca="true">IF(F522="","",YEAR(TODAY())-F522)</f>
        <v>40</v>
      </c>
      <c r="H522" s="11" t="str">
        <f aca="false">IF(C522="","",IF(G522="","Thiếu thông tin",IF(G522&lt;6,"Trẻ em",IF(G522&lt;23,"Học sinh / Sinh viên",IF(G522&lt;60,"Đang đi làm","Nghỉ hưu")))))</f>
        <v>Đang đi làm</v>
      </c>
      <c r="I522" s="6"/>
      <c r="J522" s="11" t="str">
        <f aca="false">IF(B522="","",IFERROR(INDEX('Hộ gia đình'!$B$2:$B$2000,MATCH(B522,'Hộ gia đình'!$A$2:$A$2000,0)),"Mã hộ không tồn tại"))</f>
        <v>307 E4 Bách Khoa</v>
      </c>
      <c r="K522" s="14" t="s">
        <v>1816</v>
      </c>
      <c r="L522" s="14"/>
      <c r="M522" s="6" t="s">
        <v>459</v>
      </c>
      <c r="N522" s="6" t="s">
        <v>388</v>
      </c>
      <c r="O522" s="6" t="s">
        <v>389</v>
      </c>
      <c r="P522" s="6"/>
      <c r="Q522" s="6" t="s">
        <v>391</v>
      </c>
      <c r="R522" s="12"/>
    </row>
    <row r="523" customFormat="false" ht="15" hidden="false" customHeight="true" outlineLevel="0" collapsed="false">
      <c r="A523" s="6" t="s">
        <v>1817</v>
      </c>
      <c r="B523" s="6" t="s">
        <v>280</v>
      </c>
      <c r="C523" s="6" t="s">
        <v>1818</v>
      </c>
      <c r="D523" s="6" t="s">
        <v>408</v>
      </c>
      <c r="E523" s="13" t="n">
        <v>37941</v>
      </c>
      <c r="F523" s="6" t="n">
        <v>2003</v>
      </c>
      <c r="G523" s="11" t="n">
        <f aca="true">IF(F523="","",YEAR(TODAY())-F523)</f>
        <v>23</v>
      </c>
      <c r="H523" s="11" t="str">
        <f aca="false">IF(C523="","",IF(G523="","Thiếu thông tin",IF(G523&lt;6,"Trẻ em",IF(G523&lt;23,"Học sinh / Sinh viên",IF(G523&lt;60,"Đang đi làm","Nghỉ hưu")))))</f>
        <v>Đang đi làm</v>
      </c>
      <c r="I523" s="6"/>
      <c r="J523" s="11" t="str">
        <f aca="false">IF(B523="","",IFERROR(INDEX('Hộ gia đình'!$B$2:$B$2000,MATCH(B523,'Hộ gia đình'!$A$2:$A$2000,0)),"Mã hộ không tồn tại"))</f>
        <v>307 E4 Bách Khoa</v>
      </c>
      <c r="K523" s="14" t="s">
        <v>1819</v>
      </c>
      <c r="L523" s="14"/>
      <c r="M523" s="6" t="s">
        <v>422</v>
      </c>
      <c r="N523" s="6" t="s">
        <v>388</v>
      </c>
      <c r="O523" s="6" t="s">
        <v>389</v>
      </c>
      <c r="P523" s="6"/>
      <c r="Q523" s="6" t="s">
        <v>583</v>
      </c>
      <c r="R523" s="12"/>
    </row>
    <row r="524" customFormat="false" ht="15" hidden="false" customHeight="true" outlineLevel="0" collapsed="false">
      <c r="A524" s="6" t="s">
        <v>1820</v>
      </c>
      <c r="B524" s="6" t="s">
        <v>282</v>
      </c>
      <c r="C524" s="6" t="s">
        <v>1821</v>
      </c>
      <c r="D524" s="6" t="s">
        <v>408</v>
      </c>
      <c r="E524" s="13" t="n">
        <v>29263</v>
      </c>
      <c r="F524" s="6" t="n">
        <v>1980</v>
      </c>
      <c r="G524" s="11" t="n">
        <f aca="true">IF(F524="","",YEAR(TODAY())-F524)</f>
        <v>46</v>
      </c>
      <c r="H524" s="11" t="str">
        <f aca="false">IF(C524="","",IF(G524="","Thiếu thông tin",IF(G524&lt;6,"Trẻ em",IF(G524&lt;23,"Học sinh / Sinh viên",IF(G524&lt;60,"Đang đi làm","Nghỉ hưu")))))</f>
        <v>Đang đi làm</v>
      </c>
      <c r="I524" s="6" t="s">
        <v>52</v>
      </c>
      <c r="J524" s="11" t="str">
        <f aca="false">IF(B524="","",IFERROR(INDEX('Hộ gia đình'!$B$2:$B$2000,MATCH(B524,'Hộ gia đình'!$A$2:$A$2000,0)),"Mã hộ không tồn tại"))</f>
        <v>309 E4 Bách Khoa</v>
      </c>
      <c r="K524" s="14" t="s">
        <v>1822</v>
      </c>
      <c r="L524" s="14"/>
      <c r="M524" s="6" t="s">
        <v>459</v>
      </c>
      <c r="N524" s="6" t="s">
        <v>388</v>
      </c>
      <c r="O524" s="6" t="s">
        <v>389</v>
      </c>
      <c r="P524" s="6"/>
      <c r="Q524" s="6" t="s">
        <v>391</v>
      </c>
      <c r="R524" s="12"/>
    </row>
    <row r="525" customFormat="false" ht="15" hidden="false" customHeight="true" outlineLevel="0" collapsed="false">
      <c r="A525" s="6" t="s">
        <v>1823</v>
      </c>
      <c r="B525" s="6" t="s">
        <v>282</v>
      </c>
      <c r="C525" s="6" t="s">
        <v>1824</v>
      </c>
      <c r="D525" s="6" t="s">
        <v>385</v>
      </c>
      <c r="E525" s="13" t="n">
        <v>30929</v>
      </c>
      <c r="F525" s="6" t="n">
        <v>1984</v>
      </c>
      <c r="G525" s="11" t="n">
        <f aca="true">IF(F525="","",YEAR(TODAY())-F525)</f>
        <v>42</v>
      </c>
      <c r="H525" s="11" t="str">
        <f aca="false">IF(C525="","",IF(G525="","Thiếu thông tin",IF(G525&lt;6,"Trẻ em",IF(G525&lt;23,"Học sinh / Sinh viên",IF(G525&lt;60,"Đang đi làm","Nghỉ hưu")))))</f>
        <v>Đang đi làm</v>
      </c>
      <c r="I525" s="6"/>
      <c r="J525" s="11" t="str">
        <f aca="false">IF(B525="","",IFERROR(INDEX('Hộ gia đình'!$B$2:$B$2000,MATCH(B525,'Hộ gia đình'!$A$2:$A$2000,0)),"Mã hộ không tồn tại"))</f>
        <v>309 E4 Bách Khoa</v>
      </c>
      <c r="K525" s="14" t="s">
        <v>1825</v>
      </c>
      <c r="L525" s="14"/>
      <c r="M525" s="6" t="s">
        <v>459</v>
      </c>
      <c r="N525" s="6" t="s">
        <v>388</v>
      </c>
      <c r="O525" s="6" t="s">
        <v>389</v>
      </c>
      <c r="P525" s="6"/>
      <c r="Q525" s="6" t="s">
        <v>391</v>
      </c>
      <c r="R525" s="12"/>
    </row>
    <row r="526" customFormat="false" ht="15" hidden="false" customHeight="true" outlineLevel="0" collapsed="false">
      <c r="A526" s="6" t="s">
        <v>1826</v>
      </c>
      <c r="B526" s="6" t="s">
        <v>282</v>
      </c>
      <c r="C526" s="6" t="s">
        <v>1827</v>
      </c>
      <c r="D526" s="6"/>
      <c r="E526" s="13"/>
      <c r="F526" s="6" t="n">
        <v>2009</v>
      </c>
      <c r="G526" s="11" t="n">
        <f aca="true">IF(F526="","",YEAR(TODAY())-F526)</f>
        <v>17</v>
      </c>
      <c r="H526" s="11" t="str">
        <f aca="false">IF(C526="","",IF(G526="","Thiếu thông tin",IF(G526&lt;6,"Trẻ em",IF(G526&lt;23,"Học sinh / Sinh viên",IF(G526&lt;60,"Đang đi làm","Nghỉ hưu")))))</f>
        <v>Học sinh / Sinh viên</v>
      </c>
      <c r="I526" s="6"/>
      <c r="J526" s="11" t="str">
        <f aca="false">IF(B526="","",IFERROR(INDEX('Hộ gia đình'!$B$2:$B$2000,MATCH(B526,'Hộ gia đình'!$A$2:$A$2000,0)),"Mã hộ không tồn tại"))</f>
        <v>309 E4 Bách Khoa</v>
      </c>
      <c r="K526" s="14"/>
      <c r="L526" s="14"/>
      <c r="M526" s="6"/>
      <c r="N526" s="6" t="s">
        <v>395</v>
      </c>
      <c r="O526" s="6" t="s">
        <v>389</v>
      </c>
      <c r="P526" s="6"/>
      <c r="Q526" s="6" t="s">
        <v>403</v>
      </c>
      <c r="R526" s="12"/>
    </row>
    <row r="527" customFormat="false" ht="15" hidden="false" customHeight="true" outlineLevel="0" collapsed="false">
      <c r="A527" s="6" t="s">
        <v>1828</v>
      </c>
      <c r="B527" s="6" t="s">
        <v>282</v>
      </c>
      <c r="C527" s="6" t="s">
        <v>1829</v>
      </c>
      <c r="D527" s="6"/>
      <c r="E527" s="13"/>
      <c r="F527" s="6" t="n">
        <v>2012</v>
      </c>
      <c r="G527" s="11" t="n">
        <f aca="true">IF(F527="","",YEAR(TODAY())-F527)</f>
        <v>14</v>
      </c>
      <c r="H527" s="11" t="str">
        <f aca="false">IF(C527="","",IF(G527="","Thiếu thông tin",IF(G527&lt;6,"Trẻ em",IF(G527&lt;23,"Học sinh / Sinh viên",IF(G527&lt;60,"Đang đi làm","Nghỉ hưu")))))</f>
        <v>Học sinh / Sinh viên</v>
      </c>
      <c r="I527" s="6"/>
      <c r="J527" s="11" t="str">
        <f aca="false">IF(B527="","",IFERROR(INDEX('Hộ gia đình'!$B$2:$B$2000,MATCH(B527,'Hộ gia đình'!$A$2:$A$2000,0)),"Mã hộ không tồn tại"))</f>
        <v>309 E4 Bách Khoa</v>
      </c>
      <c r="K527" s="14"/>
      <c r="L527" s="14"/>
      <c r="M527" s="6"/>
      <c r="N527" s="6" t="s">
        <v>395</v>
      </c>
      <c r="O527" s="6" t="s">
        <v>389</v>
      </c>
      <c r="P527" s="6"/>
      <c r="Q527" s="6" t="s">
        <v>403</v>
      </c>
      <c r="R527" s="12"/>
    </row>
    <row r="528" customFormat="false" ht="15" hidden="false" customHeight="true" outlineLevel="0" collapsed="false">
      <c r="A528" s="6" t="s">
        <v>1830</v>
      </c>
      <c r="B528" s="6" t="s">
        <v>284</v>
      </c>
      <c r="C528" s="6" t="s">
        <v>1831</v>
      </c>
      <c r="D528" s="6"/>
      <c r="E528" s="13"/>
      <c r="F528" s="6" t="n">
        <v>1988</v>
      </c>
      <c r="G528" s="11" t="n">
        <f aca="true">IF(F528="","",YEAR(TODAY())-F528)</f>
        <v>38</v>
      </c>
      <c r="H528" s="11" t="str">
        <f aca="false">IF(C528="","",IF(G528="","Thiếu thông tin",IF(G528&lt;6,"Trẻ em",IF(G528&lt;23,"Học sinh / Sinh viên",IF(G528&lt;60,"Đang đi làm","Nghỉ hưu")))))</f>
        <v>Đang đi làm</v>
      </c>
      <c r="I528" s="6" t="s">
        <v>52</v>
      </c>
      <c r="J528" s="11" t="str">
        <f aca="false">IF(B528="","",IFERROR(INDEX('Hộ gia đình'!$B$2:$B$2000,MATCH(B528,'Hộ gia đình'!$A$2:$A$2000,0)),"Mã hộ không tồn tại"))</f>
        <v>310 E4 Bách Khoa</v>
      </c>
      <c r="K528" s="14"/>
      <c r="L528" s="14"/>
      <c r="M528" s="6"/>
      <c r="N528" s="6" t="s">
        <v>395</v>
      </c>
      <c r="O528" s="6" t="s">
        <v>389</v>
      </c>
      <c r="P528" s="6"/>
      <c r="Q528" s="6" t="s">
        <v>396</v>
      </c>
      <c r="R528" s="12"/>
    </row>
    <row r="529" customFormat="false" ht="15" hidden="false" customHeight="true" outlineLevel="0" collapsed="false">
      <c r="A529" s="6" t="s">
        <v>1832</v>
      </c>
      <c r="B529" s="6" t="s">
        <v>284</v>
      </c>
      <c r="C529" s="6" t="s">
        <v>1833</v>
      </c>
      <c r="D529" s="6"/>
      <c r="E529" s="13"/>
      <c r="F529" s="6" t="n">
        <v>1982</v>
      </c>
      <c r="G529" s="11" t="n">
        <f aca="true">IF(F529="","",YEAR(TODAY())-F529)</f>
        <v>44</v>
      </c>
      <c r="H529" s="11" t="str">
        <f aca="false">IF(C529="","",IF(G529="","Thiếu thông tin",IF(G529&lt;6,"Trẻ em",IF(G529&lt;23,"Học sinh / Sinh viên",IF(G529&lt;60,"Đang đi làm","Nghỉ hưu")))))</f>
        <v>Đang đi làm</v>
      </c>
      <c r="I529" s="6"/>
      <c r="J529" s="11" t="str">
        <f aca="false">IF(B529="","",IFERROR(INDEX('Hộ gia đình'!$B$2:$B$2000,MATCH(B529,'Hộ gia đình'!$A$2:$A$2000,0)),"Mã hộ không tồn tại"))</f>
        <v>310 E4 Bách Khoa</v>
      </c>
      <c r="K529" s="14"/>
      <c r="L529" s="14"/>
      <c r="M529" s="6"/>
      <c r="N529" s="6" t="s">
        <v>395</v>
      </c>
      <c r="O529" s="6" t="s">
        <v>389</v>
      </c>
      <c r="P529" s="6"/>
      <c r="Q529" s="6" t="s">
        <v>396</v>
      </c>
      <c r="R529" s="12"/>
    </row>
    <row r="530" customFormat="false" ht="15" hidden="false" customHeight="true" outlineLevel="0" collapsed="false">
      <c r="A530" s="6" t="s">
        <v>1834</v>
      </c>
      <c r="B530" s="6" t="s">
        <v>284</v>
      </c>
      <c r="C530" s="6" t="s">
        <v>1835</v>
      </c>
      <c r="D530" s="6"/>
      <c r="E530" s="13"/>
      <c r="F530" s="6" t="n">
        <v>2019</v>
      </c>
      <c r="G530" s="11" t="n">
        <f aca="true">IF(F530="","",YEAR(TODAY())-F530)</f>
        <v>7</v>
      </c>
      <c r="H530" s="11" t="str">
        <f aca="false">IF(C530="","",IF(G530="","Thiếu thông tin",IF(G530&lt;6,"Trẻ em",IF(G530&lt;23,"Học sinh / Sinh viên",IF(G530&lt;60,"Đang đi làm","Nghỉ hưu")))))</f>
        <v>Học sinh / Sinh viên</v>
      </c>
      <c r="I530" s="6"/>
      <c r="J530" s="11" t="str">
        <f aca="false">IF(B530="","",IFERROR(INDEX('Hộ gia đình'!$B$2:$B$2000,MATCH(B530,'Hộ gia đình'!$A$2:$A$2000,0)),"Mã hộ không tồn tại"))</f>
        <v>310 E4 Bách Khoa</v>
      </c>
      <c r="K530" s="14"/>
      <c r="L530" s="14"/>
      <c r="M530" s="6"/>
      <c r="N530" s="6" t="s">
        <v>395</v>
      </c>
      <c r="O530" s="6" t="s">
        <v>389</v>
      </c>
      <c r="P530" s="6"/>
      <c r="Q530" s="6" t="s">
        <v>403</v>
      </c>
      <c r="R530" s="12"/>
    </row>
    <row r="531" customFormat="false" ht="15" hidden="false" customHeight="true" outlineLevel="0" collapsed="false">
      <c r="A531" s="6" t="s">
        <v>1836</v>
      </c>
      <c r="B531" s="6" t="s">
        <v>286</v>
      </c>
      <c r="C531" s="6" t="s">
        <v>1837</v>
      </c>
      <c r="D531" s="6" t="s">
        <v>408</v>
      </c>
      <c r="E531" s="13" t="n">
        <v>35590</v>
      </c>
      <c r="F531" s="6" t="n">
        <v>1997</v>
      </c>
      <c r="G531" s="11" t="n">
        <f aca="true">IF(F531="","",YEAR(TODAY())-F531)</f>
        <v>29</v>
      </c>
      <c r="H531" s="11" t="str">
        <f aca="false">IF(C531="","",IF(G531="","Thiếu thông tin",IF(G531&lt;6,"Trẻ em",IF(G531&lt;23,"Học sinh / Sinh viên",IF(G531&lt;60,"Đang đi làm","Nghỉ hưu")))))</f>
        <v>Đang đi làm</v>
      </c>
      <c r="I531" s="6" t="s">
        <v>52</v>
      </c>
      <c r="J531" s="11" t="str">
        <f aca="false">IF(B531="","",IFERROR(INDEX('Hộ gia đình'!$B$2:$B$2000,MATCH(B531,'Hộ gia đình'!$A$2:$A$2000,0)),"Mã hộ không tồn tại"))</f>
        <v>311 E4 Bách Khoa</v>
      </c>
      <c r="K531" s="14" t="s">
        <v>1838</v>
      </c>
      <c r="L531" s="14"/>
      <c r="M531" s="6" t="s">
        <v>459</v>
      </c>
      <c r="N531" s="6" t="s">
        <v>388</v>
      </c>
      <c r="O531" s="6" t="s">
        <v>389</v>
      </c>
      <c r="P531" s="6"/>
      <c r="Q531" s="6" t="s">
        <v>583</v>
      </c>
      <c r="R531" s="12"/>
    </row>
    <row r="532" customFormat="false" ht="15" hidden="false" customHeight="true" outlineLevel="0" collapsed="false">
      <c r="A532" s="6" t="s">
        <v>1839</v>
      </c>
      <c r="B532" s="6" t="s">
        <v>286</v>
      </c>
      <c r="C532" s="6" t="s">
        <v>1840</v>
      </c>
      <c r="D532" s="6" t="s">
        <v>408</v>
      </c>
      <c r="E532" s="13" t="n">
        <v>36350</v>
      </c>
      <c r="F532" s="6" t="n">
        <v>1999</v>
      </c>
      <c r="G532" s="11" t="n">
        <f aca="true">IF(F532="","",YEAR(TODAY())-F532)</f>
        <v>27</v>
      </c>
      <c r="H532" s="11" t="str">
        <f aca="false">IF(C532="","",IF(G532="","Thiếu thông tin",IF(G532&lt;6,"Trẻ em",IF(G532&lt;23,"Học sinh / Sinh viên",IF(G532&lt;60,"Đang đi làm","Nghỉ hưu")))))</f>
        <v>Đang đi làm</v>
      </c>
      <c r="I532" s="6"/>
      <c r="J532" s="11" t="str">
        <f aca="false">IF(B532="","",IFERROR(INDEX('Hộ gia đình'!$B$2:$B$2000,MATCH(B532,'Hộ gia đình'!$A$2:$A$2000,0)),"Mã hộ không tồn tại"))</f>
        <v>311 E4 Bách Khoa</v>
      </c>
      <c r="K532" s="14" t="s">
        <v>1841</v>
      </c>
      <c r="L532" s="14"/>
      <c r="M532" s="6" t="s">
        <v>459</v>
      </c>
      <c r="N532" s="6" t="s">
        <v>388</v>
      </c>
      <c r="O532" s="6" t="s">
        <v>389</v>
      </c>
      <c r="P532" s="6"/>
      <c r="Q532" s="6" t="s">
        <v>583</v>
      </c>
      <c r="R532" s="12" t="s">
        <v>1842</v>
      </c>
    </row>
    <row r="533" customFormat="false" ht="15" hidden="false" customHeight="true" outlineLevel="0" collapsed="false">
      <c r="A533" s="6" t="s">
        <v>1843</v>
      </c>
      <c r="B533" s="6" t="s">
        <v>288</v>
      </c>
      <c r="C533" s="6" t="s">
        <v>1844</v>
      </c>
      <c r="D533" s="6" t="s">
        <v>408</v>
      </c>
      <c r="E533" s="13"/>
      <c r="F533" s="6" t="n">
        <v>1964</v>
      </c>
      <c r="G533" s="11" t="n">
        <f aca="true">IF(F533="","",YEAR(TODAY())-F533)</f>
        <v>62</v>
      </c>
      <c r="H533" s="11" t="str">
        <f aca="false">IF(C533="","",IF(G533="","Thiếu thông tin",IF(G533&lt;6,"Trẻ em",IF(G533&lt;23,"Học sinh / Sinh viên",IF(G533&lt;60,"Đang đi làm","Nghỉ hưu")))))</f>
        <v>Nghỉ hưu</v>
      </c>
      <c r="I533" s="6" t="s">
        <v>52</v>
      </c>
      <c r="J533" s="11" t="str">
        <f aca="false">IF(B533="","",IFERROR(INDEX('Hộ gia đình'!$B$2:$B$2000,MATCH(B533,'Hộ gia đình'!$A$2:$A$2000,0)),"Mã hộ không tồn tại"))</f>
        <v>312 E4 Bách Khoa</v>
      </c>
      <c r="K533" s="14"/>
      <c r="L533" s="14"/>
      <c r="M533" s="6"/>
      <c r="N533" s="6" t="s">
        <v>395</v>
      </c>
      <c r="O533" s="6" t="s">
        <v>389</v>
      </c>
      <c r="P533" s="6" t="s">
        <v>1845</v>
      </c>
      <c r="Q533" s="6" t="s">
        <v>396</v>
      </c>
      <c r="R533" s="12"/>
    </row>
    <row r="534" customFormat="false" ht="15" hidden="false" customHeight="true" outlineLevel="0" collapsed="false">
      <c r="A534" s="6" t="s">
        <v>1846</v>
      </c>
      <c r="B534" s="6" t="s">
        <v>288</v>
      </c>
      <c r="C534" s="6" t="s">
        <v>1847</v>
      </c>
      <c r="D534" s="6" t="s">
        <v>385</v>
      </c>
      <c r="E534" s="13"/>
      <c r="F534" s="6" t="n">
        <v>1973</v>
      </c>
      <c r="G534" s="11" t="n">
        <f aca="true">IF(F534="","",YEAR(TODAY())-F534)</f>
        <v>53</v>
      </c>
      <c r="H534" s="11" t="str">
        <f aca="false">IF(C534="","",IF(G534="","Thiếu thông tin",IF(G534&lt;6,"Trẻ em",IF(G534&lt;23,"Học sinh / Sinh viên",IF(G534&lt;60,"Đang đi làm","Nghỉ hưu")))))</f>
        <v>Đang đi làm</v>
      </c>
      <c r="I534" s="6"/>
      <c r="J534" s="11" t="str">
        <f aca="false">IF(B534="","",IFERROR(INDEX('Hộ gia đình'!$B$2:$B$2000,MATCH(B534,'Hộ gia đình'!$A$2:$A$2000,0)),"Mã hộ không tồn tại"))</f>
        <v>312 E4 Bách Khoa</v>
      </c>
      <c r="K534" s="14"/>
      <c r="L534" s="14"/>
      <c r="M534" s="6"/>
      <c r="N534" s="6" t="s">
        <v>395</v>
      </c>
      <c r="O534" s="6" t="s">
        <v>389</v>
      </c>
      <c r="P534" s="6"/>
      <c r="Q534" s="6" t="s">
        <v>396</v>
      </c>
      <c r="R534" s="12"/>
    </row>
    <row r="535" customFormat="false" ht="15" hidden="false" customHeight="true" outlineLevel="0" collapsed="false">
      <c r="A535" s="6" t="s">
        <v>1848</v>
      </c>
      <c r="B535" s="6" t="s">
        <v>288</v>
      </c>
      <c r="C535" s="6" t="s">
        <v>1849</v>
      </c>
      <c r="D535" s="6" t="s">
        <v>385</v>
      </c>
      <c r="E535" s="13"/>
      <c r="F535" s="6" t="n">
        <v>1996</v>
      </c>
      <c r="G535" s="11" t="n">
        <f aca="true">IF(F535="","",YEAR(TODAY())-F535)</f>
        <v>30</v>
      </c>
      <c r="H535" s="11" t="str">
        <f aca="false">IF(C535="","",IF(G535="","Thiếu thông tin",IF(G535&lt;6,"Trẻ em",IF(G535&lt;23,"Học sinh / Sinh viên",IF(G535&lt;60,"Đang đi làm","Nghỉ hưu")))))</f>
        <v>Đang đi làm</v>
      </c>
      <c r="I535" s="6"/>
      <c r="J535" s="11" t="str">
        <f aca="false">IF(B535="","",IFERROR(INDEX('Hộ gia đình'!$B$2:$B$2000,MATCH(B535,'Hộ gia đình'!$A$2:$A$2000,0)),"Mã hộ không tồn tại"))</f>
        <v>312 E4 Bách Khoa</v>
      </c>
      <c r="K535" s="14"/>
      <c r="L535" s="14"/>
      <c r="M535" s="6"/>
      <c r="N535" s="6" t="s">
        <v>395</v>
      </c>
      <c r="O535" s="6" t="s">
        <v>389</v>
      </c>
      <c r="P535" s="6"/>
      <c r="Q535" s="6" t="s">
        <v>403</v>
      </c>
      <c r="R535" s="12"/>
    </row>
    <row r="536" customFormat="false" ht="15" hidden="false" customHeight="true" outlineLevel="0" collapsed="false">
      <c r="A536" s="6" t="s">
        <v>1850</v>
      </c>
      <c r="B536" s="6" t="s">
        <v>288</v>
      </c>
      <c r="C536" s="6" t="s">
        <v>1851</v>
      </c>
      <c r="D536" s="6" t="s">
        <v>385</v>
      </c>
      <c r="E536" s="13"/>
      <c r="F536" s="6" t="n">
        <v>2001</v>
      </c>
      <c r="G536" s="11" t="n">
        <f aca="true">IF(F536="","",YEAR(TODAY())-F536)</f>
        <v>25</v>
      </c>
      <c r="H536" s="11" t="str">
        <f aca="false">IF(C536="","",IF(G536="","Thiếu thông tin",IF(G536&lt;6,"Trẻ em",IF(G536&lt;23,"Học sinh / Sinh viên",IF(G536&lt;60,"Đang đi làm","Nghỉ hưu")))))</f>
        <v>Đang đi làm</v>
      </c>
      <c r="I536" s="6"/>
      <c r="J536" s="11" t="str">
        <f aca="false">IF(B536="","",IFERROR(INDEX('Hộ gia đình'!$B$2:$B$2000,MATCH(B536,'Hộ gia đình'!$A$2:$A$2000,0)),"Mã hộ không tồn tại"))</f>
        <v>312 E4 Bách Khoa</v>
      </c>
      <c r="K536" s="14"/>
      <c r="L536" s="14"/>
      <c r="M536" s="6"/>
      <c r="N536" s="6" t="s">
        <v>395</v>
      </c>
      <c r="O536" s="6" t="s">
        <v>389</v>
      </c>
      <c r="P536" s="6"/>
      <c r="Q536" s="6" t="s">
        <v>403</v>
      </c>
      <c r="R536" s="12"/>
    </row>
    <row r="537" customFormat="false" ht="15" hidden="false" customHeight="true" outlineLevel="0" collapsed="false">
      <c r="A537" s="6" t="s">
        <v>1852</v>
      </c>
      <c r="B537" s="6" t="s">
        <v>288</v>
      </c>
      <c r="C537" s="6" t="s">
        <v>1853</v>
      </c>
      <c r="D537" s="6" t="s">
        <v>408</v>
      </c>
      <c r="E537" s="13"/>
      <c r="F537" s="6" t="n">
        <v>2005</v>
      </c>
      <c r="G537" s="11" t="n">
        <f aca="true">IF(F537="","",YEAR(TODAY())-F537)</f>
        <v>21</v>
      </c>
      <c r="H537" s="11" t="str">
        <f aca="false">IF(C537="","",IF(G537="","Thiếu thông tin",IF(G537&lt;6,"Trẻ em",IF(G537&lt;23,"Học sinh / Sinh viên",IF(G537&lt;60,"Đang đi làm","Nghỉ hưu")))))</f>
        <v>Học sinh / Sinh viên</v>
      </c>
      <c r="I537" s="6"/>
      <c r="J537" s="11" t="str">
        <f aca="false">IF(B537="","",IFERROR(INDEX('Hộ gia đình'!$B$2:$B$2000,MATCH(B537,'Hộ gia đình'!$A$2:$A$2000,0)),"Mã hộ không tồn tại"))</f>
        <v>312 E4 Bách Khoa</v>
      </c>
      <c r="K537" s="14"/>
      <c r="L537" s="14"/>
      <c r="M537" s="6"/>
      <c r="N537" s="6" t="s">
        <v>395</v>
      </c>
      <c r="O537" s="6" t="s">
        <v>389</v>
      </c>
      <c r="P537" s="6"/>
      <c r="Q537" s="6" t="s">
        <v>403</v>
      </c>
      <c r="R537" s="12"/>
    </row>
    <row r="538" customFormat="false" ht="15" hidden="false" customHeight="true" outlineLevel="0" collapsed="false">
      <c r="A538" s="6" t="s">
        <v>1854</v>
      </c>
      <c r="B538" s="6" t="s">
        <v>288</v>
      </c>
      <c r="C538" s="6" t="s">
        <v>1608</v>
      </c>
      <c r="D538" s="6" t="s">
        <v>385</v>
      </c>
      <c r="E538" s="13" t="n">
        <v>28967</v>
      </c>
      <c r="F538" s="6" t="n">
        <v>1979</v>
      </c>
      <c r="G538" s="11" t="n">
        <f aca="true">IF(F538="","",YEAR(TODAY())-F538)</f>
        <v>47</v>
      </c>
      <c r="H538" s="11" t="str">
        <f aca="false">IF(C538="","",IF(G538="","Thiếu thông tin",IF(G538&lt;6,"Trẻ em",IF(G538&lt;23,"Học sinh / Sinh viên",IF(G538&lt;60,"Đang đi làm","Nghỉ hưu")))))</f>
        <v>Đang đi làm</v>
      </c>
      <c r="I538" s="6"/>
      <c r="J538" s="11" t="str">
        <f aca="false">IF(B538="","",IFERROR(INDEX('Hộ gia đình'!$B$2:$B$2000,MATCH(B538,'Hộ gia đình'!$A$2:$A$2000,0)),"Mã hộ không tồn tại"))</f>
        <v>312 E4 Bách Khoa</v>
      </c>
      <c r="K538" s="14" t="s">
        <v>1855</v>
      </c>
      <c r="L538" s="14"/>
      <c r="M538" s="6" t="s">
        <v>459</v>
      </c>
      <c r="N538" s="6" t="s">
        <v>388</v>
      </c>
      <c r="O538" s="6" t="s">
        <v>389</v>
      </c>
      <c r="P538" s="6"/>
      <c r="Q538" s="6" t="s">
        <v>410</v>
      </c>
      <c r="R538" s="12"/>
    </row>
    <row r="539" customFormat="false" ht="15" hidden="false" customHeight="true" outlineLevel="0" collapsed="false">
      <c r="A539" s="6" t="s">
        <v>1856</v>
      </c>
      <c r="B539" s="6" t="s">
        <v>288</v>
      </c>
      <c r="C539" s="6" t="s">
        <v>1857</v>
      </c>
      <c r="D539" s="6" t="s">
        <v>408</v>
      </c>
      <c r="E539" s="13" t="n">
        <v>29467</v>
      </c>
      <c r="F539" s="6" t="n">
        <v>1980</v>
      </c>
      <c r="G539" s="11" t="n">
        <f aca="true">IF(F539="","",YEAR(TODAY())-F539)</f>
        <v>46</v>
      </c>
      <c r="H539" s="11" t="str">
        <f aca="false">IF(C539="","",IF(G539="","Thiếu thông tin",IF(G539&lt;6,"Trẻ em",IF(G539&lt;23,"Học sinh / Sinh viên",IF(G539&lt;60,"Đang đi làm","Nghỉ hưu")))))</f>
        <v>Đang đi làm</v>
      </c>
      <c r="I539" s="6"/>
      <c r="J539" s="11" t="str">
        <f aca="false">IF(B539="","",IFERROR(INDEX('Hộ gia đình'!$B$2:$B$2000,MATCH(B539,'Hộ gia đình'!$A$2:$A$2000,0)),"Mã hộ không tồn tại"))</f>
        <v>312 E4 Bách Khoa</v>
      </c>
      <c r="K539" s="14" t="s">
        <v>1858</v>
      </c>
      <c r="L539" s="14"/>
      <c r="M539" s="6" t="s">
        <v>459</v>
      </c>
      <c r="N539" s="6" t="s">
        <v>388</v>
      </c>
      <c r="O539" s="6" t="s">
        <v>389</v>
      </c>
      <c r="P539" s="6"/>
      <c r="Q539" s="6" t="s">
        <v>410</v>
      </c>
      <c r="R539" s="12"/>
    </row>
    <row r="540" customFormat="false" ht="15" hidden="false" customHeight="true" outlineLevel="0" collapsed="false">
      <c r="A540" s="6" t="s">
        <v>1859</v>
      </c>
      <c r="B540" s="6" t="s">
        <v>288</v>
      </c>
      <c r="C540" s="6" t="s">
        <v>1860</v>
      </c>
      <c r="D540" s="6" t="s">
        <v>408</v>
      </c>
      <c r="E540" s="13" t="n">
        <v>39212</v>
      </c>
      <c r="F540" s="6" t="n">
        <v>2007</v>
      </c>
      <c r="G540" s="11" t="n">
        <f aca="true">IF(F540="","",YEAR(TODAY())-F540)</f>
        <v>19</v>
      </c>
      <c r="H540" s="11" t="str">
        <f aca="false">IF(C540="","",IF(G540="","Thiếu thông tin",IF(G540&lt;6,"Trẻ em",IF(G540&lt;23,"Học sinh / Sinh viên",IF(G540&lt;60,"Đang đi làm","Nghỉ hưu")))))</f>
        <v>Học sinh / Sinh viên</v>
      </c>
      <c r="I540" s="6"/>
      <c r="J540" s="11" t="str">
        <f aca="false">IF(B540="","",IFERROR(INDEX('Hộ gia đình'!$B$2:$B$2000,MATCH(B540,'Hộ gia đình'!$A$2:$A$2000,0)),"Mã hộ không tồn tại"))</f>
        <v>312 E4 Bách Khoa</v>
      </c>
      <c r="K540" s="14" t="s">
        <v>1861</v>
      </c>
      <c r="L540" s="14"/>
      <c r="M540" s="6" t="s">
        <v>422</v>
      </c>
      <c r="N540" s="6" t="s">
        <v>388</v>
      </c>
      <c r="O540" s="6" t="s">
        <v>389</v>
      </c>
      <c r="P540" s="6"/>
      <c r="Q540" s="6" t="s">
        <v>410</v>
      </c>
      <c r="R540" s="12"/>
    </row>
    <row r="541" customFormat="false" ht="15" hidden="false" customHeight="true" outlineLevel="0" collapsed="false">
      <c r="A541" s="6" t="s">
        <v>1862</v>
      </c>
      <c r="B541" s="6" t="s">
        <v>290</v>
      </c>
      <c r="C541" s="6" t="s">
        <v>1863</v>
      </c>
      <c r="D541" s="6" t="s">
        <v>408</v>
      </c>
      <c r="E541" s="13" t="n">
        <v>31657</v>
      </c>
      <c r="F541" s="6" t="n">
        <v>1986</v>
      </c>
      <c r="G541" s="11" t="n">
        <f aca="true">IF(F541="","",YEAR(TODAY())-F541)</f>
        <v>40</v>
      </c>
      <c r="H541" s="11" t="str">
        <f aca="false">IF(C541="","",IF(G541="","Thiếu thông tin",IF(G541&lt;6,"Trẻ em",IF(G541&lt;23,"Học sinh / Sinh viên",IF(G541&lt;60,"Đang đi làm","Nghỉ hưu")))))</f>
        <v>Đang đi làm</v>
      </c>
      <c r="I541" s="6" t="s">
        <v>52</v>
      </c>
      <c r="J541" s="11" t="str">
        <f aca="false">IF(B541="","",IFERROR(INDEX('Hộ gia đình'!$B$2:$B$2000,MATCH(B541,'Hộ gia đình'!$A$2:$A$2000,0)),"Mã hộ không tồn tại"))</f>
        <v>313 E4 Bách Khoa</v>
      </c>
      <c r="K541" s="14" t="s">
        <v>1864</v>
      </c>
      <c r="L541" s="14"/>
      <c r="M541" s="6" t="s">
        <v>451</v>
      </c>
      <c r="N541" s="6" t="s">
        <v>388</v>
      </c>
      <c r="O541" s="6" t="s">
        <v>389</v>
      </c>
      <c r="P541" s="6"/>
      <c r="Q541" s="6" t="s">
        <v>391</v>
      </c>
      <c r="R541" s="12" t="s">
        <v>1865</v>
      </c>
    </row>
    <row r="542" customFormat="false" ht="15" hidden="false" customHeight="true" outlineLevel="0" collapsed="false">
      <c r="A542" s="6" t="s">
        <v>1866</v>
      </c>
      <c r="B542" s="6" t="s">
        <v>290</v>
      </c>
      <c r="C542" s="6" t="s">
        <v>1867</v>
      </c>
      <c r="D542" s="6"/>
      <c r="E542" s="13"/>
      <c r="F542" s="6" t="n">
        <v>1996</v>
      </c>
      <c r="G542" s="11" t="n">
        <f aca="true">IF(F542="","",YEAR(TODAY())-F542)</f>
        <v>30</v>
      </c>
      <c r="H542" s="11" t="str">
        <f aca="false">IF(C542="","",IF(G542="","Thiếu thông tin",IF(G542&lt;6,"Trẻ em",IF(G542&lt;23,"Học sinh / Sinh viên",IF(G542&lt;60,"Đang đi làm","Nghỉ hưu")))))</f>
        <v>Đang đi làm</v>
      </c>
      <c r="I542" s="6"/>
      <c r="J542" s="11" t="str">
        <f aca="false">IF(B542="","",IFERROR(INDEX('Hộ gia đình'!$B$2:$B$2000,MATCH(B542,'Hộ gia đình'!$A$2:$A$2000,0)),"Mã hộ không tồn tại"))</f>
        <v>313 E4 Bách Khoa</v>
      </c>
      <c r="K542" s="14"/>
      <c r="L542" s="14"/>
      <c r="M542" s="6"/>
      <c r="N542" s="6" t="s">
        <v>395</v>
      </c>
      <c r="O542" s="6" t="s">
        <v>389</v>
      </c>
      <c r="P542" s="6"/>
      <c r="Q542" s="6" t="s">
        <v>403</v>
      </c>
      <c r="R542" s="12"/>
    </row>
    <row r="543" customFormat="false" ht="15" hidden="false" customHeight="true" outlineLevel="0" collapsed="false">
      <c r="A543" s="6" t="s">
        <v>1868</v>
      </c>
      <c r="B543" s="6" t="s">
        <v>290</v>
      </c>
      <c r="C543" s="6" t="s">
        <v>670</v>
      </c>
      <c r="D543" s="6"/>
      <c r="E543" s="13"/>
      <c r="F543" s="6" t="n">
        <v>1998</v>
      </c>
      <c r="G543" s="11" t="n">
        <f aca="true">IF(F543="","",YEAR(TODAY())-F543)</f>
        <v>28</v>
      </c>
      <c r="H543" s="11" t="str">
        <f aca="false">IF(C543="","",IF(G543="","Thiếu thông tin",IF(G543&lt;6,"Trẻ em",IF(G543&lt;23,"Học sinh / Sinh viên",IF(G543&lt;60,"Đang đi làm","Nghỉ hưu")))))</f>
        <v>Đang đi làm</v>
      </c>
      <c r="I543" s="6"/>
      <c r="J543" s="11" t="str">
        <f aca="false">IF(B543="","",IFERROR(INDEX('Hộ gia đình'!$B$2:$B$2000,MATCH(B543,'Hộ gia đình'!$A$2:$A$2000,0)),"Mã hộ không tồn tại"))</f>
        <v>313 E4 Bách Khoa</v>
      </c>
      <c r="K543" s="14"/>
      <c r="L543" s="14"/>
      <c r="M543" s="6"/>
      <c r="N543" s="6" t="s">
        <v>395</v>
      </c>
      <c r="O543" s="6" t="s">
        <v>389</v>
      </c>
      <c r="P543" s="6"/>
      <c r="Q543" s="6" t="s">
        <v>403</v>
      </c>
      <c r="R543" s="12"/>
    </row>
    <row r="544" customFormat="false" ht="15" hidden="false" customHeight="true" outlineLevel="0" collapsed="false">
      <c r="A544" s="6" t="s">
        <v>1869</v>
      </c>
      <c r="B544" s="6" t="s">
        <v>292</v>
      </c>
      <c r="C544" s="6" t="s">
        <v>1870</v>
      </c>
      <c r="D544" s="6" t="s">
        <v>385</v>
      </c>
      <c r="E544" s="13" t="n">
        <v>27973</v>
      </c>
      <c r="F544" s="6" t="n">
        <v>1976</v>
      </c>
      <c r="G544" s="11" t="n">
        <f aca="true">IF(F544="","",YEAR(TODAY())-F544)</f>
        <v>50</v>
      </c>
      <c r="H544" s="11" t="str">
        <f aca="false">IF(C544="","",IF(G544="","Thiếu thông tin",IF(G544&lt;6,"Trẻ em",IF(G544&lt;23,"Học sinh / Sinh viên",IF(G544&lt;60,"Đang đi làm","Nghỉ hưu")))))</f>
        <v>Đang đi làm</v>
      </c>
      <c r="I544" s="6" t="s">
        <v>52</v>
      </c>
      <c r="J544" s="11" t="str">
        <f aca="false">IF(B544="","",IFERROR(INDEX('Hộ gia đình'!$B$2:$B$2000,MATCH(B544,'Hộ gia đình'!$A$2:$A$2000,0)),"Mã hộ không tồn tại"))</f>
        <v>314 E4 Bách Khoa</v>
      </c>
      <c r="K544" s="14" t="s">
        <v>1871</v>
      </c>
      <c r="L544" s="14"/>
      <c r="M544" s="6" t="s">
        <v>459</v>
      </c>
      <c r="N544" s="6" t="s">
        <v>388</v>
      </c>
      <c r="O544" s="6" t="s">
        <v>389</v>
      </c>
      <c r="P544" s="6"/>
      <c r="Q544" s="6" t="s">
        <v>391</v>
      </c>
      <c r="R544" s="12"/>
    </row>
    <row r="545" customFormat="false" ht="15" hidden="false" customHeight="true" outlineLevel="0" collapsed="false">
      <c r="A545" s="6" t="s">
        <v>1872</v>
      </c>
      <c r="B545" s="6" t="s">
        <v>292</v>
      </c>
      <c r="C545" s="6" t="s">
        <v>1873</v>
      </c>
      <c r="D545" s="6" t="s">
        <v>385</v>
      </c>
      <c r="E545" s="13" t="n">
        <v>39083</v>
      </c>
      <c r="F545" s="6" t="n">
        <v>2007</v>
      </c>
      <c r="G545" s="11" t="n">
        <f aca="true">IF(F545="","",YEAR(TODAY())-F545)</f>
        <v>19</v>
      </c>
      <c r="H545" s="11" t="str">
        <f aca="false">IF(C545="","",IF(G545="","Thiếu thông tin",IF(G545&lt;6,"Trẻ em",IF(G545&lt;23,"Học sinh / Sinh viên",IF(G545&lt;60,"Đang đi làm","Nghỉ hưu")))))</f>
        <v>Học sinh / Sinh viên</v>
      </c>
      <c r="I545" s="6"/>
      <c r="J545" s="11" t="str">
        <f aca="false">IF(B545="","",IFERROR(INDEX('Hộ gia đình'!$B$2:$B$2000,MATCH(B545,'Hộ gia đình'!$A$2:$A$2000,0)),"Mã hộ không tồn tại"))</f>
        <v>314 E4 Bách Khoa</v>
      </c>
      <c r="K545" s="14" t="s">
        <v>1874</v>
      </c>
      <c r="L545" s="14"/>
      <c r="M545" s="6" t="s">
        <v>422</v>
      </c>
      <c r="N545" s="6" t="s">
        <v>388</v>
      </c>
      <c r="O545" s="6" t="s">
        <v>389</v>
      </c>
      <c r="P545" s="6"/>
      <c r="Q545" s="6" t="s">
        <v>583</v>
      </c>
      <c r="R545" s="12" t="s">
        <v>1875</v>
      </c>
    </row>
    <row r="546" customFormat="false" ht="15" hidden="false" customHeight="true" outlineLevel="0" collapsed="false">
      <c r="A546" s="6" t="s">
        <v>1876</v>
      </c>
      <c r="B546" s="6" t="s">
        <v>294</v>
      </c>
      <c r="C546" s="6" t="s">
        <v>1877</v>
      </c>
      <c r="D546" s="6" t="s">
        <v>385</v>
      </c>
      <c r="E546" s="13" t="n">
        <v>17808</v>
      </c>
      <c r="F546" s="6" t="n">
        <v>1948</v>
      </c>
      <c r="G546" s="11" t="n">
        <f aca="true">IF(F546="","",YEAR(TODAY())-F546)</f>
        <v>78</v>
      </c>
      <c r="H546" s="11" t="str">
        <f aca="false">IF(C546="","",IF(G546="","Thiếu thông tin",IF(G546&lt;6,"Trẻ em",IF(G546&lt;23,"Học sinh / Sinh viên",IF(G546&lt;60,"Đang đi làm","Nghỉ hưu")))))</f>
        <v>Nghỉ hưu</v>
      </c>
      <c r="I546" s="6" t="s">
        <v>52</v>
      </c>
      <c r="J546" s="11" t="str">
        <f aca="false">IF(B546="","",IFERROR(INDEX('Hộ gia đình'!$B$2:$B$2000,MATCH(B546,'Hộ gia đình'!$A$2:$A$2000,0)),"Mã hộ không tồn tại"))</f>
        <v>315 E4 Bách Khoa</v>
      </c>
      <c r="K546" s="14" t="s">
        <v>1878</v>
      </c>
      <c r="L546" s="14"/>
      <c r="M546" s="6" t="s">
        <v>451</v>
      </c>
      <c r="N546" s="6" t="s">
        <v>388</v>
      </c>
      <c r="O546" s="6" t="s">
        <v>389</v>
      </c>
      <c r="P546" s="6"/>
      <c r="Q546" s="6" t="s">
        <v>391</v>
      </c>
      <c r="R546" s="12" t="s">
        <v>1879</v>
      </c>
    </row>
    <row r="547" customFormat="false" ht="15" hidden="false" customHeight="true" outlineLevel="0" collapsed="false">
      <c r="A547" s="6" t="s">
        <v>1880</v>
      </c>
      <c r="B547" s="6" t="s">
        <v>294</v>
      </c>
      <c r="C547" s="6" t="s">
        <v>1881</v>
      </c>
      <c r="D547" s="6" t="s">
        <v>385</v>
      </c>
      <c r="E547" s="13" t="n">
        <v>32842</v>
      </c>
      <c r="F547" s="6" t="n">
        <v>1989</v>
      </c>
      <c r="G547" s="11" t="n">
        <f aca="true">IF(F547="","",YEAR(TODAY())-F547)</f>
        <v>37</v>
      </c>
      <c r="H547" s="11" t="str">
        <f aca="false">IF(C547="","",IF(G547="","Thiếu thông tin",IF(G547&lt;6,"Trẻ em",IF(G547&lt;23,"Học sinh / Sinh viên",IF(G547&lt;60,"Đang đi làm","Nghỉ hưu")))))</f>
        <v>Đang đi làm</v>
      </c>
      <c r="I547" s="6"/>
      <c r="J547" s="11" t="str">
        <f aca="false">IF(B547="","",IFERROR(INDEX('Hộ gia đình'!$B$2:$B$2000,MATCH(B547,'Hộ gia đình'!$A$2:$A$2000,0)),"Mã hộ không tồn tại"))</f>
        <v>315 E4 Bách Khoa</v>
      </c>
      <c r="K547" s="14" t="s">
        <v>1882</v>
      </c>
      <c r="L547" s="14"/>
      <c r="M547" s="6" t="s">
        <v>459</v>
      </c>
      <c r="N547" s="6" t="s">
        <v>388</v>
      </c>
      <c r="O547" s="6" t="s">
        <v>389</v>
      </c>
      <c r="P547" s="6"/>
      <c r="Q547" s="6" t="s">
        <v>391</v>
      </c>
      <c r="R547" s="12"/>
    </row>
    <row r="548" customFormat="false" ht="15" hidden="false" customHeight="true" outlineLevel="0" collapsed="false">
      <c r="A548" s="6" t="s">
        <v>1883</v>
      </c>
      <c r="B548" s="6" t="s">
        <v>294</v>
      </c>
      <c r="C548" s="6" t="s">
        <v>1884</v>
      </c>
      <c r="D548" s="6" t="s">
        <v>408</v>
      </c>
      <c r="E548" s="13" t="n">
        <v>14965</v>
      </c>
      <c r="F548" s="6" t="n">
        <v>1940</v>
      </c>
      <c r="G548" s="11" t="n">
        <f aca="true">IF(F548="","",YEAR(TODAY())-F548)</f>
        <v>86</v>
      </c>
      <c r="H548" s="11" t="str">
        <f aca="false">IF(C548="","",IF(G548="","Thiếu thông tin",IF(G548&lt;6,"Trẻ em",IF(G548&lt;23,"Học sinh / Sinh viên",IF(G548&lt;60,"Đang đi làm","Nghỉ hưu")))))</f>
        <v>Nghỉ hưu</v>
      </c>
      <c r="I548" s="6"/>
      <c r="J548" s="11" t="str">
        <f aca="false">IF(B548="","",IFERROR(INDEX('Hộ gia đình'!$B$2:$B$2000,MATCH(B548,'Hộ gia đình'!$A$2:$A$2000,0)),"Mã hộ không tồn tại"))</f>
        <v>315 E4 Bách Khoa</v>
      </c>
      <c r="K548" s="14" t="s">
        <v>1885</v>
      </c>
      <c r="L548" s="14"/>
      <c r="M548" s="6" t="s">
        <v>451</v>
      </c>
      <c r="N548" s="6" t="s">
        <v>388</v>
      </c>
      <c r="O548" s="6" t="s">
        <v>389</v>
      </c>
      <c r="P548" s="6" t="s">
        <v>1886</v>
      </c>
      <c r="Q548" s="6" t="s">
        <v>391</v>
      </c>
      <c r="R548" s="12"/>
    </row>
    <row r="549" customFormat="false" ht="15" hidden="false" customHeight="true" outlineLevel="0" collapsed="false">
      <c r="A549" s="6" t="s">
        <v>1887</v>
      </c>
      <c r="B549" s="6" t="s">
        <v>296</v>
      </c>
      <c r="C549" s="6" t="s">
        <v>1888</v>
      </c>
      <c r="D549" s="6" t="s">
        <v>385</v>
      </c>
      <c r="E549" s="13" t="n">
        <v>22185</v>
      </c>
      <c r="F549" s="6" t="n">
        <v>1960</v>
      </c>
      <c r="G549" s="11" t="n">
        <f aca="true">IF(F549="","",YEAR(TODAY())-F549)</f>
        <v>66</v>
      </c>
      <c r="H549" s="11" t="str">
        <f aca="false">IF(C549="","",IF(G549="","Thiếu thông tin",IF(G549&lt;6,"Trẻ em",IF(G549&lt;23,"Học sinh / Sinh viên",IF(G549&lt;60,"Đang đi làm","Nghỉ hưu")))))</f>
        <v>Nghỉ hưu</v>
      </c>
      <c r="I549" s="6" t="s">
        <v>52</v>
      </c>
      <c r="J549" s="11" t="str">
        <f aca="false">IF(B549="","",IFERROR(INDEX('Hộ gia đình'!$B$2:$B$2000,MATCH(B549,'Hộ gia đình'!$A$2:$A$2000,0)),"Mã hộ không tồn tại"))</f>
        <v>316 E4 Bách Khoa</v>
      </c>
      <c r="K549" s="14" t="s">
        <v>1889</v>
      </c>
      <c r="L549" s="14"/>
      <c r="M549" s="6" t="s">
        <v>387</v>
      </c>
      <c r="N549" s="6" t="s">
        <v>388</v>
      </c>
      <c r="O549" s="6" t="s">
        <v>389</v>
      </c>
      <c r="P549" s="6"/>
      <c r="Q549" s="6" t="s">
        <v>391</v>
      </c>
      <c r="R549" s="12" t="s">
        <v>1890</v>
      </c>
    </row>
    <row r="550" customFormat="false" ht="15" hidden="false" customHeight="true" outlineLevel="0" collapsed="false">
      <c r="A550" s="6" t="s">
        <v>1891</v>
      </c>
      <c r="B550" s="6" t="s">
        <v>296</v>
      </c>
      <c r="C550" s="6" t="s">
        <v>1892</v>
      </c>
      <c r="D550" s="6"/>
      <c r="E550" s="13"/>
      <c r="F550" s="6" t="n">
        <v>1986</v>
      </c>
      <c r="G550" s="11" t="n">
        <f aca="true">IF(F550="","",YEAR(TODAY())-F550)</f>
        <v>40</v>
      </c>
      <c r="H550" s="11" t="str">
        <f aca="false">IF(C550="","",IF(G550="","Thiếu thông tin",IF(G550&lt;6,"Trẻ em",IF(G550&lt;23,"Học sinh / Sinh viên",IF(G550&lt;60,"Đang đi làm","Nghỉ hưu")))))</f>
        <v>Đang đi làm</v>
      </c>
      <c r="I550" s="6"/>
      <c r="J550" s="11" t="str">
        <f aca="false">IF(B550="","",IFERROR(INDEX('Hộ gia đình'!$B$2:$B$2000,MATCH(B550,'Hộ gia đình'!$A$2:$A$2000,0)),"Mã hộ không tồn tại"))</f>
        <v>316 E4 Bách Khoa</v>
      </c>
      <c r="K550" s="14"/>
      <c r="L550" s="14"/>
      <c r="M550" s="6"/>
      <c r="N550" s="6" t="s">
        <v>395</v>
      </c>
      <c r="O550" s="6" t="s">
        <v>389</v>
      </c>
      <c r="P550" s="6"/>
      <c r="Q550" s="6" t="s">
        <v>396</v>
      </c>
      <c r="R550" s="12"/>
    </row>
    <row r="551" customFormat="false" ht="15" hidden="false" customHeight="true" outlineLevel="0" collapsed="false">
      <c r="A551" s="6" t="s">
        <v>1893</v>
      </c>
      <c r="B551" s="6" t="s">
        <v>296</v>
      </c>
      <c r="C551" s="6" t="s">
        <v>1894</v>
      </c>
      <c r="D551" s="6" t="s">
        <v>385</v>
      </c>
      <c r="E551" s="13" t="n">
        <v>30482</v>
      </c>
      <c r="F551" s="6" t="n">
        <v>1983</v>
      </c>
      <c r="G551" s="11" t="n">
        <f aca="true">IF(F551="","",YEAR(TODAY())-F551)</f>
        <v>43</v>
      </c>
      <c r="H551" s="11" t="str">
        <f aca="false">IF(C551="","",IF(G551="","Thiếu thông tin",IF(G551&lt;6,"Trẻ em",IF(G551&lt;23,"Học sinh / Sinh viên",IF(G551&lt;60,"Đang đi làm","Nghỉ hưu")))))</f>
        <v>Đang đi làm</v>
      </c>
      <c r="I551" s="6"/>
      <c r="J551" s="11" t="str">
        <f aca="false">IF(B551="","",IFERROR(INDEX('Hộ gia đình'!$B$2:$B$2000,MATCH(B551,'Hộ gia đình'!$A$2:$A$2000,0)),"Mã hộ không tồn tại"))</f>
        <v>316 E4 Bách Khoa</v>
      </c>
      <c r="K551" s="14" t="s">
        <v>1895</v>
      </c>
      <c r="L551" s="14"/>
      <c r="M551" s="6" t="s">
        <v>459</v>
      </c>
      <c r="N551" s="6" t="s">
        <v>388</v>
      </c>
      <c r="O551" s="6" t="s">
        <v>389</v>
      </c>
      <c r="P551" s="6"/>
      <c r="Q551" s="6" t="s">
        <v>391</v>
      </c>
      <c r="R551" s="12" t="s">
        <v>1896</v>
      </c>
    </row>
    <row r="552" customFormat="false" ht="15" hidden="false" customHeight="true" outlineLevel="0" collapsed="false">
      <c r="A552" s="6" t="s">
        <v>1897</v>
      </c>
      <c r="B552" s="6" t="s">
        <v>296</v>
      </c>
      <c r="C552" s="6" t="s">
        <v>1898</v>
      </c>
      <c r="D552" s="6"/>
      <c r="E552" s="13"/>
      <c r="F552" s="6" t="n">
        <v>1981</v>
      </c>
      <c r="G552" s="11" t="n">
        <f aca="true">IF(F552="","",YEAR(TODAY())-F552)</f>
        <v>45</v>
      </c>
      <c r="H552" s="11" t="str">
        <f aca="false">IF(C552="","",IF(G552="","Thiếu thông tin",IF(G552&lt;6,"Trẻ em",IF(G552&lt;23,"Học sinh / Sinh viên",IF(G552&lt;60,"Đang đi làm","Nghỉ hưu")))))</f>
        <v>Đang đi làm</v>
      </c>
      <c r="I552" s="6"/>
      <c r="J552" s="11" t="str">
        <f aca="false">IF(B552="","",IFERROR(INDEX('Hộ gia đình'!$B$2:$B$2000,MATCH(B552,'Hộ gia đình'!$A$2:$A$2000,0)),"Mã hộ không tồn tại"))</f>
        <v>316 E4 Bách Khoa</v>
      </c>
      <c r="K552" s="14"/>
      <c r="L552" s="14"/>
      <c r="M552" s="6"/>
      <c r="N552" s="6" t="s">
        <v>395</v>
      </c>
      <c r="O552" s="6" t="s">
        <v>389</v>
      </c>
      <c r="P552" s="6"/>
      <c r="Q552" s="6" t="s">
        <v>396</v>
      </c>
      <c r="R552" s="12"/>
    </row>
    <row r="553" customFormat="false" ht="15" hidden="false" customHeight="true" outlineLevel="0" collapsed="false">
      <c r="A553" s="6" t="s">
        <v>1899</v>
      </c>
      <c r="B553" s="6" t="s">
        <v>296</v>
      </c>
      <c r="C553" s="6" t="s">
        <v>1900</v>
      </c>
      <c r="D553" s="6"/>
      <c r="E553" s="13"/>
      <c r="F553" s="6" t="n">
        <v>2012</v>
      </c>
      <c r="G553" s="11" t="n">
        <f aca="true">IF(F553="","",YEAR(TODAY())-F553)</f>
        <v>14</v>
      </c>
      <c r="H553" s="11" t="str">
        <f aca="false">IF(C553="","",IF(G553="","Thiếu thông tin",IF(G553&lt;6,"Trẻ em",IF(G553&lt;23,"Học sinh / Sinh viên",IF(G553&lt;60,"Đang đi làm","Nghỉ hưu")))))</f>
        <v>Học sinh / Sinh viên</v>
      </c>
      <c r="I553" s="6"/>
      <c r="J553" s="11" t="str">
        <f aca="false">IF(B553="","",IFERROR(INDEX('Hộ gia đình'!$B$2:$B$2000,MATCH(B553,'Hộ gia đình'!$A$2:$A$2000,0)),"Mã hộ không tồn tại"))</f>
        <v>316 E4 Bách Khoa</v>
      </c>
      <c r="K553" s="14"/>
      <c r="L553" s="14"/>
      <c r="M553" s="6"/>
      <c r="N553" s="6" t="s">
        <v>395</v>
      </c>
      <c r="O553" s="6" t="s">
        <v>389</v>
      </c>
      <c r="P553" s="6"/>
      <c r="Q553" s="6" t="s">
        <v>403</v>
      </c>
      <c r="R553" s="12"/>
    </row>
    <row r="554" customFormat="false" ht="15" hidden="false" customHeight="true" outlineLevel="0" collapsed="false">
      <c r="A554" s="6" t="s">
        <v>1901</v>
      </c>
      <c r="B554" s="6" t="s">
        <v>296</v>
      </c>
      <c r="C554" s="6" t="s">
        <v>1902</v>
      </c>
      <c r="D554" s="6"/>
      <c r="E554" s="13"/>
      <c r="F554" s="6" t="n">
        <v>2021</v>
      </c>
      <c r="G554" s="11" t="n">
        <f aca="true">IF(F554="","",YEAR(TODAY())-F554)</f>
        <v>5</v>
      </c>
      <c r="H554" s="11" t="str">
        <f aca="false">IF(C554="","",IF(G554="","Thiếu thông tin",IF(G554&lt;6,"Trẻ em",IF(G554&lt;23,"Học sinh / Sinh viên",IF(G554&lt;60,"Đang đi làm","Nghỉ hưu")))))</f>
        <v>Trẻ em</v>
      </c>
      <c r="I554" s="6"/>
      <c r="J554" s="11" t="str">
        <f aca="false">IF(B554="","",IFERROR(INDEX('Hộ gia đình'!$B$2:$B$2000,MATCH(B554,'Hộ gia đình'!$A$2:$A$2000,0)),"Mã hộ không tồn tại"))</f>
        <v>316 E4 Bách Khoa</v>
      </c>
      <c r="K554" s="14"/>
      <c r="L554" s="14"/>
      <c r="M554" s="6"/>
      <c r="N554" s="6" t="s">
        <v>395</v>
      </c>
      <c r="O554" s="6" t="s">
        <v>389</v>
      </c>
      <c r="P554" s="6"/>
      <c r="Q554" s="6" t="s">
        <v>403</v>
      </c>
      <c r="R554" s="12"/>
    </row>
    <row r="555" customFormat="false" ht="15" hidden="false" customHeight="true" outlineLevel="0" collapsed="false">
      <c r="A555" s="6" t="s">
        <v>1903</v>
      </c>
      <c r="B555" s="6" t="s">
        <v>298</v>
      </c>
      <c r="C555" s="6" t="s">
        <v>1659</v>
      </c>
      <c r="D555" s="6" t="s">
        <v>385</v>
      </c>
      <c r="E555" s="13" t="n">
        <v>18580</v>
      </c>
      <c r="F555" s="6" t="n">
        <v>1950</v>
      </c>
      <c r="G555" s="11" t="n">
        <f aca="true">IF(F555="","",YEAR(TODAY())-F555)</f>
        <v>76</v>
      </c>
      <c r="H555" s="11" t="str">
        <f aca="false">IF(C555="","",IF(G555="","Thiếu thông tin",IF(G555&lt;6,"Trẻ em",IF(G555&lt;23,"Học sinh / Sinh viên",IF(G555&lt;60,"Đang đi làm","Nghỉ hưu")))))</f>
        <v>Nghỉ hưu</v>
      </c>
      <c r="I555" s="6" t="s">
        <v>52</v>
      </c>
      <c r="J555" s="11" t="str">
        <f aca="false">IF(B555="","",IFERROR(INDEX('Hộ gia đình'!$B$2:$B$2000,MATCH(B555,'Hộ gia đình'!$A$2:$A$2000,0)),"Mã hộ không tồn tại"))</f>
        <v>402 E4 Bách Khoa</v>
      </c>
      <c r="K555" s="14" t="s">
        <v>1904</v>
      </c>
      <c r="L555" s="14"/>
      <c r="M555" s="6" t="s">
        <v>451</v>
      </c>
      <c r="N555" s="6" t="s">
        <v>388</v>
      </c>
      <c r="O555" s="6" t="s">
        <v>389</v>
      </c>
      <c r="P555" s="6"/>
      <c r="Q555" s="6" t="s">
        <v>391</v>
      </c>
      <c r="R555" s="12" t="s">
        <v>1905</v>
      </c>
    </row>
    <row r="556" customFormat="false" ht="15" hidden="false" customHeight="true" outlineLevel="0" collapsed="false">
      <c r="A556" s="6" t="s">
        <v>1906</v>
      </c>
      <c r="B556" s="6" t="s">
        <v>298</v>
      </c>
      <c r="C556" s="6" t="s">
        <v>1907</v>
      </c>
      <c r="D556" s="6" t="s">
        <v>408</v>
      </c>
      <c r="E556" s="13" t="n">
        <v>16000</v>
      </c>
      <c r="F556" s="6" t="n">
        <v>1943</v>
      </c>
      <c r="G556" s="11" t="n">
        <f aca="true">IF(F556="","",YEAR(TODAY())-F556)</f>
        <v>83</v>
      </c>
      <c r="H556" s="11" t="str">
        <f aca="false">IF(C556="","",IF(G556="","Thiếu thông tin",IF(G556&lt;6,"Trẻ em",IF(G556&lt;23,"Học sinh / Sinh viên",IF(G556&lt;60,"Đang đi làm","Nghỉ hưu")))))</f>
        <v>Nghỉ hưu</v>
      </c>
      <c r="I556" s="6"/>
      <c r="J556" s="11" t="str">
        <f aca="false">IF(B556="","",IFERROR(INDEX('Hộ gia đình'!$B$2:$B$2000,MATCH(B556,'Hộ gia đình'!$A$2:$A$2000,0)),"Mã hộ không tồn tại"))</f>
        <v>402 E4 Bách Khoa</v>
      </c>
      <c r="K556" s="14" t="s">
        <v>1908</v>
      </c>
      <c r="L556" s="14"/>
      <c r="M556" s="6" t="s">
        <v>451</v>
      </c>
      <c r="N556" s="6" t="s">
        <v>388</v>
      </c>
      <c r="O556" s="6" t="s">
        <v>389</v>
      </c>
      <c r="P556" s="6"/>
      <c r="Q556" s="6" t="s">
        <v>391</v>
      </c>
      <c r="R556" s="12"/>
    </row>
    <row r="557" customFormat="false" ht="15" hidden="false" customHeight="true" outlineLevel="0" collapsed="false">
      <c r="A557" s="6" t="s">
        <v>1909</v>
      </c>
      <c r="B557" s="6" t="s">
        <v>298</v>
      </c>
      <c r="C557" s="6" t="s">
        <v>1910</v>
      </c>
      <c r="D557" s="6"/>
      <c r="E557" s="13"/>
      <c r="F557" s="6" t="n">
        <v>1993</v>
      </c>
      <c r="G557" s="11" t="n">
        <f aca="true">IF(F557="","",YEAR(TODAY())-F557)</f>
        <v>33</v>
      </c>
      <c r="H557" s="11" t="str">
        <f aca="false">IF(C557="","",IF(G557="","Thiếu thông tin",IF(G557&lt;6,"Trẻ em",IF(G557&lt;23,"Học sinh / Sinh viên",IF(G557&lt;60,"Đang đi làm","Nghỉ hưu")))))</f>
        <v>Đang đi làm</v>
      </c>
      <c r="I557" s="6"/>
      <c r="J557" s="11" t="str">
        <f aca="false">IF(B557="","",IFERROR(INDEX('Hộ gia đình'!$B$2:$B$2000,MATCH(B557,'Hộ gia đình'!$A$2:$A$2000,0)),"Mã hộ không tồn tại"))</f>
        <v>402 E4 Bách Khoa</v>
      </c>
      <c r="K557" s="14"/>
      <c r="L557" s="14"/>
      <c r="M557" s="6"/>
      <c r="N557" s="6" t="s">
        <v>395</v>
      </c>
      <c r="O557" s="6" t="s">
        <v>389</v>
      </c>
      <c r="P557" s="6"/>
      <c r="Q557" s="6" t="s">
        <v>396</v>
      </c>
      <c r="R557" s="12"/>
    </row>
    <row r="558" customFormat="false" ht="15" hidden="false" customHeight="true" outlineLevel="0" collapsed="false">
      <c r="A558" s="6" t="s">
        <v>1911</v>
      </c>
      <c r="B558" s="6" t="s">
        <v>298</v>
      </c>
      <c r="C558" s="6" t="s">
        <v>1912</v>
      </c>
      <c r="D558" s="6"/>
      <c r="E558" s="13"/>
      <c r="F558" s="6" t="n">
        <v>2017</v>
      </c>
      <c r="G558" s="11" t="n">
        <f aca="true">IF(F558="","",YEAR(TODAY())-F558)</f>
        <v>9</v>
      </c>
      <c r="H558" s="11" t="str">
        <f aca="false">IF(C558="","",IF(G558="","Thiếu thông tin",IF(G558&lt;6,"Trẻ em",IF(G558&lt;23,"Học sinh / Sinh viên",IF(G558&lt;60,"Đang đi làm","Nghỉ hưu")))))</f>
        <v>Học sinh / Sinh viên</v>
      </c>
      <c r="I558" s="6"/>
      <c r="J558" s="11" t="str">
        <f aca="false">IF(B558="","",IFERROR(INDEX('Hộ gia đình'!$B$2:$B$2000,MATCH(B558,'Hộ gia đình'!$A$2:$A$2000,0)),"Mã hộ không tồn tại"))</f>
        <v>402 E4 Bách Khoa</v>
      </c>
      <c r="K558" s="14"/>
      <c r="L558" s="14"/>
      <c r="M558" s="6"/>
      <c r="N558" s="6" t="s">
        <v>395</v>
      </c>
      <c r="O558" s="6" t="s">
        <v>389</v>
      </c>
      <c r="P558" s="6"/>
      <c r="Q558" s="6" t="s">
        <v>403</v>
      </c>
      <c r="R558" s="12"/>
    </row>
    <row r="559" customFormat="false" ht="15" hidden="false" customHeight="true" outlineLevel="0" collapsed="false">
      <c r="A559" s="6" t="s">
        <v>1913</v>
      </c>
      <c r="B559" s="6" t="s">
        <v>298</v>
      </c>
      <c r="C559" s="6" t="s">
        <v>1914</v>
      </c>
      <c r="D559" s="6"/>
      <c r="E559" s="13"/>
      <c r="F559" s="6" t="n">
        <v>2017</v>
      </c>
      <c r="G559" s="11" t="n">
        <f aca="true">IF(F559="","",YEAR(TODAY())-F559)</f>
        <v>9</v>
      </c>
      <c r="H559" s="11" t="str">
        <f aca="false">IF(C559="","",IF(G559="","Thiếu thông tin",IF(G559&lt;6,"Trẻ em",IF(G559&lt;23,"Học sinh / Sinh viên",IF(G559&lt;60,"Đang đi làm","Nghỉ hưu")))))</f>
        <v>Học sinh / Sinh viên</v>
      </c>
      <c r="I559" s="6"/>
      <c r="J559" s="11" t="str">
        <f aca="false">IF(B559="","",IFERROR(INDEX('Hộ gia đình'!$B$2:$B$2000,MATCH(B559,'Hộ gia đình'!$A$2:$A$2000,0)),"Mã hộ không tồn tại"))</f>
        <v>402 E4 Bách Khoa</v>
      </c>
      <c r="K559" s="14"/>
      <c r="L559" s="14"/>
      <c r="M559" s="6"/>
      <c r="N559" s="6" t="s">
        <v>395</v>
      </c>
      <c r="O559" s="6" t="s">
        <v>389</v>
      </c>
      <c r="P559" s="6"/>
      <c r="Q559" s="6" t="s">
        <v>403</v>
      </c>
      <c r="R559" s="12"/>
    </row>
    <row r="560" customFormat="false" ht="15" hidden="false" customHeight="true" outlineLevel="0" collapsed="false">
      <c r="A560" s="6" t="s">
        <v>1915</v>
      </c>
      <c r="B560" s="6" t="s">
        <v>300</v>
      </c>
      <c r="C560" s="6" t="s">
        <v>1916</v>
      </c>
      <c r="D560" s="6"/>
      <c r="E560" s="13"/>
      <c r="F560" s="6" t="n">
        <v>1995</v>
      </c>
      <c r="G560" s="11" t="n">
        <f aca="true">IF(F560="","",YEAR(TODAY())-F560)</f>
        <v>31</v>
      </c>
      <c r="H560" s="11" t="str">
        <f aca="false">IF(C560="","",IF(G560="","Thiếu thông tin",IF(G560&lt;6,"Trẻ em",IF(G560&lt;23,"Học sinh / Sinh viên",IF(G560&lt;60,"Đang đi làm","Nghỉ hưu")))))</f>
        <v>Đang đi làm</v>
      </c>
      <c r="I560" s="6" t="s">
        <v>52</v>
      </c>
      <c r="J560" s="11" t="str">
        <f aca="false">IF(B560="","",IFERROR(INDEX('Hộ gia đình'!$B$2:$B$2000,MATCH(B560,'Hộ gia đình'!$A$2:$A$2000,0)),"Mã hộ không tồn tại"))</f>
        <v>403 E4 Bách Khoa</v>
      </c>
      <c r="K560" s="14"/>
      <c r="L560" s="14"/>
      <c r="M560" s="6"/>
      <c r="N560" s="6" t="s">
        <v>395</v>
      </c>
      <c r="O560" s="6" t="s">
        <v>389</v>
      </c>
      <c r="P560" s="6"/>
      <c r="Q560" s="6" t="s">
        <v>403</v>
      </c>
      <c r="R560" s="12"/>
    </row>
    <row r="561" customFormat="false" ht="15" hidden="false" customHeight="true" outlineLevel="0" collapsed="false">
      <c r="A561" s="6" t="s">
        <v>1917</v>
      </c>
      <c r="B561" s="6" t="s">
        <v>300</v>
      </c>
      <c r="C561" s="6" t="s">
        <v>1918</v>
      </c>
      <c r="D561" s="6"/>
      <c r="E561" s="13"/>
      <c r="F561" s="6" t="n">
        <v>2000</v>
      </c>
      <c r="G561" s="11" t="n">
        <f aca="true">IF(F561="","",YEAR(TODAY())-F561)</f>
        <v>26</v>
      </c>
      <c r="H561" s="11" t="str">
        <f aca="false">IF(C561="","",IF(G561="","Thiếu thông tin",IF(G561&lt;6,"Trẻ em",IF(G561&lt;23,"Học sinh / Sinh viên",IF(G561&lt;60,"Đang đi làm","Nghỉ hưu")))))</f>
        <v>Đang đi làm</v>
      </c>
      <c r="I561" s="6"/>
      <c r="J561" s="11" t="str">
        <f aca="false">IF(B561="","",IFERROR(INDEX('Hộ gia đình'!$B$2:$B$2000,MATCH(B561,'Hộ gia đình'!$A$2:$A$2000,0)),"Mã hộ không tồn tại"))</f>
        <v>403 E4 Bách Khoa</v>
      </c>
      <c r="K561" s="14"/>
      <c r="L561" s="14"/>
      <c r="M561" s="6"/>
      <c r="N561" s="6" t="s">
        <v>395</v>
      </c>
      <c r="O561" s="6" t="s">
        <v>389</v>
      </c>
      <c r="P561" s="6"/>
      <c r="Q561" s="6" t="s">
        <v>403</v>
      </c>
      <c r="R561" s="12"/>
    </row>
    <row r="562" customFormat="false" ht="15" hidden="false" customHeight="true" outlineLevel="0" collapsed="false">
      <c r="A562" s="6" t="s">
        <v>1919</v>
      </c>
      <c r="B562" s="6" t="s">
        <v>302</v>
      </c>
      <c r="C562" s="6" t="s">
        <v>1920</v>
      </c>
      <c r="D562" s="6"/>
      <c r="E562" s="13"/>
      <c r="F562" s="6" t="n">
        <v>1960</v>
      </c>
      <c r="G562" s="11" t="n">
        <f aca="true">IF(F562="","",YEAR(TODAY())-F562)</f>
        <v>66</v>
      </c>
      <c r="H562" s="11" t="str">
        <f aca="false">IF(C562="","",IF(G562="","Thiếu thông tin",IF(G562&lt;6,"Trẻ em",IF(G562&lt;23,"Học sinh / Sinh viên",IF(G562&lt;60,"Đang đi làm","Nghỉ hưu")))))</f>
        <v>Nghỉ hưu</v>
      </c>
      <c r="I562" s="6" t="s">
        <v>52</v>
      </c>
      <c r="J562" s="11" t="str">
        <f aca="false">IF(B562="","",IFERROR(INDEX('Hộ gia đình'!$B$2:$B$2000,MATCH(B562,'Hộ gia đình'!$A$2:$A$2000,0)),"Mã hộ không tồn tại"))</f>
        <v>404 E4 Bách Khoa</v>
      </c>
      <c r="K562" s="14"/>
      <c r="L562" s="14"/>
      <c r="M562" s="6"/>
      <c r="N562" s="6" t="s">
        <v>395</v>
      </c>
      <c r="O562" s="6" t="s">
        <v>389</v>
      </c>
      <c r="P562" s="6"/>
      <c r="Q562" s="6" t="s">
        <v>396</v>
      </c>
      <c r="R562" s="12"/>
    </row>
    <row r="563" customFormat="false" ht="15" hidden="false" customHeight="true" outlineLevel="0" collapsed="false">
      <c r="A563" s="6" t="s">
        <v>1921</v>
      </c>
      <c r="B563" s="6" t="s">
        <v>304</v>
      </c>
      <c r="C563" s="6" t="s">
        <v>1922</v>
      </c>
      <c r="D563" s="6" t="s">
        <v>408</v>
      </c>
      <c r="E563" s="13" t="n">
        <v>28637</v>
      </c>
      <c r="F563" s="6" t="n">
        <v>1978</v>
      </c>
      <c r="G563" s="11" t="n">
        <f aca="true">IF(F563="","",YEAR(TODAY())-F563)</f>
        <v>48</v>
      </c>
      <c r="H563" s="11" t="str">
        <f aca="false">IF(C563="","",IF(G563="","Thiếu thông tin",IF(G563&lt;6,"Trẻ em",IF(G563&lt;23,"Học sinh / Sinh viên",IF(G563&lt;60,"Đang đi làm","Nghỉ hưu")))))</f>
        <v>Đang đi làm</v>
      </c>
      <c r="I563" s="6" t="s">
        <v>52</v>
      </c>
      <c r="J563" s="11" t="str">
        <f aca="false">IF(B563="","",IFERROR(INDEX('Hộ gia đình'!$B$2:$B$2000,MATCH(B563,'Hộ gia đình'!$A$2:$A$2000,0)),"Mã hộ không tồn tại"))</f>
        <v>405 E4 Bách Khoa</v>
      </c>
      <c r="K563" s="14" t="s">
        <v>1923</v>
      </c>
      <c r="L563" s="14"/>
      <c r="M563" s="6" t="s">
        <v>459</v>
      </c>
      <c r="N563" s="6" t="s">
        <v>388</v>
      </c>
      <c r="O563" s="6" t="s">
        <v>389</v>
      </c>
      <c r="P563" s="6" t="s">
        <v>1924</v>
      </c>
      <c r="Q563" s="6" t="s">
        <v>391</v>
      </c>
      <c r="R563" s="12"/>
    </row>
    <row r="564" customFormat="false" ht="15" hidden="false" customHeight="true" outlineLevel="0" collapsed="false">
      <c r="A564" s="6" t="s">
        <v>1925</v>
      </c>
      <c r="B564" s="6" t="s">
        <v>304</v>
      </c>
      <c r="C564" s="6" t="s">
        <v>1926</v>
      </c>
      <c r="D564" s="6" t="s">
        <v>385</v>
      </c>
      <c r="E564" s="13" t="n">
        <v>30918</v>
      </c>
      <c r="F564" s="6" t="n">
        <v>1984</v>
      </c>
      <c r="G564" s="11" t="n">
        <f aca="true">IF(F564="","",YEAR(TODAY())-F564)</f>
        <v>42</v>
      </c>
      <c r="H564" s="11" t="str">
        <f aca="false">IF(C564="","",IF(G564="","Thiếu thông tin",IF(G564&lt;6,"Trẻ em",IF(G564&lt;23,"Học sinh / Sinh viên",IF(G564&lt;60,"Đang đi làm","Nghỉ hưu")))))</f>
        <v>Đang đi làm</v>
      </c>
      <c r="I564" s="6"/>
      <c r="J564" s="11" t="str">
        <f aca="false">IF(B564="","",IFERROR(INDEX('Hộ gia đình'!$B$2:$B$2000,MATCH(B564,'Hộ gia đình'!$A$2:$A$2000,0)),"Mã hộ không tồn tại"))</f>
        <v>405 E4 Bách Khoa</v>
      </c>
      <c r="K564" s="14" t="s">
        <v>1927</v>
      </c>
      <c r="L564" s="14"/>
      <c r="M564" s="6" t="s">
        <v>459</v>
      </c>
      <c r="N564" s="6" t="s">
        <v>388</v>
      </c>
      <c r="O564" s="6" t="s">
        <v>389</v>
      </c>
      <c r="P564" s="6"/>
      <c r="Q564" s="6" t="s">
        <v>391</v>
      </c>
      <c r="R564" s="12"/>
    </row>
    <row r="565" customFormat="false" ht="15" hidden="false" customHeight="true" outlineLevel="0" collapsed="false">
      <c r="A565" s="6" t="s">
        <v>1928</v>
      </c>
      <c r="B565" s="6" t="s">
        <v>304</v>
      </c>
      <c r="C565" s="6" t="s">
        <v>873</v>
      </c>
      <c r="D565" s="6"/>
      <c r="E565" s="13" t="n">
        <v>40808</v>
      </c>
      <c r="F565" s="6" t="n">
        <v>2001</v>
      </c>
      <c r="G565" s="11" t="n">
        <f aca="true">IF(F565="","",YEAR(TODAY())-F565)</f>
        <v>25</v>
      </c>
      <c r="H565" s="11" t="str">
        <f aca="false">IF(C565="","",IF(G565="","Thiếu thông tin",IF(G565&lt;6,"Trẻ em",IF(G565&lt;23,"Học sinh / Sinh viên",IF(G565&lt;60,"Đang đi làm","Nghỉ hưu")))))</f>
        <v>Đang đi làm</v>
      </c>
      <c r="I565" s="6"/>
      <c r="J565" s="11" t="str">
        <f aca="false">IF(B565="","",IFERROR(INDEX('Hộ gia đình'!$B$2:$B$2000,MATCH(B565,'Hộ gia đình'!$A$2:$A$2000,0)),"Mã hộ không tồn tại"))</f>
        <v>405 E4 Bách Khoa</v>
      </c>
      <c r="K565" s="14"/>
      <c r="L565" s="14"/>
      <c r="M565" s="6"/>
      <c r="N565" s="6" t="s">
        <v>395</v>
      </c>
      <c r="O565" s="6" t="s">
        <v>389</v>
      </c>
      <c r="P565" s="6"/>
      <c r="Q565" s="6" t="s">
        <v>396</v>
      </c>
      <c r="R565" s="12" t="s">
        <v>1929</v>
      </c>
    </row>
    <row r="566" customFormat="false" ht="15" hidden="false" customHeight="true" outlineLevel="0" collapsed="false">
      <c r="A566" s="6" t="s">
        <v>1930</v>
      </c>
      <c r="B566" s="6" t="s">
        <v>304</v>
      </c>
      <c r="C566" s="6" t="s">
        <v>1758</v>
      </c>
      <c r="D566" s="6"/>
      <c r="E566" s="13" t="n">
        <v>42702</v>
      </c>
      <c r="F566" s="6" t="n">
        <v>2016</v>
      </c>
      <c r="G566" s="11" t="n">
        <f aca="true">IF(F566="","",YEAR(TODAY())-F566)</f>
        <v>10</v>
      </c>
      <c r="H566" s="11" t="str">
        <f aca="false">IF(C566="","",IF(G566="","Thiếu thông tin",IF(G566&lt;6,"Trẻ em",IF(G566&lt;23,"Học sinh / Sinh viên",IF(G566&lt;60,"Đang đi làm","Nghỉ hưu")))))</f>
        <v>Học sinh / Sinh viên</v>
      </c>
      <c r="I566" s="6"/>
      <c r="J566" s="11" t="str">
        <f aca="false">IF(B566="","",IFERROR(INDEX('Hộ gia đình'!$B$2:$B$2000,MATCH(B566,'Hộ gia đình'!$A$2:$A$2000,0)),"Mã hộ không tồn tại"))</f>
        <v>405 E4 Bách Khoa</v>
      </c>
      <c r="K566" s="14"/>
      <c r="L566" s="14"/>
      <c r="M566" s="6"/>
      <c r="N566" s="6" t="s">
        <v>395</v>
      </c>
      <c r="O566" s="6" t="s">
        <v>389</v>
      </c>
      <c r="P566" s="6"/>
      <c r="Q566" s="6" t="s">
        <v>403</v>
      </c>
      <c r="R566" s="12"/>
    </row>
    <row r="567" customFormat="false" ht="15" hidden="false" customHeight="true" outlineLevel="0" collapsed="false">
      <c r="A567" s="6" t="s">
        <v>1931</v>
      </c>
      <c r="B567" s="6" t="s">
        <v>306</v>
      </c>
      <c r="C567" s="6" t="s">
        <v>1932</v>
      </c>
      <c r="D567" s="6"/>
      <c r="E567" s="13"/>
      <c r="F567" s="6" t="n">
        <v>1946</v>
      </c>
      <c r="G567" s="11" t="n">
        <f aca="true">IF(F567="","",YEAR(TODAY())-F567)</f>
        <v>80</v>
      </c>
      <c r="H567" s="11" t="str">
        <f aca="false">IF(C567="","",IF(G567="","Thiếu thông tin",IF(G567&lt;6,"Trẻ em",IF(G567&lt;23,"Học sinh / Sinh viên",IF(G567&lt;60,"Đang đi làm","Nghỉ hưu")))))</f>
        <v>Nghỉ hưu</v>
      </c>
      <c r="I567" s="6" t="s">
        <v>52</v>
      </c>
      <c r="J567" s="11" t="str">
        <f aca="false">IF(B567="","",IFERROR(INDEX('Hộ gia đình'!$B$2:$B$2000,MATCH(B567,'Hộ gia đình'!$A$2:$A$2000,0)),"Mã hộ không tồn tại"))</f>
        <v>406 E4 Bách Khoa</v>
      </c>
      <c r="K567" s="14"/>
      <c r="L567" s="14"/>
      <c r="M567" s="6"/>
      <c r="N567" s="6" t="s">
        <v>395</v>
      </c>
      <c r="O567" s="6" t="s">
        <v>389</v>
      </c>
      <c r="P567" s="6"/>
      <c r="Q567" s="6" t="s">
        <v>396</v>
      </c>
      <c r="R567" s="12"/>
    </row>
    <row r="568" customFormat="false" ht="15" hidden="false" customHeight="true" outlineLevel="0" collapsed="false">
      <c r="A568" s="6" t="s">
        <v>1933</v>
      </c>
      <c r="B568" s="6" t="s">
        <v>306</v>
      </c>
      <c r="C568" s="6" t="s">
        <v>1934</v>
      </c>
      <c r="D568" s="6"/>
      <c r="E568" s="13"/>
      <c r="F568" s="6" t="n">
        <v>1973</v>
      </c>
      <c r="G568" s="11" t="n">
        <f aca="true">IF(F568="","",YEAR(TODAY())-F568)</f>
        <v>53</v>
      </c>
      <c r="H568" s="11" t="str">
        <f aca="false">IF(C568="","",IF(G568="","Thiếu thông tin",IF(G568&lt;6,"Trẻ em",IF(G568&lt;23,"Học sinh / Sinh viên",IF(G568&lt;60,"Đang đi làm","Nghỉ hưu")))))</f>
        <v>Đang đi làm</v>
      </c>
      <c r="I568" s="6"/>
      <c r="J568" s="11" t="str">
        <f aca="false">IF(B568="","",IFERROR(INDEX('Hộ gia đình'!$B$2:$B$2000,MATCH(B568,'Hộ gia đình'!$A$2:$A$2000,0)),"Mã hộ không tồn tại"))</f>
        <v>406 E4 Bách Khoa</v>
      </c>
      <c r="K568" s="14"/>
      <c r="L568" s="14"/>
      <c r="M568" s="6"/>
      <c r="N568" s="6" t="s">
        <v>395</v>
      </c>
      <c r="O568" s="6" t="s">
        <v>389</v>
      </c>
      <c r="P568" s="6"/>
      <c r="Q568" s="6" t="s">
        <v>396</v>
      </c>
      <c r="R568" s="12"/>
    </row>
    <row r="569" customFormat="false" ht="15" hidden="false" customHeight="true" outlineLevel="0" collapsed="false">
      <c r="A569" s="6" t="s">
        <v>1935</v>
      </c>
      <c r="B569" s="6" t="s">
        <v>306</v>
      </c>
      <c r="C569" s="6" t="s">
        <v>1936</v>
      </c>
      <c r="D569" s="6"/>
      <c r="E569" s="13"/>
      <c r="F569" s="6" t="n">
        <v>1976</v>
      </c>
      <c r="G569" s="11" t="n">
        <f aca="true">IF(F569="","",YEAR(TODAY())-F569)</f>
        <v>50</v>
      </c>
      <c r="H569" s="11" t="str">
        <f aca="false">IF(C569="","",IF(G569="","Thiếu thông tin",IF(G569&lt;6,"Trẻ em",IF(G569&lt;23,"Học sinh / Sinh viên",IF(G569&lt;60,"Đang đi làm","Nghỉ hưu")))))</f>
        <v>Đang đi làm</v>
      </c>
      <c r="I569" s="6"/>
      <c r="J569" s="11" t="str">
        <f aca="false">IF(B569="","",IFERROR(INDEX('Hộ gia đình'!$B$2:$B$2000,MATCH(B569,'Hộ gia đình'!$A$2:$A$2000,0)),"Mã hộ không tồn tại"))</f>
        <v>406 E4 Bách Khoa</v>
      </c>
      <c r="K569" s="14"/>
      <c r="L569" s="14"/>
      <c r="M569" s="6"/>
      <c r="N569" s="6" t="s">
        <v>395</v>
      </c>
      <c r="O569" s="6" t="s">
        <v>389</v>
      </c>
      <c r="P569" s="6"/>
      <c r="Q569" s="6" t="s">
        <v>396</v>
      </c>
      <c r="R569" s="12"/>
    </row>
    <row r="570" customFormat="false" ht="15" hidden="false" customHeight="true" outlineLevel="0" collapsed="false">
      <c r="A570" s="6" t="s">
        <v>1937</v>
      </c>
      <c r="B570" s="6" t="s">
        <v>306</v>
      </c>
      <c r="C570" s="6" t="s">
        <v>1938</v>
      </c>
      <c r="D570" s="6"/>
      <c r="E570" s="13"/>
      <c r="F570" s="6" t="n">
        <v>2000</v>
      </c>
      <c r="G570" s="11" t="n">
        <f aca="true">IF(F570="","",YEAR(TODAY())-F570)</f>
        <v>26</v>
      </c>
      <c r="H570" s="11" t="str">
        <f aca="false">IF(C570="","",IF(G570="","Thiếu thông tin",IF(G570&lt;6,"Trẻ em",IF(G570&lt;23,"Học sinh / Sinh viên",IF(G570&lt;60,"Đang đi làm","Nghỉ hưu")))))</f>
        <v>Đang đi làm</v>
      </c>
      <c r="I570" s="6"/>
      <c r="J570" s="11" t="str">
        <f aca="false">IF(B570="","",IFERROR(INDEX('Hộ gia đình'!$B$2:$B$2000,MATCH(B570,'Hộ gia đình'!$A$2:$A$2000,0)),"Mã hộ không tồn tại"))</f>
        <v>406 E4 Bách Khoa</v>
      </c>
      <c r="K570" s="14"/>
      <c r="L570" s="14"/>
      <c r="M570" s="6"/>
      <c r="N570" s="6" t="s">
        <v>395</v>
      </c>
      <c r="O570" s="6" t="s">
        <v>389</v>
      </c>
      <c r="P570" s="6"/>
      <c r="Q570" s="6" t="s">
        <v>403</v>
      </c>
      <c r="R570" s="12"/>
    </row>
    <row r="571" customFormat="false" ht="15" hidden="false" customHeight="true" outlineLevel="0" collapsed="false">
      <c r="A571" s="6" t="s">
        <v>1939</v>
      </c>
      <c r="B571" s="6" t="s">
        <v>306</v>
      </c>
      <c r="C571" s="6" t="s">
        <v>1940</v>
      </c>
      <c r="D571" s="6"/>
      <c r="E571" s="13"/>
      <c r="F571" s="6" t="n">
        <v>2005</v>
      </c>
      <c r="G571" s="11" t="n">
        <f aca="true">IF(F571="","",YEAR(TODAY())-F571)</f>
        <v>21</v>
      </c>
      <c r="H571" s="11" t="str">
        <f aca="false">IF(C571="","",IF(G571="","Thiếu thông tin",IF(G571&lt;6,"Trẻ em",IF(G571&lt;23,"Học sinh / Sinh viên",IF(G571&lt;60,"Đang đi làm","Nghỉ hưu")))))</f>
        <v>Học sinh / Sinh viên</v>
      </c>
      <c r="I571" s="6"/>
      <c r="J571" s="11" t="str">
        <f aca="false">IF(B571="","",IFERROR(INDEX('Hộ gia đình'!$B$2:$B$2000,MATCH(B571,'Hộ gia đình'!$A$2:$A$2000,0)),"Mã hộ không tồn tại"))</f>
        <v>406 E4 Bách Khoa</v>
      </c>
      <c r="K571" s="14"/>
      <c r="L571" s="14"/>
      <c r="M571" s="6"/>
      <c r="N571" s="6" t="s">
        <v>395</v>
      </c>
      <c r="O571" s="6" t="s">
        <v>389</v>
      </c>
      <c r="P571" s="6"/>
      <c r="Q571" s="6" t="s">
        <v>403</v>
      </c>
      <c r="R571" s="12"/>
    </row>
    <row r="572" customFormat="false" ht="15" hidden="false" customHeight="true" outlineLevel="0" collapsed="false">
      <c r="A572" s="6" t="s">
        <v>1941</v>
      </c>
      <c r="B572" s="6" t="s">
        <v>308</v>
      </c>
      <c r="C572" s="6" t="s">
        <v>1667</v>
      </c>
      <c r="D572" s="6"/>
      <c r="E572" s="13"/>
      <c r="F572" s="6"/>
      <c r="G572" s="11" t="str">
        <f aca="true">IF(F572="","",YEAR(TODAY())-F572)</f>
        <v/>
      </c>
      <c r="H572" s="11" t="str">
        <f aca="false">IF(C572="","",IF(G572="","Thiếu thông tin",IF(G572&lt;6,"Trẻ em",IF(G572&lt;23,"Học sinh / Sinh viên",IF(G572&lt;60,"Đang đi làm","Nghỉ hưu")))))</f>
        <v>Thiếu thông tin</v>
      </c>
      <c r="I572" s="6" t="s">
        <v>52</v>
      </c>
      <c r="J572" s="11" t="str">
        <f aca="false">IF(B572="","",IFERROR(INDEX('Hộ gia đình'!$B$2:$B$2000,MATCH(B572,'Hộ gia đình'!$A$2:$A$2000,0)),"Mã hộ không tồn tại"))</f>
        <v>407 E4 Bách Khoa</v>
      </c>
      <c r="K572" s="14"/>
      <c r="L572" s="14"/>
      <c r="M572" s="6"/>
      <c r="N572" s="6" t="s">
        <v>395</v>
      </c>
      <c r="O572" s="6" t="s">
        <v>389</v>
      </c>
      <c r="P572" s="6" t="s">
        <v>1942</v>
      </c>
      <c r="Q572" s="6" t="s">
        <v>396</v>
      </c>
      <c r="R572" s="12" t="s">
        <v>522</v>
      </c>
    </row>
    <row r="573" customFormat="false" ht="15" hidden="false" customHeight="true" outlineLevel="0" collapsed="false">
      <c r="A573" s="6" t="s">
        <v>1943</v>
      </c>
      <c r="B573" s="6" t="s">
        <v>310</v>
      </c>
      <c r="C573" s="6" t="s">
        <v>1944</v>
      </c>
      <c r="D573" s="6"/>
      <c r="E573" s="13"/>
      <c r="F573" s="6" t="n">
        <v>1993</v>
      </c>
      <c r="G573" s="11" t="n">
        <f aca="true">IF(F573="","",YEAR(TODAY())-F573)</f>
        <v>33</v>
      </c>
      <c r="H573" s="11" t="str">
        <f aca="false">IF(C573="","",IF(G573="","Thiếu thông tin",IF(G573&lt;6,"Trẻ em",IF(G573&lt;23,"Học sinh / Sinh viên",IF(G573&lt;60,"Đang đi làm","Nghỉ hưu")))))</f>
        <v>Đang đi làm</v>
      </c>
      <c r="I573" s="6" t="s">
        <v>52</v>
      </c>
      <c r="J573" s="11" t="str">
        <f aca="false">IF(B573="","",IFERROR(INDEX('Hộ gia đình'!$B$2:$B$2000,MATCH(B573,'Hộ gia đình'!$A$2:$A$2000,0)),"Mã hộ không tồn tại"))</f>
        <v>408 E4 Bách Khoa</v>
      </c>
      <c r="K573" s="14"/>
      <c r="L573" s="14"/>
      <c r="M573" s="6"/>
      <c r="N573" s="6" t="s">
        <v>395</v>
      </c>
      <c r="O573" s="6" t="s">
        <v>389</v>
      </c>
      <c r="P573" s="6"/>
      <c r="Q573" s="6" t="s">
        <v>396</v>
      </c>
      <c r="R573" s="12"/>
    </row>
    <row r="574" customFormat="false" ht="15" hidden="false" customHeight="true" outlineLevel="0" collapsed="false">
      <c r="A574" s="6" t="s">
        <v>1945</v>
      </c>
      <c r="B574" s="6" t="s">
        <v>312</v>
      </c>
      <c r="C574" s="6" t="s">
        <v>1946</v>
      </c>
      <c r="D574" s="6"/>
      <c r="E574" s="13" t="n">
        <v>24699</v>
      </c>
      <c r="F574" s="6" t="n">
        <v>1967</v>
      </c>
      <c r="G574" s="11" t="n">
        <f aca="true">IF(F574="","",YEAR(TODAY())-F574)</f>
        <v>59</v>
      </c>
      <c r="H574" s="11" t="str">
        <f aca="false">IF(C574="","",IF(G574="","Thiếu thông tin",IF(G574&lt;6,"Trẻ em",IF(G574&lt;23,"Học sinh / Sinh viên",IF(G574&lt;60,"Đang đi làm","Nghỉ hưu")))))</f>
        <v>Đang đi làm</v>
      </c>
      <c r="I574" s="6" t="s">
        <v>52</v>
      </c>
      <c r="J574" s="11" t="str">
        <f aca="false">IF(B574="","",IFERROR(INDEX('Hộ gia đình'!$B$2:$B$2000,MATCH(B574,'Hộ gia đình'!$A$2:$A$2000,0)),"Mã hộ không tồn tại"))</f>
        <v>409 E4 Bách Khoa</v>
      </c>
      <c r="K574" s="14"/>
      <c r="L574" s="14"/>
      <c r="M574" s="6"/>
      <c r="N574" s="6" t="s">
        <v>395</v>
      </c>
      <c r="O574" s="6" t="s">
        <v>389</v>
      </c>
      <c r="P574" s="6"/>
      <c r="Q574" s="6" t="s">
        <v>396</v>
      </c>
      <c r="R574" s="12"/>
    </row>
    <row r="575" customFormat="false" ht="15" hidden="false" customHeight="true" outlineLevel="0" collapsed="false">
      <c r="A575" s="6" t="s">
        <v>1947</v>
      </c>
      <c r="B575" s="6" t="s">
        <v>312</v>
      </c>
      <c r="C575" s="6" t="s">
        <v>1948</v>
      </c>
      <c r="D575" s="6"/>
      <c r="E575" s="13" t="n">
        <v>32932</v>
      </c>
      <c r="F575" s="6" t="n">
        <v>1989</v>
      </c>
      <c r="G575" s="11" t="n">
        <f aca="true">IF(F575="","",YEAR(TODAY())-F575)</f>
        <v>37</v>
      </c>
      <c r="H575" s="11" t="str">
        <f aca="false">IF(C575="","",IF(G575="","Thiếu thông tin",IF(G575&lt;6,"Trẻ em",IF(G575&lt;23,"Học sinh / Sinh viên",IF(G575&lt;60,"Đang đi làm","Nghỉ hưu")))))</f>
        <v>Đang đi làm</v>
      </c>
      <c r="I575" s="6"/>
      <c r="J575" s="11" t="str">
        <f aca="false">IF(B575="","",IFERROR(INDEX('Hộ gia đình'!$B$2:$B$2000,MATCH(B575,'Hộ gia đình'!$A$2:$A$2000,0)),"Mã hộ không tồn tại"))</f>
        <v>409 E4 Bách Khoa</v>
      </c>
      <c r="K575" s="14"/>
      <c r="L575" s="14"/>
      <c r="M575" s="6"/>
      <c r="N575" s="6" t="s">
        <v>395</v>
      </c>
      <c r="O575" s="6" t="s">
        <v>389</v>
      </c>
      <c r="P575" s="6"/>
      <c r="Q575" s="6" t="s">
        <v>396</v>
      </c>
      <c r="R575" s="12" t="s">
        <v>1949</v>
      </c>
    </row>
    <row r="576" customFormat="false" ht="15" hidden="false" customHeight="true" outlineLevel="0" collapsed="false">
      <c r="A576" s="6" t="s">
        <v>1950</v>
      </c>
      <c r="B576" s="6" t="s">
        <v>312</v>
      </c>
      <c r="C576" s="6" t="s">
        <v>1951</v>
      </c>
      <c r="D576" s="6"/>
      <c r="E576" s="13"/>
      <c r="F576" s="6" t="n">
        <v>1990</v>
      </c>
      <c r="G576" s="11" t="n">
        <f aca="true">IF(F576="","",YEAR(TODAY())-F576)</f>
        <v>36</v>
      </c>
      <c r="H576" s="11" t="str">
        <f aca="false">IF(C576="","",IF(G576="","Thiếu thông tin",IF(G576&lt;6,"Trẻ em",IF(G576&lt;23,"Học sinh / Sinh viên",IF(G576&lt;60,"Đang đi làm","Nghỉ hưu")))))</f>
        <v>Đang đi làm</v>
      </c>
      <c r="I576" s="6"/>
      <c r="J576" s="11" t="str">
        <f aca="false">IF(B576="","",IFERROR(INDEX('Hộ gia đình'!$B$2:$B$2000,MATCH(B576,'Hộ gia đình'!$A$2:$A$2000,0)),"Mã hộ không tồn tại"))</f>
        <v>409 E4 Bách Khoa</v>
      </c>
      <c r="K576" s="14"/>
      <c r="L576" s="14"/>
      <c r="M576" s="6"/>
      <c r="N576" s="6" t="s">
        <v>395</v>
      </c>
      <c r="O576" s="6" t="s">
        <v>389</v>
      </c>
      <c r="P576" s="6"/>
      <c r="Q576" s="6" t="s">
        <v>396</v>
      </c>
      <c r="R576" s="12"/>
    </row>
    <row r="577" customFormat="false" ht="15" hidden="false" customHeight="true" outlineLevel="0" collapsed="false">
      <c r="A577" s="6" t="s">
        <v>1952</v>
      </c>
      <c r="B577" s="6" t="s">
        <v>312</v>
      </c>
      <c r="C577" s="6" t="s">
        <v>1953</v>
      </c>
      <c r="D577" s="6"/>
      <c r="E577" s="13"/>
      <c r="F577" s="6" t="n">
        <v>2018</v>
      </c>
      <c r="G577" s="11" t="n">
        <f aca="true">IF(F577="","",YEAR(TODAY())-F577)</f>
        <v>8</v>
      </c>
      <c r="H577" s="11" t="str">
        <f aca="false">IF(C577="","",IF(G577="","Thiếu thông tin",IF(G577&lt;6,"Trẻ em",IF(G577&lt;23,"Học sinh / Sinh viên",IF(G577&lt;60,"Đang đi làm","Nghỉ hưu")))))</f>
        <v>Học sinh / Sinh viên</v>
      </c>
      <c r="I577" s="6"/>
      <c r="J577" s="11" t="str">
        <f aca="false">IF(B577="","",IFERROR(INDEX('Hộ gia đình'!$B$2:$B$2000,MATCH(B577,'Hộ gia đình'!$A$2:$A$2000,0)),"Mã hộ không tồn tại"))</f>
        <v>409 E4 Bách Khoa</v>
      </c>
      <c r="K577" s="14"/>
      <c r="L577" s="14"/>
      <c r="M577" s="6"/>
      <c r="N577" s="6" t="s">
        <v>395</v>
      </c>
      <c r="O577" s="6" t="s">
        <v>389</v>
      </c>
      <c r="P577" s="6"/>
      <c r="Q577" s="6" t="s">
        <v>403</v>
      </c>
      <c r="R577" s="12"/>
    </row>
    <row r="578" customFormat="false" ht="15" hidden="false" customHeight="true" outlineLevel="0" collapsed="false">
      <c r="A578" s="6" t="s">
        <v>1954</v>
      </c>
      <c r="B578" s="6" t="s">
        <v>312</v>
      </c>
      <c r="C578" s="6" t="s">
        <v>1955</v>
      </c>
      <c r="D578" s="6"/>
      <c r="E578" s="13"/>
      <c r="F578" s="6" t="n">
        <v>1977</v>
      </c>
      <c r="G578" s="11" t="n">
        <f aca="true">IF(F578="","",YEAR(TODAY())-F578)</f>
        <v>49</v>
      </c>
      <c r="H578" s="11" t="str">
        <f aca="false">IF(C578="","",IF(G578="","Thiếu thông tin",IF(G578&lt;6,"Trẻ em",IF(G578&lt;23,"Học sinh / Sinh viên",IF(G578&lt;60,"Đang đi làm","Nghỉ hưu")))))</f>
        <v>Đang đi làm</v>
      </c>
      <c r="I578" s="6"/>
      <c r="J578" s="11" t="str">
        <f aca="false">IF(B578="","",IFERROR(INDEX('Hộ gia đình'!$B$2:$B$2000,MATCH(B578,'Hộ gia đình'!$A$2:$A$2000,0)),"Mã hộ không tồn tại"))</f>
        <v>409 E4 Bách Khoa</v>
      </c>
      <c r="K578" s="14"/>
      <c r="L578" s="14"/>
      <c r="M578" s="6"/>
      <c r="N578" s="6" t="s">
        <v>395</v>
      </c>
      <c r="O578" s="6" t="s">
        <v>389</v>
      </c>
      <c r="P578" s="6"/>
      <c r="Q578" s="6" t="s">
        <v>396</v>
      </c>
      <c r="R578" s="12"/>
    </row>
    <row r="579" customFormat="false" ht="15" hidden="false" customHeight="true" outlineLevel="0" collapsed="false">
      <c r="A579" s="6" t="s">
        <v>1956</v>
      </c>
      <c r="B579" s="6" t="s">
        <v>312</v>
      </c>
      <c r="C579" s="6" t="s">
        <v>1957</v>
      </c>
      <c r="D579" s="6"/>
      <c r="E579" s="13"/>
      <c r="F579" s="6" t="n">
        <v>1964</v>
      </c>
      <c r="G579" s="11" t="n">
        <f aca="true">IF(F579="","",YEAR(TODAY())-F579)</f>
        <v>62</v>
      </c>
      <c r="H579" s="11" t="str">
        <f aca="false">IF(C579="","",IF(G579="","Thiếu thông tin",IF(G579&lt;6,"Trẻ em",IF(G579&lt;23,"Học sinh / Sinh viên",IF(G579&lt;60,"Đang đi làm","Nghỉ hưu")))))</f>
        <v>Nghỉ hưu</v>
      </c>
      <c r="I579" s="6"/>
      <c r="J579" s="11" t="str">
        <f aca="false">IF(B579="","",IFERROR(INDEX('Hộ gia đình'!$B$2:$B$2000,MATCH(B579,'Hộ gia đình'!$A$2:$A$2000,0)),"Mã hộ không tồn tại"))</f>
        <v>409 E4 Bách Khoa</v>
      </c>
      <c r="K579" s="14"/>
      <c r="L579" s="14"/>
      <c r="M579" s="6"/>
      <c r="N579" s="6" t="s">
        <v>395</v>
      </c>
      <c r="O579" s="6" t="s">
        <v>389</v>
      </c>
      <c r="P579" s="6"/>
      <c r="Q579" s="6" t="s">
        <v>396</v>
      </c>
      <c r="R579" s="12"/>
    </row>
    <row r="580" customFormat="false" ht="15" hidden="false" customHeight="true" outlineLevel="0" collapsed="false">
      <c r="A580" s="6" t="s">
        <v>1958</v>
      </c>
      <c r="B580" s="6" t="s">
        <v>312</v>
      </c>
      <c r="C580" s="6" t="s">
        <v>1959</v>
      </c>
      <c r="D580" s="6"/>
      <c r="E580" s="13"/>
      <c r="F580" s="6" t="n">
        <v>2011</v>
      </c>
      <c r="G580" s="11" t="n">
        <f aca="true">IF(F580="","",YEAR(TODAY())-F580)</f>
        <v>15</v>
      </c>
      <c r="H580" s="11" t="str">
        <f aca="false">IF(C580="","",IF(G580="","Thiếu thông tin",IF(G580&lt;6,"Trẻ em",IF(G580&lt;23,"Học sinh / Sinh viên",IF(G580&lt;60,"Đang đi làm","Nghỉ hưu")))))</f>
        <v>Học sinh / Sinh viên</v>
      </c>
      <c r="I580" s="6"/>
      <c r="J580" s="11" t="str">
        <f aca="false">IF(B580="","",IFERROR(INDEX('Hộ gia đình'!$B$2:$B$2000,MATCH(B580,'Hộ gia đình'!$A$2:$A$2000,0)),"Mã hộ không tồn tại"))</f>
        <v>409 E4 Bách Khoa</v>
      </c>
      <c r="K580" s="14"/>
      <c r="L580" s="14"/>
      <c r="M580" s="6"/>
      <c r="N580" s="6" t="s">
        <v>395</v>
      </c>
      <c r="O580" s="6" t="s">
        <v>389</v>
      </c>
      <c r="P580" s="6"/>
      <c r="Q580" s="6" t="s">
        <v>403</v>
      </c>
      <c r="R580" s="12"/>
    </row>
    <row r="581" customFormat="false" ht="15" hidden="false" customHeight="true" outlineLevel="0" collapsed="false">
      <c r="A581" s="6" t="s">
        <v>1960</v>
      </c>
      <c r="B581" s="6" t="s">
        <v>312</v>
      </c>
      <c r="C581" s="6" t="s">
        <v>1961</v>
      </c>
      <c r="D581" s="6"/>
      <c r="E581" s="13"/>
      <c r="F581" s="6" t="n">
        <v>2020</v>
      </c>
      <c r="G581" s="11" t="n">
        <f aca="true">IF(F581="","",YEAR(TODAY())-F581)</f>
        <v>6</v>
      </c>
      <c r="H581" s="11" t="str">
        <f aca="false">IF(C581="","",IF(G581="","Thiếu thông tin",IF(G581&lt;6,"Trẻ em",IF(G581&lt;23,"Học sinh / Sinh viên",IF(G581&lt;60,"Đang đi làm","Nghỉ hưu")))))</f>
        <v>Học sinh / Sinh viên</v>
      </c>
      <c r="I581" s="6"/>
      <c r="J581" s="11" t="str">
        <f aca="false">IF(B581="","",IFERROR(INDEX('Hộ gia đình'!$B$2:$B$2000,MATCH(B581,'Hộ gia đình'!$A$2:$A$2000,0)),"Mã hộ không tồn tại"))</f>
        <v>409 E4 Bách Khoa</v>
      </c>
      <c r="K581" s="14"/>
      <c r="L581" s="14"/>
      <c r="M581" s="6"/>
      <c r="N581" s="6" t="s">
        <v>395</v>
      </c>
      <c r="O581" s="6" t="s">
        <v>389</v>
      </c>
      <c r="P581" s="6"/>
      <c r="Q581" s="6" t="s">
        <v>403</v>
      </c>
      <c r="R581" s="12"/>
    </row>
    <row r="582" customFormat="false" ht="15" hidden="false" customHeight="true" outlineLevel="0" collapsed="false">
      <c r="A582" s="6" t="s">
        <v>1962</v>
      </c>
      <c r="B582" s="6" t="s">
        <v>312</v>
      </c>
      <c r="C582" s="6" t="s">
        <v>1724</v>
      </c>
      <c r="D582" s="6"/>
      <c r="E582" s="13"/>
      <c r="F582" s="6" t="n">
        <v>1982</v>
      </c>
      <c r="G582" s="11" t="n">
        <f aca="true">IF(F582="","",YEAR(TODAY())-F582)</f>
        <v>44</v>
      </c>
      <c r="H582" s="11" t="str">
        <f aca="false">IF(C582="","",IF(G582="","Thiếu thông tin",IF(G582&lt;6,"Trẻ em",IF(G582&lt;23,"Học sinh / Sinh viên",IF(G582&lt;60,"Đang đi làm","Nghỉ hưu")))))</f>
        <v>Đang đi làm</v>
      </c>
      <c r="I582" s="6"/>
      <c r="J582" s="11" t="str">
        <f aca="false">IF(B582="","",IFERROR(INDEX('Hộ gia đình'!$B$2:$B$2000,MATCH(B582,'Hộ gia đình'!$A$2:$A$2000,0)),"Mã hộ không tồn tại"))</f>
        <v>409 E4 Bách Khoa</v>
      </c>
      <c r="K582" s="14"/>
      <c r="L582" s="14"/>
      <c r="M582" s="6"/>
      <c r="N582" s="6" t="s">
        <v>395</v>
      </c>
      <c r="O582" s="6" t="s">
        <v>389</v>
      </c>
      <c r="P582" s="6"/>
      <c r="Q582" s="6" t="s">
        <v>396</v>
      </c>
      <c r="R582" s="12"/>
    </row>
    <row r="583" customFormat="false" ht="15" hidden="false" customHeight="true" outlineLevel="0" collapsed="false">
      <c r="A583" s="6" t="s">
        <v>1963</v>
      </c>
      <c r="B583" s="6" t="s">
        <v>312</v>
      </c>
      <c r="C583" s="6" t="s">
        <v>1964</v>
      </c>
      <c r="D583" s="6" t="s">
        <v>385</v>
      </c>
      <c r="E583" s="13" t="n">
        <v>34920</v>
      </c>
      <c r="F583" s="6" t="n">
        <v>1995</v>
      </c>
      <c r="G583" s="11" t="n">
        <f aca="true">IF(F583="","",YEAR(TODAY())-F583)</f>
        <v>31</v>
      </c>
      <c r="H583" s="11" t="str">
        <f aca="false">IF(C583="","",IF(G583="","Thiếu thông tin",IF(G583&lt;6,"Trẻ em",IF(G583&lt;23,"Học sinh / Sinh viên",IF(G583&lt;60,"Đang đi làm","Nghỉ hưu")))))</f>
        <v>Đang đi làm</v>
      </c>
      <c r="I583" s="6"/>
      <c r="J583" s="11" t="str">
        <f aca="false">IF(B583="","",IFERROR(INDEX('Hộ gia đình'!$B$2:$B$2000,MATCH(B583,'Hộ gia đình'!$A$2:$A$2000,0)),"Mã hộ không tồn tại"))</f>
        <v>409 E4 Bách Khoa</v>
      </c>
      <c r="K583" s="14" t="s">
        <v>1965</v>
      </c>
      <c r="L583" s="14"/>
      <c r="M583" s="6" t="s">
        <v>459</v>
      </c>
      <c r="N583" s="6" t="s">
        <v>388</v>
      </c>
      <c r="O583" s="6" t="s">
        <v>389</v>
      </c>
      <c r="P583" s="6"/>
      <c r="Q583" s="6" t="s">
        <v>410</v>
      </c>
      <c r="R583" s="12"/>
    </row>
    <row r="584" customFormat="false" ht="15" hidden="false" customHeight="true" outlineLevel="0" collapsed="false">
      <c r="A584" s="6" t="s">
        <v>1966</v>
      </c>
      <c r="B584" s="6" t="s">
        <v>312</v>
      </c>
      <c r="C584" s="6" t="s">
        <v>1967</v>
      </c>
      <c r="D584" s="6" t="s">
        <v>385</v>
      </c>
      <c r="E584" s="13" t="n">
        <v>36821</v>
      </c>
      <c r="F584" s="6" t="n">
        <v>2000</v>
      </c>
      <c r="G584" s="11" t="n">
        <f aca="true">IF(F584="","",YEAR(TODAY())-F584)</f>
        <v>26</v>
      </c>
      <c r="H584" s="11" t="str">
        <f aca="false">IF(C584="","",IF(G584="","Thiếu thông tin",IF(G584&lt;6,"Trẻ em",IF(G584&lt;23,"Học sinh / Sinh viên",IF(G584&lt;60,"Đang đi làm","Nghỉ hưu")))))</f>
        <v>Đang đi làm</v>
      </c>
      <c r="I584" s="6"/>
      <c r="J584" s="11" t="str">
        <f aca="false">IF(B584="","",IFERROR(INDEX('Hộ gia đình'!$B$2:$B$2000,MATCH(B584,'Hộ gia đình'!$A$2:$A$2000,0)),"Mã hộ không tồn tại"))</f>
        <v>409 E4 Bách Khoa</v>
      </c>
      <c r="K584" s="14" t="s">
        <v>1968</v>
      </c>
      <c r="L584" s="14"/>
      <c r="M584" s="6" t="s">
        <v>459</v>
      </c>
      <c r="N584" s="6" t="s">
        <v>388</v>
      </c>
      <c r="O584" s="6" t="s">
        <v>389</v>
      </c>
      <c r="P584" s="6"/>
      <c r="Q584" s="6" t="s">
        <v>410</v>
      </c>
      <c r="R584" s="12"/>
    </row>
    <row r="585" customFormat="false" ht="15" hidden="false" customHeight="true" outlineLevel="0" collapsed="false">
      <c r="A585" s="6" t="s">
        <v>1969</v>
      </c>
      <c r="B585" s="6" t="s">
        <v>314</v>
      </c>
      <c r="C585" s="6" t="s">
        <v>1970</v>
      </c>
      <c r="D585" s="6" t="s">
        <v>408</v>
      </c>
      <c r="E585" s="13" t="n">
        <v>34908</v>
      </c>
      <c r="F585" s="6" t="n">
        <v>1995</v>
      </c>
      <c r="G585" s="11" t="n">
        <f aca="true">IF(F585="","",YEAR(TODAY())-F585)</f>
        <v>31</v>
      </c>
      <c r="H585" s="11" t="str">
        <f aca="false">IF(C585="","",IF(G585="","Thiếu thông tin",IF(G585&lt;6,"Trẻ em",IF(G585&lt;23,"Học sinh / Sinh viên",IF(G585&lt;60,"Đang đi làm","Nghỉ hưu")))))</f>
        <v>Đang đi làm</v>
      </c>
      <c r="I585" s="6" t="s">
        <v>52</v>
      </c>
      <c r="J585" s="11" t="str">
        <f aca="false">IF(B585="","",IFERROR(INDEX('Hộ gia đình'!$B$2:$B$2000,MATCH(B585,'Hộ gia đình'!$A$2:$A$2000,0)),"Mã hộ không tồn tại"))</f>
        <v>410 E4 Bách Khoa</v>
      </c>
      <c r="K585" s="14" t="s">
        <v>1971</v>
      </c>
      <c r="L585" s="14"/>
      <c r="M585" s="6" t="s">
        <v>459</v>
      </c>
      <c r="N585" s="6" t="s">
        <v>388</v>
      </c>
      <c r="O585" s="6" t="s">
        <v>389</v>
      </c>
      <c r="P585" s="6"/>
      <c r="Q585" s="6" t="s">
        <v>583</v>
      </c>
      <c r="R585" s="12"/>
    </row>
    <row r="586" customFormat="false" ht="15" hidden="false" customHeight="true" outlineLevel="0" collapsed="false">
      <c r="A586" s="6" t="s">
        <v>1972</v>
      </c>
      <c r="B586" s="6" t="s">
        <v>314</v>
      </c>
      <c r="C586" s="6" t="s">
        <v>1973</v>
      </c>
      <c r="D586" s="6" t="s">
        <v>385</v>
      </c>
      <c r="E586" s="13" t="n">
        <v>34938</v>
      </c>
      <c r="F586" s="6" t="n">
        <v>1995</v>
      </c>
      <c r="G586" s="11" t="n">
        <f aca="true">IF(F586="","",YEAR(TODAY())-F586)</f>
        <v>31</v>
      </c>
      <c r="H586" s="11" t="str">
        <f aca="false">IF(C586="","",IF(G586="","Thiếu thông tin",IF(G586&lt;6,"Trẻ em",IF(G586&lt;23,"Học sinh / Sinh viên",IF(G586&lt;60,"Đang đi làm","Nghỉ hưu")))))</f>
        <v>Đang đi làm</v>
      </c>
      <c r="I586" s="6"/>
      <c r="J586" s="11" t="str">
        <f aca="false">IF(B586="","",IFERROR(INDEX('Hộ gia đình'!$B$2:$B$2000,MATCH(B586,'Hộ gia đình'!$A$2:$A$2000,0)),"Mã hộ không tồn tại"))</f>
        <v>410 E4 Bách Khoa</v>
      </c>
      <c r="K586" s="14" t="s">
        <v>1974</v>
      </c>
      <c r="L586" s="14"/>
      <c r="M586" s="6" t="s">
        <v>459</v>
      </c>
      <c r="N586" s="6" t="s">
        <v>388</v>
      </c>
      <c r="O586" s="6" t="s">
        <v>389</v>
      </c>
      <c r="P586" s="6"/>
      <c r="Q586" s="6" t="s">
        <v>1975</v>
      </c>
      <c r="R586" s="12" t="s">
        <v>1976</v>
      </c>
    </row>
    <row r="587" customFormat="false" ht="15" hidden="false" customHeight="true" outlineLevel="0" collapsed="false">
      <c r="A587" s="6" t="s">
        <v>1977</v>
      </c>
      <c r="B587" s="6" t="s">
        <v>314</v>
      </c>
      <c r="C587" s="6" t="s">
        <v>1978</v>
      </c>
      <c r="D587" s="6"/>
      <c r="E587" s="13"/>
      <c r="F587" s="6" t="n">
        <v>2021</v>
      </c>
      <c r="G587" s="11" t="n">
        <f aca="true">IF(F587="","",YEAR(TODAY())-F587)</f>
        <v>5</v>
      </c>
      <c r="H587" s="11" t="str">
        <f aca="false">IF(C587="","",IF(G587="","Thiếu thông tin",IF(G587&lt;6,"Trẻ em",IF(G587&lt;23,"Học sinh / Sinh viên",IF(G587&lt;60,"Đang đi làm","Nghỉ hưu")))))</f>
        <v>Trẻ em</v>
      </c>
      <c r="I587" s="6"/>
      <c r="J587" s="11" t="str">
        <f aca="false">IF(B587="","",IFERROR(INDEX('Hộ gia đình'!$B$2:$B$2000,MATCH(B587,'Hộ gia đình'!$A$2:$A$2000,0)),"Mã hộ không tồn tại"))</f>
        <v>410 E4 Bách Khoa</v>
      </c>
      <c r="K587" s="14"/>
      <c r="L587" s="14"/>
      <c r="M587" s="6"/>
      <c r="N587" s="6" t="s">
        <v>395</v>
      </c>
      <c r="O587" s="6" t="s">
        <v>389</v>
      </c>
      <c r="P587" s="6"/>
      <c r="Q587" s="6" t="s">
        <v>403</v>
      </c>
      <c r="R587" s="12"/>
    </row>
    <row r="588" customFormat="false" ht="15" hidden="false" customHeight="true" outlineLevel="0" collapsed="false">
      <c r="A588" s="6" t="s">
        <v>1979</v>
      </c>
      <c r="B588" s="6" t="s">
        <v>316</v>
      </c>
      <c r="C588" s="6" t="s">
        <v>1980</v>
      </c>
      <c r="D588" s="6" t="s">
        <v>408</v>
      </c>
      <c r="E588" s="13" t="n">
        <v>26608</v>
      </c>
      <c r="F588" s="6" t="n">
        <v>1972</v>
      </c>
      <c r="G588" s="11" t="n">
        <f aca="true">IF(F588="","",YEAR(TODAY())-F588)</f>
        <v>54</v>
      </c>
      <c r="H588" s="11" t="str">
        <f aca="false">IF(C588="","",IF(G588="","Thiếu thông tin",IF(G588&lt;6,"Trẻ em",IF(G588&lt;23,"Học sinh / Sinh viên",IF(G588&lt;60,"Đang đi làm","Nghỉ hưu")))))</f>
        <v>Đang đi làm</v>
      </c>
      <c r="I588" s="6" t="s">
        <v>52</v>
      </c>
      <c r="J588" s="11" t="str">
        <f aca="false">IF(B588="","",IFERROR(INDEX('Hộ gia đình'!$B$2:$B$2000,MATCH(B588,'Hộ gia đình'!$A$2:$A$2000,0)),"Mã hộ không tồn tại"))</f>
        <v>412 E4 Bách Khoa</v>
      </c>
      <c r="K588" s="14" t="s">
        <v>1981</v>
      </c>
      <c r="L588" s="14"/>
      <c r="M588" s="6" t="s">
        <v>459</v>
      </c>
      <c r="N588" s="6" t="s">
        <v>388</v>
      </c>
      <c r="O588" s="6" t="s">
        <v>389</v>
      </c>
      <c r="P588" s="6"/>
      <c r="Q588" s="6" t="s">
        <v>391</v>
      </c>
      <c r="R588" s="12"/>
    </row>
    <row r="589" customFormat="false" ht="15" hidden="false" customHeight="true" outlineLevel="0" collapsed="false">
      <c r="A589" s="6" t="s">
        <v>1982</v>
      </c>
      <c r="B589" s="6" t="s">
        <v>316</v>
      </c>
      <c r="C589" s="6" t="s">
        <v>1983</v>
      </c>
      <c r="D589" s="6" t="s">
        <v>385</v>
      </c>
      <c r="E589" s="13" t="n">
        <v>27212</v>
      </c>
      <c r="F589" s="6" t="n">
        <v>1974</v>
      </c>
      <c r="G589" s="11" t="n">
        <f aca="true">IF(F589="","",YEAR(TODAY())-F589)</f>
        <v>52</v>
      </c>
      <c r="H589" s="11" t="str">
        <f aca="false">IF(C589="","",IF(G589="","Thiếu thông tin",IF(G589&lt;6,"Trẻ em",IF(G589&lt;23,"Học sinh / Sinh viên",IF(G589&lt;60,"Đang đi làm","Nghỉ hưu")))))</f>
        <v>Đang đi làm</v>
      </c>
      <c r="I589" s="6"/>
      <c r="J589" s="11" t="str">
        <f aca="false">IF(B589="","",IFERROR(INDEX('Hộ gia đình'!$B$2:$B$2000,MATCH(B589,'Hộ gia đình'!$A$2:$A$2000,0)),"Mã hộ không tồn tại"))</f>
        <v>412 E4 Bách Khoa</v>
      </c>
      <c r="K589" s="14" t="s">
        <v>1984</v>
      </c>
      <c r="L589" s="14"/>
      <c r="M589" s="6" t="s">
        <v>459</v>
      </c>
      <c r="N589" s="6" t="s">
        <v>388</v>
      </c>
      <c r="O589" s="6" t="s">
        <v>389</v>
      </c>
      <c r="P589" s="6"/>
      <c r="Q589" s="6" t="s">
        <v>391</v>
      </c>
      <c r="R589" s="12"/>
    </row>
    <row r="590" customFormat="false" ht="15" hidden="false" customHeight="true" outlineLevel="0" collapsed="false">
      <c r="A590" s="6" t="s">
        <v>1985</v>
      </c>
      <c r="B590" s="6" t="s">
        <v>316</v>
      </c>
      <c r="C590" s="6" t="s">
        <v>1986</v>
      </c>
      <c r="D590" s="6"/>
      <c r="E590" s="13"/>
      <c r="F590" s="6" t="n">
        <v>2015</v>
      </c>
      <c r="G590" s="11" t="n">
        <f aca="true">IF(F590="","",YEAR(TODAY())-F590)</f>
        <v>11</v>
      </c>
      <c r="H590" s="11" t="str">
        <f aca="false">IF(C590="","",IF(G590="","Thiếu thông tin",IF(G590&lt;6,"Trẻ em",IF(G590&lt;23,"Học sinh / Sinh viên",IF(G590&lt;60,"Đang đi làm","Nghỉ hưu")))))</f>
        <v>Học sinh / Sinh viên</v>
      </c>
      <c r="I590" s="6"/>
      <c r="J590" s="11" t="str">
        <f aca="false">IF(B590="","",IFERROR(INDEX('Hộ gia đình'!$B$2:$B$2000,MATCH(B590,'Hộ gia đình'!$A$2:$A$2000,0)),"Mã hộ không tồn tại"))</f>
        <v>412 E4 Bách Khoa</v>
      </c>
      <c r="K590" s="14"/>
      <c r="L590" s="14"/>
      <c r="M590" s="6"/>
      <c r="N590" s="6" t="s">
        <v>395</v>
      </c>
      <c r="O590" s="6" t="s">
        <v>389</v>
      </c>
      <c r="P590" s="6"/>
      <c r="Q590" s="6" t="s">
        <v>403</v>
      </c>
      <c r="R590" s="12"/>
    </row>
    <row r="591" customFormat="false" ht="15" hidden="false" customHeight="true" outlineLevel="0" collapsed="false">
      <c r="A591" s="6" t="s">
        <v>1987</v>
      </c>
      <c r="B591" s="6" t="s">
        <v>318</v>
      </c>
      <c r="C591" s="6" t="s">
        <v>1988</v>
      </c>
      <c r="D591" s="6" t="s">
        <v>408</v>
      </c>
      <c r="E591" s="13" t="n">
        <v>35272</v>
      </c>
      <c r="F591" s="6" t="n">
        <v>1996</v>
      </c>
      <c r="G591" s="11" t="n">
        <f aca="true">IF(F591="","",YEAR(TODAY())-F591)</f>
        <v>30</v>
      </c>
      <c r="H591" s="11" t="str">
        <f aca="false">IF(C591="","",IF(G591="","Thiếu thông tin",IF(G591&lt;6,"Trẻ em",IF(G591&lt;23,"Học sinh / Sinh viên",IF(G591&lt;60,"Đang đi làm","Nghỉ hưu")))))</f>
        <v>Đang đi làm</v>
      </c>
      <c r="I591" s="6" t="s">
        <v>52</v>
      </c>
      <c r="J591" s="11" t="str">
        <f aca="false">IF(B591="","",IFERROR(INDEX('Hộ gia đình'!$B$2:$B$2000,MATCH(B591,'Hộ gia đình'!$A$2:$A$2000,0)),"Mã hộ không tồn tại"))</f>
        <v>414 E4 Bách Khoa</v>
      </c>
      <c r="K591" s="14" t="s">
        <v>1989</v>
      </c>
      <c r="L591" s="14"/>
      <c r="M591" s="6" t="s">
        <v>610</v>
      </c>
      <c r="N591" s="6" t="s">
        <v>388</v>
      </c>
      <c r="O591" s="6" t="s">
        <v>389</v>
      </c>
      <c r="P591" s="6"/>
      <c r="Q591" s="6" t="s">
        <v>583</v>
      </c>
      <c r="R591" s="12" t="s">
        <v>1990</v>
      </c>
    </row>
    <row r="592" customFormat="false" ht="15" hidden="false" customHeight="true" outlineLevel="0" collapsed="false">
      <c r="A592" s="6" t="s">
        <v>1991</v>
      </c>
      <c r="B592" s="6" t="s">
        <v>318</v>
      </c>
      <c r="C592" s="6" t="s">
        <v>1992</v>
      </c>
      <c r="D592" s="6" t="s">
        <v>385</v>
      </c>
      <c r="E592" s="13" t="n">
        <v>36060</v>
      </c>
      <c r="F592" s="6" t="n">
        <v>1998</v>
      </c>
      <c r="G592" s="11" t="n">
        <f aca="true">IF(F592="","",YEAR(TODAY())-F592)</f>
        <v>28</v>
      </c>
      <c r="H592" s="11" t="str">
        <f aca="false">IF(C592="","",IF(G592="","Thiếu thông tin",IF(G592&lt;6,"Trẻ em",IF(G592&lt;23,"Học sinh / Sinh viên",IF(G592&lt;60,"Đang đi làm","Nghỉ hưu")))))</f>
        <v>Đang đi làm</v>
      </c>
      <c r="I592" s="6"/>
      <c r="J592" s="11" t="str">
        <f aca="false">IF(B592="","",IFERROR(INDEX('Hộ gia đình'!$B$2:$B$2000,MATCH(B592,'Hộ gia đình'!$A$2:$A$2000,0)),"Mã hộ không tồn tại"))</f>
        <v>414 E4 Bách Khoa</v>
      </c>
      <c r="K592" s="14" t="s">
        <v>1993</v>
      </c>
      <c r="L592" s="14"/>
      <c r="M592" s="6" t="s">
        <v>1994</v>
      </c>
      <c r="N592" s="6" t="s">
        <v>388</v>
      </c>
      <c r="O592" s="6" t="s">
        <v>389</v>
      </c>
      <c r="P592" s="6"/>
      <c r="Q592" s="6" t="s">
        <v>583</v>
      </c>
      <c r="R592" s="12"/>
    </row>
    <row r="593" customFormat="false" ht="15" hidden="false" customHeight="true" outlineLevel="0" collapsed="false">
      <c r="A593" s="6" t="s">
        <v>1995</v>
      </c>
      <c r="B593" s="6" t="s">
        <v>318</v>
      </c>
      <c r="C593" s="6" t="s">
        <v>1996</v>
      </c>
      <c r="D593" s="6"/>
      <c r="E593" s="13"/>
      <c r="F593" s="6" t="n">
        <v>2003</v>
      </c>
      <c r="G593" s="11" t="n">
        <f aca="true">IF(F593="","",YEAR(TODAY())-F593)</f>
        <v>23</v>
      </c>
      <c r="H593" s="11" t="str">
        <f aca="false">IF(C593="","",IF(G593="","Thiếu thông tin",IF(G593&lt;6,"Trẻ em",IF(G593&lt;23,"Học sinh / Sinh viên",IF(G593&lt;60,"Đang đi làm","Nghỉ hưu")))))</f>
        <v>Đang đi làm</v>
      </c>
      <c r="I593" s="6"/>
      <c r="J593" s="11" t="str">
        <f aca="false">IF(B593="","",IFERROR(INDEX('Hộ gia đình'!$B$2:$B$2000,MATCH(B593,'Hộ gia đình'!$A$2:$A$2000,0)),"Mã hộ không tồn tại"))</f>
        <v>414 E4 Bách Khoa</v>
      </c>
      <c r="K593" s="14"/>
      <c r="L593" s="14"/>
      <c r="M593" s="6"/>
      <c r="N593" s="6" t="s">
        <v>395</v>
      </c>
      <c r="O593" s="6" t="s">
        <v>389</v>
      </c>
      <c r="P593" s="6"/>
      <c r="Q593" s="6" t="s">
        <v>403</v>
      </c>
      <c r="R593" s="12"/>
    </row>
    <row r="594" customFormat="false" ht="15" hidden="false" customHeight="true" outlineLevel="0" collapsed="false">
      <c r="A594" s="6" t="s">
        <v>1997</v>
      </c>
      <c r="B594" s="6" t="s">
        <v>320</v>
      </c>
      <c r="C594" s="6" t="s">
        <v>1998</v>
      </c>
      <c r="D594" s="6" t="s">
        <v>385</v>
      </c>
      <c r="E594" s="13" t="n">
        <v>18252</v>
      </c>
      <c r="F594" s="6" t="n">
        <v>1949</v>
      </c>
      <c r="G594" s="11" t="n">
        <f aca="true">IF(F594="","",YEAR(TODAY())-F594)</f>
        <v>77</v>
      </c>
      <c r="H594" s="11" t="str">
        <f aca="false">IF(C594="","",IF(G594="","Thiếu thông tin",IF(G594&lt;6,"Trẻ em",IF(G594&lt;23,"Học sinh / Sinh viên",IF(G594&lt;60,"Đang đi làm","Nghỉ hưu")))))</f>
        <v>Nghỉ hưu</v>
      </c>
      <c r="I594" s="6" t="s">
        <v>52</v>
      </c>
      <c r="J594" s="11" t="str">
        <f aca="false">IF(B594="","",IFERROR(INDEX('Hộ gia đình'!$B$2:$B$2000,MATCH(B594,'Hộ gia đình'!$A$2:$A$2000,0)),"Mã hộ không tồn tại"))</f>
        <v>415 E4 Bách Khoa</v>
      </c>
      <c r="K594" s="14" t="s">
        <v>1999</v>
      </c>
      <c r="L594" s="14"/>
      <c r="M594" s="6" t="s">
        <v>451</v>
      </c>
      <c r="N594" s="6" t="s">
        <v>388</v>
      </c>
      <c r="O594" s="6" t="s">
        <v>389</v>
      </c>
      <c r="P594" s="6"/>
      <c r="Q594" s="6" t="s">
        <v>391</v>
      </c>
      <c r="R594" s="12"/>
    </row>
    <row r="595" customFormat="false" ht="15" hidden="false" customHeight="true" outlineLevel="0" collapsed="false">
      <c r="A595" s="6" t="s">
        <v>2000</v>
      </c>
      <c r="B595" s="6" t="s">
        <v>320</v>
      </c>
      <c r="C595" s="6" t="s">
        <v>2001</v>
      </c>
      <c r="D595" s="6" t="s">
        <v>408</v>
      </c>
      <c r="E595" s="13" t="n">
        <v>32388</v>
      </c>
      <c r="F595" s="6" t="n">
        <v>1988</v>
      </c>
      <c r="G595" s="11" t="n">
        <f aca="true">IF(F595="","",YEAR(TODAY())-F595)</f>
        <v>38</v>
      </c>
      <c r="H595" s="11" t="str">
        <f aca="false">IF(C595="","",IF(G595="","Thiếu thông tin",IF(G595&lt;6,"Trẻ em",IF(G595&lt;23,"Học sinh / Sinh viên",IF(G595&lt;60,"Đang đi làm","Nghỉ hưu")))))</f>
        <v>Đang đi làm</v>
      </c>
      <c r="I595" s="6"/>
      <c r="J595" s="11" t="str">
        <f aca="false">IF(B595="","",IFERROR(INDEX('Hộ gia đình'!$B$2:$B$2000,MATCH(B595,'Hộ gia đình'!$A$2:$A$2000,0)),"Mã hộ không tồn tại"))</f>
        <v>415 E4 Bách Khoa</v>
      </c>
      <c r="K595" s="14" t="s">
        <v>2002</v>
      </c>
      <c r="L595" s="14"/>
      <c r="M595" s="6" t="s">
        <v>459</v>
      </c>
      <c r="N595" s="6" t="s">
        <v>388</v>
      </c>
      <c r="O595" s="6" t="s">
        <v>389</v>
      </c>
      <c r="P595" s="6"/>
      <c r="Q595" s="6" t="s">
        <v>391</v>
      </c>
      <c r="R595" s="12"/>
    </row>
    <row r="596" customFormat="false" ht="15" hidden="false" customHeight="true" outlineLevel="0" collapsed="false">
      <c r="A596" s="6" t="s">
        <v>2003</v>
      </c>
      <c r="B596" s="6" t="s">
        <v>320</v>
      </c>
      <c r="C596" s="6" t="s">
        <v>2004</v>
      </c>
      <c r="D596" s="6" t="s">
        <v>385</v>
      </c>
      <c r="E596" s="13" t="n">
        <v>33222</v>
      </c>
      <c r="F596" s="6" t="n">
        <v>1990</v>
      </c>
      <c r="G596" s="11" t="n">
        <f aca="true">IF(F596="","",YEAR(TODAY())-F596)</f>
        <v>36</v>
      </c>
      <c r="H596" s="11" t="str">
        <f aca="false">IF(C596="","",IF(G596="","Thiếu thông tin",IF(G596&lt;6,"Trẻ em",IF(G596&lt;23,"Học sinh / Sinh viên",IF(G596&lt;60,"Đang đi làm","Nghỉ hưu")))))</f>
        <v>Đang đi làm</v>
      </c>
      <c r="I596" s="6"/>
      <c r="J596" s="11" t="str">
        <f aca="false">IF(B596="","",IFERROR(INDEX('Hộ gia đình'!$B$2:$B$2000,MATCH(B596,'Hộ gia đình'!$A$2:$A$2000,0)),"Mã hộ không tồn tại"))</f>
        <v>415 E4 Bách Khoa</v>
      </c>
      <c r="K596" s="14"/>
      <c r="L596" s="14"/>
      <c r="M596" s="6" t="s">
        <v>459</v>
      </c>
      <c r="N596" s="6" t="s">
        <v>388</v>
      </c>
      <c r="O596" s="6" t="s">
        <v>389</v>
      </c>
      <c r="P596" s="6"/>
      <c r="Q596" s="6" t="s">
        <v>391</v>
      </c>
      <c r="R596" s="12"/>
    </row>
    <row r="597" customFormat="false" ht="15" hidden="false" customHeight="true" outlineLevel="0" collapsed="false">
      <c r="A597" s="6" t="s">
        <v>2005</v>
      </c>
      <c r="B597" s="6" t="s">
        <v>320</v>
      </c>
      <c r="C597" s="6" t="s">
        <v>2006</v>
      </c>
      <c r="D597" s="6" t="s">
        <v>408</v>
      </c>
      <c r="E597" s="13" t="n">
        <v>36998</v>
      </c>
      <c r="F597" s="6" t="n">
        <v>2001</v>
      </c>
      <c r="G597" s="11" t="n">
        <f aca="true">IF(F597="","",YEAR(TODAY())-F597)</f>
        <v>25</v>
      </c>
      <c r="H597" s="11" t="str">
        <f aca="false">IF(C597="","",IF(G597="","Thiếu thông tin",IF(G597&lt;6,"Trẻ em",IF(G597&lt;23,"Học sinh / Sinh viên",IF(G597&lt;60,"Đang đi làm","Nghỉ hưu")))))</f>
        <v>Đang đi làm</v>
      </c>
      <c r="I597" s="6"/>
      <c r="J597" s="11" t="str">
        <f aca="false">IF(B597="","",IFERROR(INDEX('Hộ gia đình'!$B$2:$B$2000,MATCH(B597,'Hộ gia đình'!$A$2:$A$2000,0)),"Mã hộ không tồn tại"))</f>
        <v>415 E4 Bách Khoa</v>
      </c>
      <c r="K597" s="14"/>
      <c r="L597" s="14"/>
      <c r="M597" s="6" t="s">
        <v>459</v>
      </c>
      <c r="N597" s="6" t="s">
        <v>388</v>
      </c>
      <c r="O597" s="6" t="s">
        <v>389</v>
      </c>
      <c r="P597" s="6"/>
      <c r="Q597" s="6" t="s">
        <v>583</v>
      </c>
      <c r="R597" s="12"/>
    </row>
    <row r="598" customFormat="false" ht="15" hidden="false" customHeight="true" outlineLevel="0" collapsed="false">
      <c r="A598" s="6" t="s">
        <v>2007</v>
      </c>
      <c r="B598" s="6" t="s">
        <v>322</v>
      </c>
      <c r="C598" s="6" t="s">
        <v>2008</v>
      </c>
      <c r="D598" s="6" t="s">
        <v>408</v>
      </c>
      <c r="E598" s="13" t="n">
        <v>28188</v>
      </c>
      <c r="F598" s="6" t="n">
        <v>1977</v>
      </c>
      <c r="G598" s="11" t="n">
        <f aca="true">IF(F598="","",YEAR(TODAY())-F598)</f>
        <v>49</v>
      </c>
      <c r="H598" s="11" t="str">
        <f aca="false">IF(C598="","",IF(G598="","Thiếu thông tin",IF(G598&lt;6,"Trẻ em",IF(G598&lt;23,"Học sinh / Sinh viên",IF(G598&lt;60,"Đang đi làm","Nghỉ hưu")))))</f>
        <v>Đang đi làm</v>
      </c>
      <c r="I598" s="6" t="s">
        <v>52</v>
      </c>
      <c r="J598" s="11" t="str">
        <f aca="false">IF(B598="","",IFERROR(INDEX('Hộ gia đình'!$B$2:$B$2000,MATCH(B598,'Hộ gia đình'!$A$2:$A$2000,0)),"Mã hộ không tồn tại"))</f>
        <v>416 E4 Bách Khoa</v>
      </c>
      <c r="K598" s="14" t="s">
        <v>2009</v>
      </c>
      <c r="L598" s="14"/>
      <c r="M598" s="6" t="s">
        <v>459</v>
      </c>
      <c r="N598" s="6" t="s">
        <v>388</v>
      </c>
      <c r="O598" s="6" t="s">
        <v>389</v>
      </c>
      <c r="P598" s="6"/>
      <c r="Q598" s="6" t="s">
        <v>391</v>
      </c>
      <c r="R598" s="12"/>
    </row>
    <row r="599" customFormat="false" ht="15" hidden="false" customHeight="true" outlineLevel="0" collapsed="false">
      <c r="A599" s="6" t="s">
        <v>2010</v>
      </c>
      <c r="B599" s="6" t="s">
        <v>322</v>
      </c>
      <c r="C599" s="6" t="s">
        <v>2011</v>
      </c>
      <c r="D599" s="6"/>
      <c r="E599" s="13"/>
      <c r="F599" s="6" t="n">
        <v>1974</v>
      </c>
      <c r="G599" s="11" t="n">
        <f aca="true">IF(F599="","",YEAR(TODAY())-F599)</f>
        <v>52</v>
      </c>
      <c r="H599" s="11" t="str">
        <f aca="false">IF(C599="","",IF(G599="","Thiếu thông tin",IF(G599&lt;6,"Trẻ em",IF(G599&lt;23,"Học sinh / Sinh viên",IF(G599&lt;60,"Đang đi làm","Nghỉ hưu")))))</f>
        <v>Đang đi làm</v>
      </c>
      <c r="I599" s="6"/>
      <c r="J599" s="11" t="str">
        <f aca="false">IF(B599="","",IFERROR(INDEX('Hộ gia đình'!$B$2:$B$2000,MATCH(B599,'Hộ gia đình'!$A$2:$A$2000,0)),"Mã hộ không tồn tại"))</f>
        <v>416 E4 Bách Khoa</v>
      </c>
      <c r="K599" s="14"/>
      <c r="L599" s="14"/>
      <c r="M599" s="6"/>
      <c r="N599" s="6" t="s">
        <v>395</v>
      </c>
      <c r="O599" s="6" t="s">
        <v>389</v>
      </c>
      <c r="P599" s="6" t="s">
        <v>2012</v>
      </c>
      <c r="Q599" s="6" t="s">
        <v>396</v>
      </c>
      <c r="R599" s="12" t="s">
        <v>392</v>
      </c>
    </row>
    <row r="600" customFormat="false" ht="15" hidden="false" customHeight="true" outlineLevel="0" collapsed="false">
      <c r="A600" s="6" t="s">
        <v>2013</v>
      </c>
      <c r="B600" s="6" t="s">
        <v>322</v>
      </c>
      <c r="C600" s="6" t="s">
        <v>2014</v>
      </c>
      <c r="D600" s="6" t="s">
        <v>385</v>
      </c>
      <c r="E600" s="13"/>
      <c r="F600" s="6" t="n">
        <v>2006</v>
      </c>
      <c r="G600" s="11" t="n">
        <f aca="true">IF(F600="","",YEAR(TODAY())-F600)</f>
        <v>20</v>
      </c>
      <c r="H600" s="11" t="str">
        <f aca="false">IF(C600="","",IF(G600="","Thiếu thông tin",IF(G600&lt;6,"Trẻ em",IF(G600&lt;23,"Học sinh / Sinh viên",IF(G600&lt;60,"Đang đi làm","Nghỉ hưu")))))</f>
        <v>Học sinh / Sinh viên</v>
      </c>
      <c r="I600" s="6"/>
      <c r="J600" s="11" t="str">
        <f aca="false">IF(B600="","",IFERROR(INDEX('Hộ gia đình'!$B$2:$B$2000,MATCH(B600,'Hộ gia đình'!$A$2:$A$2000,0)),"Mã hộ không tồn tại"))</f>
        <v>416 E4 Bách Khoa</v>
      </c>
      <c r="K600" s="14"/>
      <c r="L600" s="14"/>
      <c r="M600" s="6"/>
      <c r="N600" s="6" t="s">
        <v>395</v>
      </c>
      <c r="O600" s="6" t="s">
        <v>389</v>
      </c>
      <c r="P600" s="6" t="s">
        <v>2015</v>
      </c>
      <c r="Q600" s="6" t="s">
        <v>403</v>
      </c>
      <c r="R600" s="12" t="s">
        <v>392</v>
      </c>
    </row>
    <row r="601" customFormat="false" ht="15" hidden="false" customHeight="true" outlineLevel="0" collapsed="false">
      <c r="A601" s="6" t="s">
        <v>2016</v>
      </c>
      <c r="B601" s="6" t="s">
        <v>322</v>
      </c>
      <c r="C601" s="6" t="s">
        <v>2017</v>
      </c>
      <c r="D601" s="6" t="s">
        <v>385</v>
      </c>
      <c r="E601" s="13" t="n">
        <v>39790</v>
      </c>
      <c r="F601" s="6" t="n">
        <v>2008</v>
      </c>
      <c r="G601" s="11" t="n">
        <f aca="true">IF(F601="","",YEAR(TODAY())-F601)</f>
        <v>18</v>
      </c>
      <c r="H601" s="11" t="str">
        <f aca="false">IF(C601="","",IF(G601="","Thiếu thông tin",IF(G601&lt;6,"Trẻ em",IF(G601&lt;23,"Học sinh / Sinh viên",IF(G601&lt;60,"Đang đi làm","Nghỉ hưu")))))</f>
        <v>Học sinh / Sinh viên</v>
      </c>
      <c r="I601" s="6"/>
      <c r="J601" s="11" t="str">
        <f aca="false">IF(B601="","",IFERROR(INDEX('Hộ gia đình'!$B$2:$B$2000,MATCH(B601,'Hộ gia đình'!$A$2:$A$2000,0)),"Mã hộ không tồn tại"))</f>
        <v>416 E4 Bách Khoa</v>
      </c>
      <c r="K601" s="14"/>
      <c r="L601" s="14"/>
      <c r="M601" s="6"/>
      <c r="N601" s="6" t="s">
        <v>395</v>
      </c>
      <c r="O601" s="6" t="s">
        <v>389</v>
      </c>
      <c r="P601" s="6" t="s">
        <v>2018</v>
      </c>
      <c r="Q601" s="6" t="s">
        <v>403</v>
      </c>
      <c r="R601" s="12" t="s">
        <v>392</v>
      </c>
    </row>
    <row r="602" customFormat="false" ht="15" hidden="false" customHeight="true" outlineLevel="0" collapsed="false">
      <c r="A602" s="6" t="s">
        <v>2019</v>
      </c>
      <c r="B602" s="6" t="s">
        <v>322</v>
      </c>
      <c r="C602" s="6" t="s">
        <v>2020</v>
      </c>
      <c r="D602" s="6" t="s">
        <v>408</v>
      </c>
      <c r="E602" s="13" t="n">
        <v>39790</v>
      </c>
      <c r="F602" s="6" t="n">
        <v>2008</v>
      </c>
      <c r="G602" s="11" t="n">
        <f aca="true">IF(F602="","",YEAR(TODAY())-F602)</f>
        <v>18</v>
      </c>
      <c r="H602" s="11" t="str">
        <f aca="false">IF(C602="","",IF(G602="","Thiếu thông tin",IF(G602&lt;6,"Trẻ em",IF(G602&lt;23,"Học sinh / Sinh viên",IF(G602&lt;60,"Đang đi làm","Nghỉ hưu")))))</f>
        <v>Học sinh / Sinh viên</v>
      </c>
      <c r="I602" s="6"/>
      <c r="J602" s="11" t="str">
        <f aca="false">IF(B602="","",IFERROR(INDEX('Hộ gia đình'!$B$2:$B$2000,MATCH(B602,'Hộ gia đình'!$A$2:$A$2000,0)),"Mã hộ không tồn tại"))</f>
        <v>416 E4 Bách Khoa</v>
      </c>
      <c r="K602" s="14"/>
      <c r="L602" s="14"/>
      <c r="M602" s="6"/>
      <c r="N602" s="6" t="s">
        <v>395</v>
      </c>
      <c r="O602" s="6" t="s">
        <v>389</v>
      </c>
      <c r="P602" s="6"/>
      <c r="Q602" s="6" t="s">
        <v>403</v>
      </c>
      <c r="R602" s="12"/>
    </row>
    <row r="603" customFormat="false" ht="15" hidden="false" customHeight="true" outlineLevel="0" collapsed="false">
      <c r="A603" s="6" t="s">
        <v>2021</v>
      </c>
      <c r="B603" s="6" t="s">
        <v>324</v>
      </c>
      <c r="C603" s="6" t="s">
        <v>2022</v>
      </c>
      <c r="D603" s="6" t="s">
        <v>408</v>
      </c>
      <c r="E603" s="13" t="n">
        <v>26250</v>
      </c>
      <c r="F603" s="6" t="n">
        <v>1971</v>
      </c>
      <c r="G603" s="11" t="n">
        <f aca="true">IF(F603="","",YEAR(TODAY())-F603)</f>
        <v>55</v>
      </c>
      <c r="H603" s="11" t="str">
        <f aca="false">IF(C603="","",IF(G603="","Thiếu thông tin",IF(G603&lt;6,"Trẻ em",IF(G603&lt;23,"Học sinh / Sinh viên",IF(G603&lt;60,"Đang đi làm","Nghỉ hưu")))))</f>
        <v>Đang đi làm</v>
      </c>
      <c r="I603" s="6" t="s">
        <v>52</v>
      </c>
      <c r="J603" s="11" t="str">
        <f aca="false">IF(B603="","",IFERROR(INDEX('Hộ gia đình'!$B$2:$B$2000,MATCH(B603,'Hộ gia đình'!$A$2:$A$2000,0)),"Mã hộ không tồn tại"))</f>
        <v>501 E4 Bách Khoa</v>
      </c>
      <c r="K603" s="14"/>
      <c r="L603" s="14"/>
      <c r="M603" s="6" t="s">
        <v>459</v>
      </c>
      <c r="N603" s="6" t="s">
        <v>388</v>
      </c>
      <c r="O603" s="6" t="s">
        <v>389</v>
      </c>
      <c r="P603" s="6"/>
      <c r="Q603" s="6" t="s">
        <v>391</v>
      </c>
      <c r="R603" s="12" t="s">
        <v>2023</v>
      </c>
    </row>
    <row r="604" customFormat="false" ht="15" hidden="false" customHeight="true" outlineLevel="0" collapsed="false">
      <c r="A604" s="6" t="s">
        <v>2024</v>
      </c>
      <c r="B604" s="6" t="s">
        <v>324</v>
      </c>
      <c r="C604" s="6" t="s">
        <v>2025</v>
      </c>
      <c r="D604" s="6" t="s">
        <v>385</v>
      </c>
      <c r="E604" s="13" t="n">
        <v>27335</v>
      </c>
      <c r="F604" s="6" t="n">
        <v>1974</v>
      </c>
      <c r="G604" s="11" t="n">
        <f aca="true">IF(F604="","",YEAR(TODAY())-F604)</f>
        <v>52</v>
      </c>
      <c r="H604" s="11" t="str">
        <f aca="false">IF(C604="","",IF(G604="","Thiếu thông tin",IF(G604&lt;6,"Trẻ em",IF(G604&lt;23,"Học sinh / Sinh viên",IF(G604&lt;60,"Đang đi làm","Nghỉ hưu")))))</f>
        <v>Đang đi làm</v>
      </c>
      <c r="I604" s="6"/>
      <c r="J604" s="11" t="str">
        <f aca="false">IF(B604="","",IFERROR(INDEX('Hộ gia đình'!$B$2:$B$2000,MATCH(B604,'Hộ gia đình'!$A$2:$A$2000,0)),"Mã hộ không tồn tại"))</f>
        <v>501 E4 Bách Khoa</v>
      </c>
      <c r="K604" s="14" t="s">
        <v>2026</v>
      </c>
      <c r="L604" s="14"/>
      <c r="M604" s="6" t="s">
        <v>459</v>
      </c>
      <c r="N604" s="6" t="s">
        <v>388</v>
      </c>
      <c r="O604" s="6" t="s">
        <v>389</v>
      </c>
      <c r="P604" s="6"/>
      <c r="Q604" s="6" t="s">
        <v>391</v>
      </c>
      <c r="R604" s="12" t="s">
        <v>2027</v>
      </c>
    </row>
    <row r="605" customFormat="false" ht="15" hidden="false" customHeight="true" outlineLevel="0" collapsed="false">
      <c r="A605" s="6" t="s">
        <v>2028</v>
      </c>
      <c r="B605" s="6" t="s">
        <v>324</v>
      </c>
      <c r="C605" s="6" t="s">
        <v>2029</v>
      </c>
      <c r="D605" s="6" t="s">
        <v>385</v>
      </c>
      <c r="E605" s="13" t="n">
        <v>37821</v>
      </c>
      <c r="F605" s="6" t="n">
        <v>2003</v>
      </c>
      <c r="G605" s="11" t="n">
        <f aca="true">IF(F605="","",YEAR(TODAY())-F605)</f>
        <v>23</v>
      </c>
      <c r="H605" s="11" t="str">
        <f aca="false">IF(C605="","",IF(G605="","Thiếu thông tin",IF(G605&lt;6,"Trẻ em",IF(G605&lt;23,"Học sinh / Sinh viên",IF(G605&lt;60,"Đang đi làm","Nghỉ hưu")))))</f>
        <v>Đang đi làm</v>
      </c>
      <c r="I605" s="6"/>
      <c r="J605" s="11" t="str">
        <f aca="false">IF(B605="","",IFERROR(INDEX('Hộ gia đình'!$B$2:$B$2000,MATCH(B605,'Hộ gia đình'!$A$2:$A$2000,0)),"Mã hộ không tồn tại"))</f>
        <v>501 E4 Bách Khoa</v>
      </c>
      <c r="K605" s="14" t="s">
        <v>2030</v>
      </c>
      <c r="L605" s="14"/>
      <c r="M605" s="6" t="s">
        <v>422</v>
      </c>
      <c r="N605" s="6" t="s">
        <v>388</v>
      </c>
      <c r="O605" s="6" t="s">
        <v>389</v>
      </c>
      <c r="P605" s="6"/>
      <c r="Q605" s="6" t="s">
        <v>583</v>
      </c>
      <c r="R605" s="12"/>
    </row>
    <row r="606" customFormat="false" ht="15" hidden="false" customHeight="true" outlineLevel="0" collapsed="false">
      <c r="A606" s="6" t="s">
        <v>2031</v>
      </c>
      <c r="B606" s="6" t="s">
        <v>324</v>
      </c>
      <c r="C606" s="6" t="s">
        <v>847</v>
      </c>
      <c r="D606" s="6" t="s">
        <v>385</v>
      </c>
      <c r="E606" s="13" t="n">
        <v>39014</v>
      </c>
      <c r="F606" s="6" t="n">
        <v>2006</v>
      </c>
      <c r="G606" s="11" t="n">
        <f aca="true">IF(F606="","",YEAR(TODAY())-F606)</f>
        <v>20</v>
      </c>
      <c r="H606" s="11" t="str">
        <f aca="false">IF(C606="","",IF(G606="","Thiếu thông tin",IF(G606&lt;6,"Trẻ em",IF(G606&lt;23,"Học sinh / Sinh viên",IF(G606&lt;60,"Đang đi làm","Nghỉ hưu")))))</f>
        <v>Học sinh / Sinh viên</v>
      </c>
      <c r="I606" s="6"/>
      <c r="J606" s="11" t="str">
        <f aca="false">IF(B606="","",IFERROR(INDEX('Hộ gia đình'!$B$2:$B$2000,MATCH(B606,'Hộ gia đình'!$A$2:$A$2000,0)),"Mã hộ không tồn tại"))</f>
        <v>501 E4 Bách Khoa</v>
      </c>
      <c r="K606" s="14" t="s">
        <v>2032</v>
      </c>
      <c r="L606" s="14"/>
      <c r="M606" s="6" t="s">
        <v>422</v>
      </c>
      <c r="N606" s="6" t="s">
        <v>388</v>
      </c>
      <c r="O606" s="6" t="s">
        <v>389</v>
      </c>
      <c r="P606" s="6"/>
      <c r="Q606" s="6" t="s">
        <v>583</v>
      </c>
      <c r="R606" s="12"/>
    </row>
    <row r="607" customFormat="false" ht="15" hidden="false" customHeight="true" outlineLevel="0" collapsed="false">
      <c r="A607" s="6" t="s">
        <v>2033</v>
      </c>
      <c r="B607" s="6" t="s">
        <v>326</v>
      </c>
      <c r="C607" s="6" t="s">
        <v>2034</v>
      </c>
      <c r="D607" s="6" t="s">
        <v>408</v>
      </c>
      <c r="E607" s="13" t="n">
        <v>30715</v>
      </c>
      <c r="F607" s="6" t="n">
        <v>1984</v>
      </c>
      <c r="G607" s="11" t="n">
        <f aca="true">IF(F607="","",YEAR(TODAY())-F607)</f>
        <v>42</v>
      </c>
      <c r="H607" s="11" t="str">
        <f aca="false">IF(C607="","",IF(G607="","Thiếu thông tin",IF(G607&lt;6,"Trẻ em",IF(G607&lt;23,"Học sinh / Sinh viên",IF(G607&lt;60,"Đang đi làm","Nghỉ hưu")))))</f>
        <v>Đang đi làm</v>
      </c>
      <c r="I607" s="6" t="s">
        <v>52</v>
      </c>
      <c r="J607" s="11" t="str">
        <f aca="false">IF(B607="","",IFERROR(INDEX('Hộ gia đình'!$B$2:$B$2000,MATCH(B607,'Hộ gia đình'!$A$2:$A$2000,0)),"Mã hộ không tồn tại"))</f>
        <v>502 E4 Bách Khoa</v>
      </c>
      <c r="K607" s="14" t="s">
        <v>2035</v>
      </c>
      <c r="L607" s="14"/>
      <c r="M607" s="6" t="s">
        <v>459</v>
      </c>
      <c r="N607" s="6" t="s">
        <v>388</v>
      </c>
      <c r="O607" s="6" t="s">
        <v>389</v>
      </c>
      <c r="P607" s="6"/>
      <c r="Q607" s="6" t="s">
        <v>391</v>
      </c>
      <c r="R607" s="12"/>
    </row>
    <row r="608" customFormat="false" ht="15" hidden="false" customHeight="true" outlineLevel="0" collapsed="false">
      <c r="A608" s="6" t="s">
        <v>2036</v>
      </c>
      <c r="B608" s="6" t="s">
        <v>326</v>
      </c>
      <c r="C608" s="6" t="s">
        <v>2037</v>
      </c>
      <c r="D608" s="6" t="s">
        <v>385</v>
      </c>
      <c r="E608" s="13" t="n">
        <v>30914</v>
      </c>
      <c r="F608" s="6" t="n">
        <v>1984</v>
      </c>
      <c r="G608" s="11" t="n">
        <f aca="true">IF(F608="","",YEAR(TODAY())-F608)</f>
        <v>42</v>
      </c>
      <c r="H608" s="11" t="str">
        <f aca="false">IF(C608="","",IF(G608="","Thiếu thông tin",IF(G608&lt;6,"Trẻ em",IF(G608&lt;23,"Học sinh / Sinh viên",IF(G608&lt;60,"Đang đi làm","Nghỉ hưu")))))</f>
        <v>Đang đi làm</v>
      </c>
      <c r="I608" s="6"/>
      <c r="J608" s="11" t="str">
        <f aca="false">IF(B608="","",IFERROR(INDEX('Hộ gia đình'!$B$2:$B$2000,MATCH(B608,'Hộ gia đình'!$A$2:$A$2000,0)),"Mã hộ không tồn tại"))</f>
        <v>502 E4 Bách Khoa</v>
      </c>
      <c r="K608" s="14" t="s">
        <v>2038</v>
      </c>
      <c r="L608" s="14"/>
      <c r="M608" s="6" t="s">
        <v>459</v>
      </c>
      <c r="N608" s="6" t="s">
        <v>388</v>
      </c>
      <c r="O608" s="6" t="s">
        <v>389</v>
      </c>
      <c r="P608" s="6"/>
      <c r="Q608" s="6" t="s">
        <v>391</v>
      </c>
      <c r="R608" s="12"/>
    </row>
    <row r="609" customFormat="false" ht="15" hidden="false" customHeight="true" outlineLevel="0" collapsed="false">
      <c r="A609" s="6" t="s">
        <v>2039</v>
      </c>
      <c r="B609" s="6" t="s">
        <v>326</v>
      </c>
      <c r="C609" s="6" t="s">
        <v>2040</v>
      </c>
      <c r="D609" s="6"/>
      <c r="E609" s="13"/>
      <c r="F609" s="6" t="n">
        <v>2011</v>
      </c>
      <c r="G609" s="11" t="n">
        <f aca="true">IF(F609="","",YEAR(TODAY())-F609)</f>
        <v>15</v>
      </c>
      <c r="H609" s="11" t="str">
        <f aca="false">IF(C609="","",IF(G609="","Thiếu thông tin",IF(G609&lt;6,"Trẻ em",IF(G609&lt;23,"Học sinh / Sinh viên",IF(G609&lt;60,"Đang đi làm","Nghỉ hưu")))))</f>
        <v>Học sinh / Sinh viên</v>
      </c>
      <c r="I609" s="6"/>
      <c r="J609" s="11" t="str">
        <f aca="false">IF(B609="","",IFERROR(INDEX('Hộ gia đình'!$B$2:$B$2000,MATCH(B609,'Hộ gia đình'!$A$2:$A$2000,0)),"Mã hộ không tồn tại"))</f>
        <v>502 E4 Bách Khoa</v>
      </c>
      <c r="K609" s="14"/>
      <c r="L609" s="14"/>
      <c r="M609" s="6"/>
      <c r="N609" s="6" t="s">
        <v>395</v>
      </c>
      <c r="O609" s="6" t="s">
        <v>389</v>
      </c>
      <c r="P609" s="6"/>
      <c r="Q609" s="6" t="s">
        <v>396</v>
      </c>
      <c r="R609" s="12"/>
    </row>
    <row r="610" customFormat="false" ht="15" hidden="false" customHeight="true" outlineLevel="0" collapsed="false">
      <c r="A610" s="6" t="s">
        <v>2041</v>
      </c>
      <c r="B610" s="6" t="s">
        <v>328</v>
      </c>
      <c r="C610" s="6" t="s">
        <v>2042</v>
      </c>
      <c r="D610" s="6"/>
      <c r="E610" s="13"/>
      <c r="F610" s="6" t="n">
        <v>1970</v>
      </c>
      <c r="G610" s="11" t="n">
        <f aca="true">IF(F610="","",YEAR(TODAY())-F610)</f>
        <v>56</v>
      </c>
      <c r="H610" s="11" t="str">
        <f aca="false">IF(C610="","",IF(G610="","Thiếu thông tin",IF(G610&lt;6,"Trẻ em",IF(G610&lt;23,"Học sinh / Sinh viên",IF(G610&lt;60,"Đang đi làm","Nghỉ hưu")))))</f>
        <v>Đang đi làm</v>
      </c>
      <c r="I610" s="6" t="s">
        <v>52</v>
      </c>
      <c r="J610" s="11" t="str">
        <f aca="false">IF(B610="","",IFERROR(INDEX('Hộ gia đình'!$B$2:$B$2000,MATCH(B610,'Hộ gia đình'!$A$2:$A$2000,0)),"Mã hộ không tồn tại"))</f>
        <v>504 E4 Bách Khoa</v>
      </c>
      <c r="K610" s="14"/>
      <c r="L610" s="14"/>
      <c r="M610" s="6"/>
      <c r="N610" s="6" t="s">
        <v>395</v>
      </c>
      <c r="O610" s="6" t="s">
        <v>389</v>
      </c>
      <c r="P610" s="6"/>
      <c r="Q610" s="6" t="s">
        <v>396</v>
      </c>
      <c r="R610" s="12"/>
    </row>
    <row r="611" customFormat="false" ht="15" hidden="false" customHeight="true" outlineLevel="0" collapsed="false">
      <c r="A611" s="6" t="s">
        <v>2043</v>
      </c>
      <c r="B611" s="6" t="s">
        <v>328</v>
      </c>
      <c r="C611" s="6" t="s">
        <v>2044</v>
      </c>
      <c r="D611" s="6" t="s">
        <v>385</v>
      </c>
      <c r="E611" s="13" t="n">
        <v>28401</v>
      </c>
      <c r="F611" s="6" t="n">
        <v>1977</v>
      </c>
      <c r="G611" s="11" t="n">
        <f aca="true">IF(F611="","",YEAR(TODAY())-F611)</f>
        <v>49</v>
      </c>
      <c r="H611" s="11" t="str">
        <f aca="false">IF(C611="","",IF(G611="","Thiếu thông tin",IF(G611&lt;6,"Trẻ em",IF(G611&lt;23,"Học sinh / Sinh viên",IF(G611&lt;60,"Đang đi làm","Nghỉ hưu")))))</f>
        <v>Đang đi làm</v>
      </c>
      <c r="I611" s="6"/>
      <c r="J611" s="11" t="str">
        <f aca="false">IF(B611="","",IFERROR(INDEX('Hộ gia đình'!$B$2:$B$2000,MATCH(B611,'Hộ gia đình'!$A$2:$A$2000,0)),"Mã hộ không tồn tại"))</f>
        <v>504 E4 Bách Khoa</v>
      </c>
      <c r="K611" s="14" t="s">
        <v>2045</v>
      </c>
      <c r="L611" s="14"/>
      <c r="M611" s="6" t="s">
        <v>459</v>
      </c>
      <c r="N611" s="6" t="s">
        <v>388</v>
      </c>
      <c r="O611" s="6" t="s">
        <v>389</v>
      </c>
      <c r="P611" s="6"/>
      <c r="Q611" s="6" t="s">
        <v>391</v>
      </c>
      <c r="R611" s="12"/>
    </row>
    <row r="612" customFormat="false" ht="15" hidden="false" customHeight="true" outlineLevel="0" collapsed="false">
      <c r="A612" s="6" t="s">
        <v>2046</v>
      </c>
      <c r="B612" s="6" t="s">
        <v>328</v>
      </c>
      <c r="C612" s="6" t="s">
        <v>2047</v>
      </c>
      <c r="D612" s="6" t="s">
        <v>408</v>
      </c>
      <c r="E612" s="13" t="n">
        <v>34241</v>
      </c>
      <c r="F612" s="6" t="n">
        <v>1993</v>
      </c>
      <c r="G612" s="11" t="n">
        <f aca="true">IF(F612="","",YEAR(TODAY())-F612)</f>
        <v>33</v>
      </c>
      <c r="H612" s="11" t="str">
        <f aca="false">IF(C612="","",IF(G612="","Thiếu thông tin",IF(G612&lt;6,"Trẻ em",IF(G612&lt;23,"Học sinh / Sinh viên",IF(G612&lt;60,"Đang đi làm","Nghỉ hưu")))))</f>
        <v>Đang đi làm</v>
      </c>
      <c r="I612" s="6"/>
      <c r="J612" s="11" t="str">
        <f aca="false">IF(B612="","",IFERROR(INDEX('Hộ gia đình'!$B$2:$B$2000,MATCH(B612,'Hộ gia đình'!$A$2:$A$2000,0)),"Mã hộ không tồn tại"))</f>
        <v>504 E4 Bách Khoa</v>
      </c>
      <c r="K612" s="14" t="s">
        <v>2048</v>
      </c>
      <c r="L612" s="14"/>
      <c r="M612" s="6" t="s">
        <v>459</v>
      </c>
      <c r="N612" s="6" t="s">
        <v>388</v>
      </c>
      <c r="O612" s="6" t="s">
        <v>389</v>
      </c>
      <c r="P612" s="6"/>
      <c r="Q612" s="6" t="s">
        <v>410</v>
      </c>
      <c r="R612" s="12"/>
    </row>
    <row r="613" customFormat="false" ht="15" hidden="false" customHeight="true" outlineLevel="0" collapsed="false">
      <c r="A613" s="6" t="s">
        <v>2049</v>
      </c>
      <c r="B613" s="6" t="s">
        <v>328</v>
      </c>
      <c r="C613" s="6" t="s">
        <v>2050</v>
      </c>
      <c r="D613" s="6" t="s">
        <v>385</v>
      </c>
      <c r="E613" s="13" t="n">
        <v>34293</v>
      </c>
      <c r="F613" s="6" t="n">
        <v>1993</v>
      </c>
      <c r="G613" s="11" t="n">
        <f aca="true">IF(F613="","",YEAR(TODAY())-F613)</f>
        <v>33</v>
      </c>
      <c r="H613" s="11" t="str">
        <f aca="false">IF(C613="","",IF(G613="","Thiếu thông tin",IF(G613&lt;6,"Trẻ em",IF(G613&lt;23,"Học sinh / Sinh viên",IF(G613&lt;60,"Đang đi làm","Nghỉ hưu")))))</f>
        <v>Đang đi làm</v>
      </c>
      <c r="I613" s="6"/>
      <c r="J613" s="11" t="str">
        <f aca="false">IF(B613="","",IFERROR(INDEX('Hộ gia đình'!$B$2:$B$2000,MATCH(B613,'Hộ gia đình'!$A$2:$A$2000,0)),"Mã hộ không tồn tại"))</f>
        <v>504 E4 Bách Khoa</v>
      </c>
      <c r="K613" s="14" t="s">
        <v>2051</v>
      </c>
      <c r="L613" s="14"/>
      <c r="M613" s="6" t="s">
        <v>459</v>
      </c>
      <c r="N613" s="6" t="s">
        <v>388</v>
      </c>
      <c r="O613" s="6" t="s">
        <v>389</v>
      </c>
      <c r="P613" s="6"/>
      <c r="Q613" s="6" t="s">
        <v>410</v>
      </c>
      <c r="R613" s="12"/>
    </row>
    <row r="614" customFormat="false" ht="15" hidden="false" customHeight="true" outlineLevel="0" collapsed="false">
      <c r="A614" s="6" t="s">
        <v>2052</v>
      </c>
      <c r="B614" s="6" t="s">
        <v>330</v>
      </c>
      <c r="C614" s="6" t="s">
        <v>2053</v>
      </c>
      <c r="D614" s="6" t="s">
        <v>408</v>
      </c>
      <c r="E614" s="13" t="n">
        <v>14527</v>
      </c>
      <c r="F614" s="6" t="n">
        <v>1939</v>
      </c>
      <c r="G614" s="11" t="n">
        <f aca="true">IF(F614="","",YEAR(TODAY())-F614)</f>
        <v>87</v>
      </c>
      <c r="H614" s="11" t="str">
        <f aca="false">IF(C614="","",IF(G614="","Thiếu thông tin",IF(G614&lt;6,"Trẻ em",IF(G614&lt;23,"Học sinh / Sinh viên",IF(G614&lt;60,"Đang đi làm","Nghỉ hưu")))))</f>
        <v>Nghỉ hưu</v>
      </c>
      <c r="I614" s="6" t="s">
        <v>52</v>
      </c>
      <c r="J614" s="11" t="str">
        <f aca="false">IF(B614="","",IFERROR(INDEX('Hộ gia đình'!$B$2:$B$2000,MATCH(B614,'Hộ gia đình'!$A$2:$A$2000,0)),"Mã hộ không tồn tại"))</f>
        <v>506 E4 Bách Khoa</v>
      </c>
      <c r="K614" s="14" t="s">
        <v>2054</v>
      </c>
      <c r="L614" s="14"/>
      <c r="M614" s="6" t="s">
        <v>451</v>
      </c>
      <c r="N614" s="6" t="s">
        <v>388</v>
      </c>
      <c r="O614" s="6" t="s">
        <v>389</v>
      </c>
      <c r="P614" s="6"/>
      <c r="Q614" s="6" t="s">
        <v>391</v>
      </c>
      <c r="R614" s="12"/>
    </row>
    <row r="615" customFormat="false" ht="15" hidden="false" customHeight="true" outlineLevel="0" collapsed="false">
      <c r="A615" s="6" t="s">
        <v>2055</v>
      </c>
      <c r="B615" s="6" t="s">
        <v>330</v>
      </c>
      <c r="C615" s="6" t="s">
        <v>2056</v>
      </c>
      <c r="D615" s="6"/>
      <c r="E615" s="13" t="n">
        <v>31036</v>
      </c>
      <c r="F615" s="6" t="n">
        <v>1984</v>
      </c>
      <c r="G615" s="11" t="n">
        <f aca="true">IF(F615="","",YEAR(TODAY())-F615)</f>
        <v>42</v>
      </c>
      <c r="H615" s="11" t="str">
        <f aca="false">IF(C615="","",IF(G615="","Thiếu thông tin",IF(G615&lt;6,"Trẻ em",IF(G615&lt;23,"Học sinh / Sinh viên",IF(G615&lt;60,"Đang đi làm","Nghỉ hưu")))))</f>
        <v>Đang đi làm</v>
      </c>
      <c r="I615" s="6"/>
      <c r="J615" s="11" t="str">
        <f aca="false">IF(B615="","",IFERROR(INDEX('Hộ gia đình'!$B$2:$B$2000,MATCH(B615,'Hộ gia đình'!$A$2:$A$2000,0)),"Mã hộ không tồn tại"))</f>
        <v>506 E4 Bách Khoa</v>
      </c>
      <c r="K615" s="14"/>
      <c r="L615" s="14"/>
      <c r="M615" s="6"/>
      <c r="N615" s="6" t="s">
        <v>395</v>
      </c>
      <c r="O615" s="6" t="s">
        <v>389</v>
      </c>
      <c r="P615" s="6"/>
      <c r="Q615" s="6" t="s">
        <v>396</v>
      </c>
      <c r="R615" s="12"/>
    </row>
    <row r="616" customFormat="false" ht="15" hidden="false" customHeight="true" outlineLevel="0" collapsed="false">
      <c r="A616" s="6" t="s">
        <v>2057</v>
      </c>
      <c r="B616" s="6" t="s">
        <v>330</v>
      </c>
      <c r="C616" s="6" t="s">
        <v>2058</v>
      </c>
      <c r="D616" s="6" t="s">
        <v>408</v>
      </c>
      <c r="E616" s="13" t="n">
        <v>28452</v>
      </c>
      <c r="F616" s="6" t="n">
        <v>1977</v>
      </c>
      <c r="G616" s="11" t="n">
        <f aca="true">IF(F616="","",YEAR(TODAY())-F616)</f>
        <v>49</v>
      </c>
      <c r="H616" s="11" t="str">
        <f aca="false">IF(C616="","",IF(G616="","Thiếu thông tin",IF(G616&lt;6,"Trẻ em",IF(G616&lt;23,"Học sinh / Sinh viên",IF(G616&lt;60,"Đang đi làm","Nghỉ hưu")))))</f>
        <v>Đang đi làm</v>
      </c>
      <c r="I616" s="6"/>
      <c r="J616" s="11" t="str">
        <f aca="false">IF(B616="","",IFERROR(INDEX('Hộ gia đình'!$B$2:$B$2000,MATCH(B616,'Hộ gia đình'!$A$2:$A$2000,0)),"Mã hộ không tồn tại"))</f>
        <v>506 E4 Bách Khoa</v>
      </c>
      <c r="K616" s="14" t="s">
        <v>2059</v>
      </c>
      <c r="L616" s="14"/>
      <c r="M616" s="6" t="s">
        <v>732</v>
      </c>
      <c r="N616" s="6" t="s">
        <v>388</v>
      </c>
      <c r="O616" s="6" t="s">
        <v>389</v>
      </c>
      <c r="P616" s="6"/>
      <c r="Q616" s="6" t="s">
        <v>391</v>
      </c>
      <c r="R616" s="12"/>
    </row>
    <row r="617" customFormat="false" ht="15" hidden="false" customHeight="true" outlineLevel="0" collapsed="false">
      <c r="A617" s="6" t="s">
        <v>2060</v>
      </c>
      <c r="B617" s="6" t="s">
        <v>330</v>
      </c>
      <c r="C617" s="6" t="s">
        <v>2061</v>
      </c>
      <c r="D617" s="6" t="s">
        <v>408</v>
      </c>
      <c r="E617" s="13" t="n">
        <v>29448</v>
      </c>
      <c r="F617" s="6" t="n">
        <v>1980</v>
      </c>
      <c r="G617" s="11" t="n">
        <f aca="true">IF(F617="","",YEAR(TODAY())-F617)</f>
        <v>46</v>
      </c>
      <c r="H617" s="11" t="str">
        <f aca="false">IF(C617="","",IF(G617="","Thiếu thông tin",IF(G617&lt;6,"Trẻ em",IF(G617&lt;23,"Học sinh / Sinh viên",IF(G617&lt;60,"Đang đi làm","Nghỉ hưu")))))</f>
        <v>Đang đi làm</v>
      </c>
      <c r="I617" s="6"/>
      <c r="J617" s="11" t="str">
        <f aca="false">IF(B617="","",IFERROR(INDEX('Hộ gia đình'!$B$2:$B$2000,MATCH(B617,'Hộ gia đình'!$A$2:$A$2000,0)),"Mã hộ không tồn tại"))</f>
        <v>506 E4 Bách Khoa</v>
      </c>
      <c r="K617" s="14" t="s">
        <v>2062</v>
      </c>
      <c r="L617" s="14"/>
      <c r="M617" s="6" t="s">
        <v>732</v>
      </c>
      <c r="N617" s="6" t="s">
        <v>388</v>
      </c>
      <c r="O617" s="6" t="s">
        <v>389</v>
      </c>
      <c r="P617" s="6"/>
      <c r="Q617" s="6" t="s">
        <v>391</v>
      </c>
      <c r="R617" s="12"/>
    </row>
    <row r="618" customFormat="false" ht="15" hidden="false" customHeight="true" outlineLevel="0" collapsed="false">
      <c r="A618" s="6" t="s">
        <v>2063</v>
      </c>
      <c r="B618" s="6" t="s">
        <v>330</v>
      </c>
      <c r="C618" s="6" t="s">
        <v>2064</v>
      </c>
      <c r="D618" s="6" t="s">
        <v>408</v>
      </c>
      <c r="E618" s="13" t="n">
        <v>38345</v>
      </c>
      <c r="F618" s="6" t="n">
        <v>2004</v>
      </c>
      <c r="G618" s="11" t="n">
        <f aca="true">IF(F618="","",YEAR(TODAY())-F618)</f>
        <v>22</v>
      </c>
      <c r="H618" s="11" t="str">
        <f aca="false">IF(C618="","",IF(G618="","Thiếu thông tin",IF(G618&lt;6,"Trẻ em",IF(G618&lt;23,"Học sinh / Sinh viên",IF(G618&lt;60,"Đang đi làm","Nghỉ hưu")))))</f>
        <v>Học sinh / Sinh viên</v>
      </c>
      <c r="I618" s="6"/>
      <c r="J618" s="11" t="str">
        <f aca="false">IF(B618="","",IFERROR(INDEX('Hộ gia đình'!$B$2:$B$2000,MATCH(B618,'Hộ gia đình'!$A$2:$A$2000,0)),"Mã hộ không tồn tại"))</f>
        <v>506 E4 Bách Khoa</v>
      </c>
      <c r="K618" s="14" t="s">
        <v>2065</v>
      </c>
      <c r="L618" s="14"/>
      <c r="M618" s="6" t="s">
        <v>732</v>
      </c>
      <c r="N618" s="6" t="s">
        <v>388</v>
      </c>
      <c r="O618" s="6" t="s">
        <v>389</v>
      </c>
      <c r="P618" s="6"/>
      <c r="Q618" s="6" t="s">
        <v>583</v>
      </c>
      <c r="R618" s="12"/>
    </row>
    <row r="619" customFormat="false" ht="15" hidden="false" customHeight="true" outlineLevel="0" collapsed="false">
      <c r="A619" s="6" t="s">
        <v>2066</v>
      </c>
      <c r="B619" s="6" t="s">
        <v>330</v>
      </c>
      <c r="C619" s="6" t="s">
        <v>2067</v>
      </c>
      <c r="D619" s="6"/>
      <c r="E619" s="13"/>
      <c r="F619" s="6" t="n">
        <v>2001</v>
      </c>
      <c r="G619" s="11" t="n">
        <f aca="true">IF(F619="","",YEAR(TODAY())-F619)</f>
        <v>25</v>
      </c>
      <c r="H619" s="11" t="str">
        <f aca="false">IF(C619="","",IF(G619="","Thiếu thông tin",IF(G619&lt;6,"Trẻ em",IF(G619&lt;23,"Học sinh / Sinh viên",IF(G619&lt;60,"Đang đi làm","Nghỉ hưu")))))</f>
        <v>Đang đi làm</v>
      </c>
      <c r="I619" s="6"/>
      <c r="J619" s="11" t="str">
        <f aca="false">IF(B619="","",IFERROR(INDEX('Hộ gia đình'!$B$2:$B$2000,MATCH(B619,'Hộ gia đình'!$A$2:$A$2000,0)),"Mã hộ không tồn tại"))</f>
        <v>506 E4 Bách Khoa</v>
      </c>
      <c r="K619" s="14"/>
      <c r="L619" s="14"/>
      <c r="M619" s="6"/>
      <c r="N619" s="6" t="s">
        <v>395</v>
      </c>
      <c r="O619" s="6" t="s">
        <v>389</v>
      </c>
      <c r="P619" s="6"/>
      <c r="Q619" s="6" t="s">
        <v>403</v>
      </c>
      <c r="R619" s="12"/>
    </row>
    <row r="620" customFormat="false" ht="15" hidden="false" customHeight="true" outlineLevel="0" collapsed="false">
      <c r="A620" s="6" t="s">
        <v>2068</v>
      </c>
      <c r="B620" s="6" t="s">
        <v>332</v>
      </c>
      <c r="C620" s="6" t="s">
        <v>2069</v>
      </c>
      <c r="D620" s="6"/>
      <c r="E620" s="13" t="n">
        <v>16458</v>
      </c>
      <c r="F620" s="6" t="n">
        <v>1945</v>
      </c>
      <c r="G620" s="11" t="n">
        <f aca="true">IF(F620="","",YEAR(TODAY())-F620)</f>
        <v>81</v>
      </c>
      <c r="H620" s="11" t="str">
        <f aca="false">IF(C620="","",IF(G620="","Thiếu thông tin",IF(G620&lt;6,"Trẻ em",IF(G620&lt;23,"Học sinh / Sinh viên",IF(G620&lt;60,"Đang đi làm","Nghỉ hưu")))))</f>
        <v>Nghỉ hưu</v>
      </c>
      <c r="I620" s="6" t="s">
        <v>52</v>
      </c>
      <c r="J620" s="11" t="str">
        <f aca="false">IF(B620="","",IFERROR(INDEX('Hộ gia đình'!$B$2:$B$2000,MATCH(B620,'Hộ gia đình'!$A$2:$A$2000,0)),"Mã hộ không tồn tại"))</f>
        <v>507 E4 Bách Khoa</v>
      </c>
      <c r="K620" s="14"/>
      <c r="L620" s="14"/>
      <c r="M620" s="6"/>
      <c r="N620" s="6" t="s">
        <v>395</v>
      </c>
      <c r="O620" s="6" t="s">
        <v>389</v>
      </c>
      <c r="P620" s="6"/>
      <c r="Q620" s="6" t="s">
        <v>396</v>
      </c>
      <c r="R620" s="12"/>
    </row>
    <row r="621" customFormat="false" ht="15" hidden="false" customHeight="true" outlineLevel="0" collapsed="false">
      <c r="A621" s="6" t="s">
        <v>2070</v>
      </c>
      <c r="B621" s="6" t="s">
        <v>332</v>
      </c>
      <c r="C621" s="6" t="s">
        <v>2071</v>
      </c>
      <c r="D621" s="6"/>
      <c r="E621" s="13" t="n">
        <v>30098</v>
      </c>
      <c r="F621" s="6" t="n">
        <v>1982</v>
      </c>
      <c r="G621" s="11" t="n">
        <f aca="true">IF(F621="","",YEAR(TODAY())-F621)</f>
        <v>44</v>
      </c>
      <c r="H621" s="11" t="str">
        <f aca="false">IF(C621="","",IF(G621="","Thiếu thông tin",IF(G621&lt;6,"Trẻ em",IF(G621&lt;23,"Học sinh / Sinh viên",IF(G621&lt;60,"Đang đi làm","Nghỉ hưu")))))</f>
        <v>Đang đi làm</v>
      </c>
      <c r="I621" s="6"/>
      <c r="J621" s="11" t="str">
        <f aca="false">IF(B621="","",IFERROR(INDEX('Hộ gia đình'!$B$2:$B$2000,MATCH(B621,'Hộ gia đình'!$A$2:$A$2000,0)),"Mã hộ không tồn tại"))</f>
        <v>507 E4 Bách Khoa</v>
      </c>
      <c r="K621" s="14"/>
      <c r="L621" s="14"/>
      <c r="M621" s="6"/>
      <c r="N621" s="6" t="s">
        <v>395</v>
      </c>
      <c r="O621" s="6" t="s">
        <v>389</v>
      </c>
      <c r="P621" s="6"/>
      <c r="Q621" s="6" t="s">
        <v>396</v>
      </c>
      <c r="R621" s="12"/>
    </row>
    <row r="622" customFormat="false" ht="15" hidden="false" customHeight="true" outlineLevel="0" collapsed="false">
      <c r="A622" s="6" t="s">
        <v>2072</v>
      </c>
      <c r="B622" s="6" t="s">
        <v>332</v>
      </c>
      <c r="C622" s="6" t="s">
        <v>2073</v>
      </c>
      <c r="D622" s="6"/>
      <c r="E622" s="13" t="n">
        <v>31778</v>
      </c>
      <c r="F622" s="6" t="n">
        <v>1987</v>
      </c>
      <c r="G622" s="11" t="n">
        <f aca="true">IF(F622="","",YEAR(TODAY())-F622)</f>
        <v>39</v>
      </c>
      <c r="H622" s="11" t="str">
        <f aca="false">IF(C622="","",IF(G622="","Thiếu thông tin",IF(G622&lt;6,"Trẻ em",IF(G622&lt;23,"Học sinh / Sinh viên",IF(G622&lt;60,"Đang đi làm","Nghỉ hưu")))))</f>
        <v>Đang đi làm</v>
      </c>
      <c r="I622" s="6"/>
      <c r="J622" s="11" t="str">
        <f aca="false">IF(B622="","",IFERROR(INDEX('Hộ gia đình'!$B$2:$B$2000,MATCH(B622,'Hộ gia đình'!$A$2:$A$2000,0)),"Mã hộ không tồn tại"))</f>
        <v>507 E4 Bách Khoa</v>
      </c>
      <c r="K622" s="14"/>
      <c r="L622" s="14"/>
      <c r="M622" s="6"/>
      <c r="N622" s="6" t="s">
        <v>395</v>
      </c>
      <c r="O622" s="6" t="s">
        <v>389</v>
      </c>
      <c r="P622" s="6"/>
      <c r="Q622" s="6" t="s">
        <v>396</v>
      </c>
      <c r="R622" s="12"/>
    </row>
    <row r="623" customFormat="false" ht="15" hidden="false" customHeight="true" outlineLevel="0" collapsed="false">
      <c r="A623" s="6" t="s">
        <v>2074</v>
      </c>
      <c r="B623" s="6" t="s">
        <v>332</v>
      </c>
      <c r="C623" s="6" t="s">
        <v>2075</v>
      </c>
      <c r="D623" s="6"/>
      <c r="E623" s="13"/>
      <c r="F623" s="6" t="n">
        <v>2010</v>
      </c>
      <c r="G623" s="11" t="n">
        <f aca="true">IF(F623="","",YEAR(TODAY())-F623)</f>
        <v>16</v>
      </c>
      <c r="H623" s="11" t="str">
        <f aca="false">IF(C623="","",IF(G623="","Thiếu thông tin",IF(G623&lt;6,"Trẻ em",IF(G623&lt;23,"Học sinh / Sinh viên",IF(G623&lt;60,"Đang đi làm","Nghỉ hưu")))))</f>
        <v>Học sinh / Sinh viên</v>
      </c>
      <c r="I623" s="6"/>
      <c r="J623" s="11" t="str">
        <f aca="false">IF(B623="","",IFERROR(INDEX('Hộ gia đình'!$B$2:$B$2000,MATCH(B623,'Hộ gia đình'!$A$2:$A$2000,0)),"Mã hộ không tồn tại"))</f>
        <v>507 E4 Bách Khoa</v>
      </c>
      <c r="K623" s="14"/>
      <c r="L623" s="14"/>
      <c r="M623" s="6"/>
      <c r="N623" s="6" t="s">
        <v>395</v>
      </c>
      <c r="O623" s="6" t="s">
        <v>389</v>
      </c>
      <c r="P623" s="6"/>
      <c r="Q623" s="6" t="s">
        <v>403</v>
      </c>
      <c r="R623" s="12"/>
    </row>
    <row r="624" customFormat="false" ht="15" hidden="false" customHeight="true" outlineLevel="0" collapsed="false">
      <c r="A624" s="6" t="s">
        <v>2076</v>
      </c>
      <c r="B624" s="6" t="s">
        <v>332</v>
      </c>
      <c r="C624" s="6" t="s">
        <v>2077</v>
      </c>
      <c r="D624" s="6"/>
      <c r="E624" s="13"/>
      <c r="F624" s="6" t="n">
        <v>2012</v>
      </c>
      <c r="G624" s="11" t="n">
        <f aca="true">IF(F624="","",YEAR(TODAY())-F624)</f>
        <v>14</v>
      </c>
      <c r="H624" s="11" t="str">
        <f aca="false">IF(C624="","",IF(G624="","Thiếu thông tin",IF(G624&lt;6,"Trẻ em",IF(G624&lt;23,"Học sinh / Sinh viên",IF(G624&lt;60,"Đang đi làm","Nghỉ hưu")))))</f>
        <v>Học sinh / Sinh viên</v>
      </c>
      <c r="I624" s="6"/>
      <c r="J624" s="11" t="str">
        <f aca="false">IF(B624="","",IFERROR(INDEX('Hộ gia đình'!$B$2:$B$2000,MATCH(B624,'Hộ gia đình'!$A$2:$A$2000,0)),"Mã hộ không tồn tại"))</f>
        <v>507 E4 Bách Khoa</v>
      </c>
      <c r="K624" s="14"/>
      <c r="L624" s="14"/>
      <c r="M624" s="6"/>
      <c r="N624" s="6" t="s">
        <v>395</v>
      </c>
      <c r="O624" s="6" t="s">
        <v>389</v>
      </c>
      <c r="P624" s="6"/>
      <c r="Q624" s="6" t="s">
        <v>403</v>
      </c>
      <c r="R624" s="12"/>
    </row>
    <row r="625" customFormat="false" ht="15" hidden="false" customHeight="true" outlineLevel="0" collapsed="false">
      <c r="A625" s="6" t="s">
        <v>2078</v>
      </c>
      <c r="B625" s="6" t="s">
        <v>334</v>
      </c>
      <c r="C625" s="6" t="s">
        <v>2079</v>
      </c>
      <c r="D625" s="6"/>
      <c r="E625" s="13"/>
      <c r="F625" s="6"/>
      <c r="G625" s="11" t="str">
        <f aca="true">IF(F625="","",YEAR(TODAY())-F625)</f>
        <v/>
      </c>
      <c r="H625" s="11" t="str">
        <f aca="false">IF(C625="","",IF(G625="","Thiếu thông tin",IF(G625&lt;6,"Trẻ em",IF(G625&lt;23,"Học sinh / Sinh viên",IF(G625&lt;60,"Đang đi làm","Nghỉ hưu")))))</f>
        <v>Thiếu thông tin</v>
      </c>
      <c r="I625" s="6" t="s">
        <v>52</v>
      </c>
      <c r="J625" s="11" t="str">
        <f aca="false">IF(B625="","",IFERROR(INDEX('Hộ gia đình'!$B$2:$B$2000,MATCH(B625,'Hộ gia đình'!$A$2:$A$2000,0)),"Mã hộ không tồn tại"))</f>
        <v>508 E4 Bách Khoa</v>
      </c>
      <c r="K625" s="14"/>
      <c r="L625" s="14"/>
      <c r="M625" s="6"/>
      <c r="N625" s="6" t="s">
        <v>395</v>
      </c>
      <c r="O625" s="6" t="s">
        <v>389</v>
      </c>
      <c r="P625" s="6"/>
      <c r="Q625" s="6" t="s">
        <v>403</v>
      </c>
      <c r="R625" s="12" t="s">
        <v>522</v>
      </c>
    </row>
    <row r="626" customFormat="false" ht="15" hidden="false" customHeight="true" outlineLevel="0" collapsed="false">
      <c r="A626" s="6" t="s">
        <v>2080</v>
      </c>
      <c r="B626" s="6" t="s">
        <v>336</v>
      </c>
      <c r="C626" s="6" t="s">
        <v>2081</v>
      </c>
      <c r="D626" s="6" t="s">
        <v>408</v>
      </c>
      <c r="E626" s="13" t="n">
        <v>31367</v>
      </c>
      <c r="F626" s="6" t="n">
        <v>1985</v>
      </c>
      <c r="G626" s="11" t="n">
        <f aca="true">IF(F626="","",YEAR(TODAY())-F626)</f>
        <v>41</v>
      </c>
      <c r="H626" s="11" t="str">
        <f aca="false">IF(C626="","",IF(G626="","Thiếu thông tin",IF(G626&lt;6,"Trẻ em",IF(G626&lt;23,"Học sinh / Sinh viên",IF(G626&lt;60,"Đang đi làm","Nghỉ hưu")))))</f>
        <v>Đang đi làm</v>
      </c>
      <c r="I626" s="6" t="s">
        <v>52</v>
      </c>
      <c r="J626" s="11" t="str">
        <f aca="false">IF(B626="","",IFERROR(INDEX('Hộ gia đình'!$B$2:$B$2000,MATCH(B626,'Hộ gia đình'!$A$2:$A$2000,0)),"Mã hộ không tồn tại"))</f>
        <v>509 E4 Bách Khoa</v>
      </c>
      <c r="K626" s="14" t="s">
        <v>2082</v>
      </c>
      <c r="L626" s="14"/>
      <c r="M626" s="6" t="s">
        <v>441</v>
      </c>
      <c r="N626" s="6" t="s">
        <v>388</v>
      </c>
      <c r="O626" s="6" t="s">
        <v>389</v>
      </c>
      <c r="P626" s="6"/>
      <c r="Q626" s="6" t="s">
        <v>391</v>
      </c>
      <c r="R626" s="12"/>
    </row>
    <row r="627" customFormat="false" ht="15" hidden="false" customHeight="true" outlineLevel="0" collapsed="false">
      <c r="A627" s="6" t="s">
        <v>2083</v>
      </c>
      <c r="B627" s="6" t="s">
        <v>336</v>
      </c>
      <c r="C627" s="6" t="s">
        <v>434</v>
      </c>
      <c r="D627" s="6" t="s">
        <v>385</v>
      </c>
      <c r="E627" s="13"/>
      <c r="F627" s="6" t="n">
        <v>1985</v>
      </c>
      <c r="G627" s="11" t="n">
        <f aca="true">IF(F627="","",YEAR(TODAY())-F627)</f>
        <v>41</v>
      </c>
      <c r="H627" s="11" t="str">
        <f aca="false">IF(C627="","",IF(G627="","Thiếu thông tin",IF(G627&lt;6,"Trẻ em",IF(G627&lt;23,"Học sinh / Sinh viên",IF(G627&lt;60,"Đang đi làm","Nghỉ hưu")))))</f>
        <v>Đang đi làm</v>
      </c>
      <c r="I627" s="6"/>
      <c r="J627" s="11" t="str">
        <f aca="false">IF(B627="","",IFERROR(INDEX('Hộ gia đình'!$B$2:$B$2000,MATCH(B627,'Hộ gia đình'!$A$2:$A$2000,0)),"Mã hộ không tồn tại"))</f>
        <v>509 E4 Bách Khoa</v>
      </c>
      <c r="K627" s="14" t="s">
        <v>2084</v>
      </c>
      <c r="L627" s="14"/>
      <c r="M627" s="6" t="s">
        <v>2085</v>
      </c>
      <c r="N627" s="6" t="s">
        <v>388</v>
      </c>
      <c r="O627" s="6" t="s">
        <v>389</v>
      </c>
      <c r="P627" s="6"/>
      <c r="Q627" s="6" t="s">
        <v>391</v>
      </c>
      <c r="R627" s="12" t="s">
        <v>2086</v>
      </c>
    </row>
    <row r="628" customFormat="false" ht="15" hidden="false" customHeight="true" outlineLevel="0" collapsed="false">
      <c r="A628" s="6" t="s">
        <v>2087</v>
      </c>
      <c r="B628" s="6" t="s">
        <v>336</v>
      </c>
      <c r="C628" s="6" t="s">
        <v>2088</v>
      </c>
      <c r="D628" s="6"/>
      <c r="E628" s="13"/>
      <c r="F628" s="6" t="n">
        <v>2018</v>
      </c>
      <c r="G628" s="11" t="n">
        <f aca="true">IF(F628="","",YEAR(TODAY())-F628)</f>
        <v>8</v>
      </c>
      <c r="H628" s="11" t="str">
        <f aca="false">IF(C628="","",IF(G628="","Thiếu thông tin",IF(G628&lt;6,"Trẻ em",IF(G628&lt;23,"Học sinh / Sinh viên",IF(G628&lt;60,"Đang đi làm","Nghỉ hưu")))))</f>
        <v>Học sinh / Sinh viên</v>
      </c>
      <c r="I628" s="6"/>
      <c r="J628" s="11" t="str">
        <f aca="false">IF(B628="","",IFERROR(INDEX('Hộ gia đình'!$B$2:$B$2000,MATCH(B628,'Hộ gia đình'!$A$2:$A$2000,0)),"Mã hộ không tồn tại"))</f>
        <v>509 E4 Bách Khoa</v>
      </c>
      <c r="K628" s="14"/>
      <c r="L628" s="14"/>
      <c r="M628" s="6"/>
      <c r="N628" s="6" t="s">
        <v>395</v>
      </c>
      <c r="O628" s="6" t="s">
        <v>389</v>
      </c>
      <c r="P628" s="6"/>
      <c r="Q628" s="6" t="s">
        <v>403</v>
      </c>
      <c r="R628" s="12"/>
    </row>
    <row r="629" customFormat="false" ht="15" hidden="false" customHeight="true" outlineLevel="0" collapsed="false">
      <c r="A629" s="6" t="s">
        <v>2089</v>
      </c>
      <c r="B629" s="6" t="s">
        <v>336</v>
      </c>
      <c r="C629" s="6" t="s">
        <v>2090</v>
      </c>
      <c r="D629" s="6"/>
      <c r="E629" s="13"/>
      <c r="F629" s="6" t="n">
        <v>2020</v>
      </c>
      <c r="G629" s="11" t="n">
        <f aca="true">IF(F629="","",YEAR(TODAY())-F629)</f>
        <v>6</v>
      </c>
      <c r="H629" s="11" t="str">
        <f aca="false">IF(C629="","",IF(G629="","Thiếu thông tin",IF(G629&lt;6,"Trẻ em",IF(G629&lt;23,"Học sinh / Sinh viên",IF(G629&lt;60,"Đang đi làm","Nghỉ hưu")))))</f>
        <v>Học sinh / Sinh viên</v>
      </c>
      <c r="I629" s="6"/>
      <c r="J629" s="11" t="str">
        <f aca="false">IF(B629="","",IFERROR(INDEX('Hộ gia đình'!$B$2:$B$2000,MATCH(B629,'Hộ gia đình'!$A$2:$A$2000,0)),"Mã hộ không tồn tại"))</f>
        <v>509 E4 Bách Khoa</v>
      </c>
      <c r="K629" s="14"/>
      <c r="L629" s="14"/>
      <c r="M629" s="6"/>
      <c r="N629" s="6" t="s">
        <v>395</v>
      </c>
      <c r="O629" s="6" t="s">
        <v>389</v>
      </c>
      <c r="P629" s="6"/>
      <c r="Q629" s="6" t="s">
        <v>403</v>
      </c>
      <c r="R629" s="12"/>
    </row>
    <row r="630" customFormat="false" ht="15" hidden="false" customHeight="true" outlineLevel="0" collapsed="false">
      <c r="A630" s="6" t="s">
        <v>2091</v>
      </c>
      <c r="B630" s="6" t="s">
        <v>338</v>
      </c>
      <c r="C630" s="6" t="s">
        <v>2092</v>
      </c>
      <c r="D630" s="6"/>
      <c r="E630" s="13"/>
      <c r="F630" s="6" t="n">
        <v>1978</v>
      </c>
      <c r="G630" s="11" t="n">
        <f aca="true">IF(F630="","",YEAR(TODAY())-F630)</f>
        <v>48</v>
      </c>
      <c r="H630" s="11" t="str">
        <f aca="false">IF(C630="","",IF(G630="","Thiếu thông tin",IF(G630&lt;6,"Trẻ em",IF(G630&lt;23,"Học sinh / Sinh viên",IF(G630&lt;60,"Đang đi làm","Nghỉ hưu")))))</f>
        <v>Đang đi làm</v>
      </c>
      <c r="I630" s="6" t="s">
        <v>52</v>
      </c>
      <c r="J630" s="11" t="str">
        <f aca="false">IF(B630="","",IFERROR(INDEX('Hộ gia đình'!$B$2:$B$2000,MATCH(B630,'Hộ gia đình'!$A$2:$A$2000,0)),"Mã hộ không tồn tại"))</f>
        <v>510 E4 Bách Khoa</v>
      </c>
      <c r="K630" s="14"/>
      <c r="L630" s="14"/>
      <c r="M630" s="6"/>
      <c r="N630" s="6" t="s">
        <v>395</v>
      </c>
      <c r="O630" s="6" t="s">
        <v>389</v>
      </c>
      <c r="P630" s="6"/>
      <c r="Q630" s="6" t="s">
        <v>396</v>
      </c>
      <c r="R630" s="12"/>
    </row>
    <row r="631" customFormat="false" ht="15" hidden="false" customHeight="true" outlineLevel="0" collapsed="false">
      <c r="A631" s="6" t="s">
        <v>2093</v>
      </c>
      <c r="B631" s="6" t="s">
        <v>338</v>
      </c>
      <c r="C631" s="6" t="s">
        <v>2094</v>
      </c>
      <c r="D631" s="6"/>
      <c r="E631" s="13"/>
      <c r="F631" s="6" t="n">
        <v>2005</v>
      </c>
      <c r="G631" s="11" t="n">
        <f aca="true">IF(F631="","",YEAR(TODAY())-F631)</f>
        <v>21</v>
      </c>
      <c r="H631" s="11" t="str">
        <f aca="false">IF(C631="","",IF(G631="","Thiếu thông tin",IF(G631&lt;6,"Trẻ em",IF(G631&lt;23,"Học sinh / Sinh viên",IF(G631&lt;60,"Đang đi làm","Nghỉ hưu")))))</f>
        <v>Học sinh / Sinh viên</v>
      </c>
      <c r="I631" s="6"/>
      <c r="J631" s="11" t="str">
        <f aca="false">IF(B631="","",IFERROR(INDEX('Hộ gia đình'!$B$2:$B$2000,MATCH(B631,'Hộ gia đình'!$A$2:$A$2000,0)),"Mã hộ không tồn tại"))</f>
        <v>510 E4 Bách Khoa</v>
      </c>
      <c r="K631" s="14"/>
      <c r="L631" s="14"/>
      <c r="M631" s="6"/>
      <c r="N631" s="6" t="s">
        <v>395</v>
      </c>
      <c r="O631" s="6" t="s">
        <v>389</v>
      </c>
      <c r="P631" s="6"/>
      <c r="Q631" s="6" t="s">
        <v>403</v>
      </c>
      <c r="R631" s="12"/>
    </row>
    <row r="632" customFormat="false" ht="15" hidden="false" customHeight="true" outlineLevel="0" collapsed="false">
      <c r="A632" s="6" t="s">
        <v>2095</v>
      </c>
      <c r="B632" s="6" t="s">
        <v>340</v>
      </c>
      <c r="C632" s="6" t="s">
        <v>2096</v>
      </c>
      <c r="D632" s="6" t="s">
        <v>385</v>
      </c>
      <c r="E632" s="13" t="n">
        <v>17754</v>
      </c>
      <c r="F632" s="6" t="n">
        <v>1948</v>
      </c>
      <c r="G632" s="11" t="n">
        <f aca="true">IF(F632="","",YEAR(TODAY())-F632)</f>
        <v>78</v>
      </c>
      <c r="H632" s="11" t="str">
        <f aca="false">IF(C632="","",IF(G632="","Thiếu thông tin",IF(G632&lt;6,"Trẻ em",IF(G632&lt;23,"Học sinh / Sinh viên",IF(G632&lt;60,"Đang đi làm","Nghỉ hưu")))))</f>
        <v>Nghỉ hưu</v>
      </c>
      <c r="I632" s="6" t="s">
        <v>52</v>
      </c>
      <c r="J632" s="11" t="str">
        <f aca="false">IF(B632="","",IFERROR(INDEX('Hộ gia đình'!$B$2:$B$2000,MATCH(B632,'Hộ gia đình'!$A$2:$A$2000,0)),"Mã hộ không tồn tại"))</f>
        <v>511 E4 Bách Khoa</v>
      </c>
      <c r="K632" s="14" t="s">
        <v>2097</v>
      </c>
      <c r="L632" s="14"/>
      <c r="M632" s="6" t="s">
        <v>451</v>
      </c>
      <c r="N632" s="6" t="s">
        <v>388</v>
      </c>
      <c r="O632" s="6" t="s">
        <v>389</v>
      </c>
      <c r="P632" s="6"/>
      <c r="Q632" s="6" t="s">
        <v>391</v>
      </c>
      <c r="R632" s="12" t="s">
        <v>1879</v>
      </c>
    </row>
    <row r="633" customFormat="false" ht="15" hidden="false" customHeight="true" outlineLevel="0" collapsed="false">
      <c r="A633" s="6" t="s">
        <v>2098</v>
      </c>
      <c r="B633" s="6" t="s">
        <v>342</v>
      </c>
      <c r="C633" s="6" t="s">
        <v>1015</v>
      </c>
      <c r="D633" s="6"/>
      <c r="E633" s="13"/>
      <c r="F633" s="6" t="n">
        <v>1945</v>
      </c>
      <c r="G633" s="11" t="n">
        <f aca="true">IF(F633="","",YEAR(TODAY())-F633)</f>
        <v>81</v>
      </c>
      <c r="H633" s="11" t="str">
        <f aca="false">IF(C633="","",IF(G633="","Thiếu thông tin",IF(G633&lt;6,"Trẻ em",IF(G633&lt;23,"Học sinh / Sinh viên",IF(G633&lt;60,"Đang đi làm","Nghỉ hưu")))))</f>
        <v>Nghỉ hưu</v>
      </c>
      <c r="I633" s="6" t="s">
        <v>52</v>
      </c>
      <c r="J633" s="11" t="str">
        <f aca="false">IF(B633="","",IFERROR(INDEX('Hộ gia đình'!$B$2:$B$2000,MATCH(B633,'Hộ gia đình'!$A$2:$A$2000,0)),"Mã hộ không tồn tại"))</f>
        <v>512 E4 Bách Khoa</v>
      </c>
      <c r="K633" s="14"/>
      <c r="L633" s="14"/>
      <c r="M633" s="6"/>
      <c r="N633" s="6" t="s">
        <v>395</v>
      </c>
      <c r="O633" s="6" t="s">
        <v>389</v>
      </c>
      <c r="P633" s="6"/>
      <c r="Q633" s="6" t="s">
        <v>396</v>
      </c>
      <c r="R633" s="12"/>
    </row>
    <row r="634" customFormat="false" ht="15" hidden="false" customHeight="true" outlineLevel="0" collapsed="false">
      <c r="A634" s="6" t="s">
        <v>2099</v>
      </c>
      <c r="B634" s="6" t="s">
        <v>342</v>
      </c>
      <c r="C634" s="6" t="s">
        <v>2100</v>
      </c>
      <c r="D634" s="6" t="s">
        <v>408</v>
      </c>
      <c r="E634" s="13" t="n">
        <v>15498</v>
      </c>
      <c r="F634" s="6" t="n">
        <v>1942</v>
      </c>
      <c r="G634" s="11" t="n">
        <f aca="true">IF(F634="","",YEAR(TODAY())-F634)</f>
        <v>84</v>
      </c>
      <c r="H634" s="11" t="str">
        <f aca="false">IF(C634="","",IF(G634="","Thiếu thông tin",IF(G634&lt;6,"Trẻ em",IF(G634&lt;23,"Học sinh / Sinh viên",IF(G634&lt;60,"Đang đi làm","Nghỉ hưu")))))</f>
        <v>Nghỉ hưu</v>
      </c>
      <c r="I634" s="6"/>
      <c r="J634" s="11" t="str">
        <f aca="false">IF(B634="","",IFERROR(INDEX('Hộ gia đình'!$B$2:$B$2000,MATCH(B634,'Hộ gia đình'!$A$2:$A$2000,0)),"Mã hộ không tồn tại"))</f>
        <v>512 E4 Bách Khoa</v>
      </c>
      <c r="K634" s="14" t="s">
        <v>2101</v>
      </c>
      <c r="L634" s="14"/>
      <c r="M634" s="6" t="s">
        <v>451</v>
      </c>
      <c r="N634" s="6" t="s">
        <v>388</v>
      </c>
      <c r="O634" s="6" t="s">
        <v>389</v>
      </c>
      <c r="P634" s="6"/>
      <c r="Q634" s="6" t="s">
        <v>391</v>
      </c>
      <c r="R634" s="12"/>
    </row>
    <row r="635" customFormat="false" ht="15" hidden="false" customHeight="true" outlineLevel="0" collapsed="false">
      <c r="A635" s="6" t="s">
        <v>2102</v>
      </c>
      <c r="B635" s="6" t="s">
        <v>342</v>
      </c>
      <c r="C635" s="6" t="s">
        <v>2103</v>
      </c>
      <c r="D635" s="6" t="s">
        <v>385</v>
      </c>
      <c r="E635" s="13" t="n">
        <v>16729</v>
      </c>
      <c r="F635" s="6" t="n">
        <v>1945</v>
      </c>
      <c r="G635" s="11" t="n">
        <f aca="true">IF(F635="","",YEAR(TODAY())-F635)</f>
        <v>81</v>
      </c>
      <c r="H635" s="11" t="str">
        <f aca="false">IF(C635="","",IF(G635="","Thiếu thông tin",IF(G635&lt;6,"Trẻ em",IF(G635&lt;23,"Học sinh / Sinh viên",IF(G635&lt;60,"Đang đi làm","Nghỉ hưu")))))</f>
        <v>Nghỉ hưu</v>
      </c>
      <c r="I635" s="6"/>
      <c r="J635" s="11" t="str">
        <f aca="false">IF(B635="","",IFERROR(INDEX('Hộ gia đình'!$B$2:$B$2000,MATCH(B635,'Hộ gia đình'!$A$2:$A$2000,0)),"Mã hộ không tồn tại"))</f>
        <v>512 E4 Bách Khoa</v>
      </c>
      <c r="K635" s="14" t="s">
        <v>2104</v>
      </c>
      <c r="L635" s="14"/>
      <c r="M635" s="6" t="s">
        <v>451</v>
      </c>
      <c r="N635" s="6" t="s">
        <v>388</v>
      </c>
      <c r="O635" s="6" t="s">
        <v>389</v>
      </c>
      <c r="P635" s="6"/>
      <c r="Q635" s="6" t="s">
        <v>410</v>
      </c>
      <c r="R635" s="12"/>
    </row>
    <row r="636" customFormat="false" ht="15" hidden="false" customHeight="true" outlineLevel="0" collapsed="false">
      <c r="A636" s="6" t="s">
        <v>2105</v>
      </c>
      <c r="B636" s="6" t="s">
        <v>342</v>
      </c>
      <c r="C636" s="6" t="s">
        <v>2106</v>
      </c>
      <c r="D636" s="6" t="s">
        <v>408</v>
      </c>
      <c r="E636" s="13" t="n">
        <v>29575</v>
      </c>
      <c r="F636" s="6" t="n">
        <v>1980</v>
      </c>
      <c r="G636" s="11" t="n">
        <f aca="true">IF(F636="","",YEAR(TODAY())-F636)</f>
        <v>46</v>
      </c>
      <c r="H636" s="11" t="str">
        <f aca="false">IF(C636="","",IF(G636="","Thiếu thông tin",IF(G636&lt;6,"Trẻ em",IF(G636&lt;23,"Học sinh / Sinh viên",IF(G636&lt;60,"Đang đi làm","Nghỉ hưu")))))</f>
        <v>Đang đi làm</v>
      </c>
      <c r="I636" s="6"/>
      <c r="J636" s="11" t="str">
        <f aca="false">IF(B636="","",IFERROR(INDEX('Hộ gia đình'!$B$2:$B$2000,MATCH(B636,'Hộ gia đình'!$A$2:$A$2000,0)),"Mã hộ không tồn tại"))</f>
        <v>512 E4 Bách Khoa</v>
      </c>
      <c r="K636" s="14" t="s">
        <v>2107</v>
      </c>
      <c r="L636" s="14"/>
      <c r="M636" s="6" t="s">
        <v>459</v>
      </c>
      <c r="N636" s="6" t="s">
        <v>388</v>
      </c>
      <c r="O636" s="6" t="s">
        <v>389</v>
      </c>
      <c r="P636" s="6"/>
      <c r="Q636" s="6" t="s">
        <v>410</v>
      </c>
      <c r="R636" s="12"/>
    </row>
    <row r="637" customFormat="false" ht="15" hidden="false" customHeight="true" outlineLevel="0" collapsed="false">
      <c r="A637" s="6" t="s">
        <v>2108</v>
      </c>
      <c r="B637" s="6" t="s">
        <v>342</v>
      </c>
      <c r="C637" s="6" t="s">
        <v>439</v>
      </c>
      <c r="D637" s="6" t="s">
        <v>385</v>
      </c>
      <c r="E637" s="13" t="n">
        <v>31985</v>
      </c>
      <c r="F637" s="6" t="n">
        <v>1987</v>
      </c>
      <c r="G637" s="11" t="n">
        <f aca="true">IF(F637="","",YEAR(TODAY())-F637)</f>
        <v>39</v>
      </c>
      <c r="H637" s="11" t="str">
        <f aca="false">IF(C637="","",IF(G637="","Thiếu thông tin",IF(G637&lt;6,"Trẻ em",IF(G637&lt;23,"Học sinh / Sinh viên",IF(G637&lt;60,"Đang đi làm","Nghỉ hưu")))))</f>
        <v>Đang đi làm</v>
      </c>
      <c r="I637" s="6"/>
      <c r="J637" s="11" t="str">
        <f aca="false">IF(B637="","",IFERROR(INDEX('Hộ gia đình'!$B$2:$B$2000,MATCH(B637,'Hộ gia đình'!$A$2:$A$2000,0)),"Mã hộ không tồn tại"))</f>
        <v>512 E4 Bách Khoa</v>
      </c>
      <c r="K637" s="14" t="s">
        <v>2109</v>
      </c>
      <c r="L637" s="14"/>
      <c r="M637" s="6" t="s">
        <v>459</v>
      </c>
      <c r="N637" s="6" t="s">
        <v>388</v>
      </c>
      <c r="O637" s="6" t="s">
        <v>389</v>
      </c>
      <c r="P637" s="6"/>
      <c r="Q637" s="6" t="s">
        <v>410</v>
      </c>
      <c r="R637" s="12"/>
    </row>
    <row r="638" customFormat="false" ht="15" hidden="false" customHeight="true" outlineLevel="0" collapsed="false">
      <c r="A638" s="6" t="s">
        <v>2110</v>
      </c>
      <c r="B638" s="6" t="s">
        <v>344</v>
      </c>
      <c r="C638" s="6" t="s">
        <v>2111</v>
      </c>
      <c r="D638" s="6" t="s">
        <v>408</v>
      </c>
      <c r="E638" s="13" t="n">
        <v>24830</v>
      </c>
      <c r="F638" s="6" t="n">
        <v>1967</v>
      </c>
      <c r="G638" s="11" t="n">
        <f aca="true">IF(F638="","",YEAR(TODAY())-F638)</f>
        <v>59</v>
      </c>
      <c r="H638" s="11" t="str">
        <f aca="false">IF(C638="","",IF(G638="","Thiếu thông tin",IF(G638&lt;6,"Trẻ em",IF(G638&lt;23,"Học sinh / Sinh viên",IF(G638&lt;60,"Đang đi làm","Nghỉ hưu")))))</f>
        <v>Đang đi làm</v>
      </c>
      <c r="I638" s="6" t="s">
        <v>52</v>
      </c>
      <c r="J638" s="11" t="str">
        <f aca="false">IF(B638="","",IFERROR(INDEX('Hộ gia đình'!$B$2:$B$2000,MATCH(B638,'Hộ gia đình'!$A$2:$A$2000,0)),"Mã hộ không tồn tại"))</f>
        <v>513 E4 Bách Khoa</v>
      </c>
      <c r="K638" s="14" t="s">
        <v>2112</v>
      </c>
      <c r="L638" s="14"/>
      <c r="M638" s="6" t="s">
        <v>451</v>
      </c>
      <c r="N638" s="6" t="s">
        <v>388</v>
      </c>
      <c r="O638" s="6" t="s">
        <v>389</v>
      </c>
      <c r="P638" s="6"/>
      <c r="Q638" s="6" t="s">
        <v>391</v>
      </c>
      <c r="R638" s="12" t="s">
        <v>2113</v>
      </c>
    </row>
    <row r="639" customFormat="false" ht="15" hidden="false" customHeight="true" outlineLevel="0" collapsed="false">
      <c r="A639" s="6" t="s">
        <v>2114</v>
      </c>
      <c r="B639" s="6" t="s">
        <v>344</v>
      </c>
      <c r="C639" s="6" t="s">
        <v>2115</v>
      </c>
      <c r="D639" s="6" t="s">
        <v>385</v>
      </c>
      <c r="E639" s="13" t="n">
        <v>25355</v>
      </c>
      <c r="F639" s="6" t="n">
        <v>1969</v>
      </c>
      <c r="G639" s="11" t="n">
        <f aca="true">IF(F639="","",YEAR(TODAY())-F639)</f>
        <v>57</v>
      </c>
      <c r="H639" s="11" t="str">
        <f aca="false">IF(C639="","",IF(G639="","Thiếu thông tin",IF(G639&lt;6,"Trẻ em",IF(G639&lt;23,"Học sinh / Sinh viên",IF(G639&lt;60,"Đang đi làm","Nghỉ hưu")))))</f>
        <v>Đang đi làm</v>
      </c>
      <c r="I639" s="6"/>
      <c r="J639" s="11" t="str">
        <f aca="false">IF(B639="","",IFERROR(INDEX('Hộ gia đình'!$B$2:$B$2000,MATCH(B639,'Hộ gia đình'!$A$2:$A$2000,0)),"Mã hộ không tồn tại"))</f>
        <v>513 E4 Bách Khoa</v>
      </c>
      <c r="K639" s="14" t="s">
        <v>2116</v>
      </c>
      <c r="L639" s="14"/>
      <c r="M639" s="6" t="s">
        <v>451</v>
      </c>
      <c r="N639" s="6" t="s">
        <v>388</v>
      </c>
      <c r="O639" s="6" t="s">
        <v>389</v>
      </c>
      <c r="P639" s="6"/>
      <c r="Q639" s="6" t="s">
        <v>391</v>
      </c>
      <c r="R639" s="12"/>
    </row>
    <row r="640" customFormat="false" ht="15" hidden="false" customHeight="true" outlineLevel="0" collapsed="false">
      <c r="A640" s="6" t="s">
        <v>2117</v>
      </c>
      <c r="B640" s="6" t="s">
        <v>346</v>
      </c>
      <c r="C640" s="6" t="s">
        <v>2118</v>
      </c>
      <c r="D640" s="6"/>
      <c r="E640" s="13"/>
      <c r="F640" s="6" t="n">
        <v>1943</v>
      </c>
      <c r="G640" s="11" t="n">
        <f aca="true">IF(F640="","",YEAR(TODAY())-F640)</f>
        <v>83</v>
      </c>
      <c r="H640" s="11" t="str">
        <f aca="false">IF(C640="","",IF(G640="","Thiếu thông tin",IF(G640&lt;6,"Trẻ em",IF(G640&lt;23,"Học sinh / Sinh viên",IF(G640&lt;60,"Đang đi làm","Nghỉ hưu")))))</f>
        <v>Nghỉ hưu</v>
      </c>
      <c r="I640" s="6" t="s">
        <v>52</v>
      </c>
      <c r="J640" s="11" t="str">
        <f aca="false">IF(B640="","",IFERROR(INDEX('Hộ gia đình'!$B$2:$B$2000,MATCH(B640,'Hộ gia đình'!$A$2:$A$2000,0)),"Mã hộ không tồn tại"))</f>
        <v>514 E4 Bách Khoa</v>
      </c>
      <c r="K640" s="14"/>
      <c r="L640" s="14"/>
      <c r="M640" s="6"/>
      <c r="N640" s="6" t="s">
        <v>395</v>
      </c>
      <c r="O640" s="6" t="s">
        <v>389</v>
      </c>
      <c r="P640" s="6"/>
      <c r="Q640" s="6" t="s">
        <v>396</v>
      </c>
      <c r="R640" s="12"/>
    </row>
    <row r="641" customFormat="false" ht="15" hidden="false" customHeight="true" outlineLevel="0" collapsed="false">
      <c r="A641" s="6" t="s">
        <v>2119</v>
      </c>
      <c r="B641" s="6" t="s">
        <v>348</v>
      </c>
      <c r="C641" s="6" t="s">
        <v>2120</v>
      </c>
      <c r="D641" s="6"/>
      <c r="E641" s="13"/>
      <c r="F641" s="6" t="n">
        <v>1941</v>
      </c>
      <c r="G641" s="11" t="n">
        <f aca="true">IF(F641="","",YEAR(TODAY())-F641)</f>
        <v>85</v>
      </c>
      <c r="H641" s="11" t="str">
        <f aca="false">IF(C641="","",IF(G641="","Thiếu thông tin",IF(G641&lt;6,"Trẻ em",IF(G641&lt;23,"Học sinh / Sinh viên",IF(G641&lt;60,"Đang đi làm","Nghỉ hưu")))))</f>
        <v>Nghỉ hưu</v>
      </c>
      <c r="I641" s="6" t="s">
        <v>52</v>
      </c>
      <c r="J641" s="11" t="str">
        <f aca="false">IF(B641="","",IFERROR(INDEX('Hộ gia đình'!$B$2:$B$2000,MATCH(B641,'Hộ gia đình'!$A$2:$A$2000,0)),"Mã hộ không tồn tại"))</f>
        <v>515 E4 Bách Khoa</v>
      </c>
      <c r="K641" s="14"/>
      <c r="L641" s="14"/>
      <c r="M641" s="6"/>
      <c r="N641" s="6" t="s">
        <v>395</v>
      </c>
      <c r="O641" s="6" t="s">
        <v>389</v>
      </c>
      <c r="P641" s="6" t="s">
        <v>2121</v>
      </c>
      <c r="Q641" s="6" t="s">
        <v>396</v>
      </c>
      <c r="R641" s="12"/>
    </row>
    <row r="642" customFormat="false" ht="15" hidden="false" customHeight="true" outlineLevel="0" collapsed="false">
      <c r="A642" s="6" t="s">
        <v>2122</v>
      </c>
      <c r="B642" s="6" t="s">
        <v>348</v>
      </c>
      <c r="C642" s="6" t="s">
        <v>2123</v>
      </c>
      <c r="D642" s="6"/>
      <c r="E642" s="13" t="n">
        <v>27107</v>
      </c>
      <c r="F642" s="6" t="n">
        <v>1974</v>
      </c>
      <c r="G642" s="11" t="n">
        <f aca="true">IF(F642="","",YEAR(TODAY())-F642)</f>
        <v>52</v>
      </c>
      <c r="H642" s="11" t="str">
        <f aca="false">IF(C642="","",IF(G642="","Thiếu thông tin",IF(G642&lt;6,"Trẻ em",IF(G642&lt;23,"Học sinh / Sinh viên",IF(G642&lt;60,"Đang đi làm","Nghỉ hưu")))))</f>
        <v>Đang đi làm</v>
      </c>
      <c r="I642" s="6"/>
      <c r="J642" s="11" t="str">
        <f aca="false">IF(B642="","",IFERROR(INDEX('Hộ gia đình'!$B$2:$B$2000,MATCH(B642,'Hộ gia đình'!$A$2:$A$2000,0)),"Mã hộ không tồn tại"))</f>
        <v>515 E4 Bách Khoa</v>
      </c>
      <c r="K642" s="14"/>
      <c r="L642" s="14"/>
      <c r="M642" s="6"/>
      <c r="N642" s="6" t="s">
        <v>395</v>
      </c>
      <c r="O642" s="6" t="s">
        <v>389</v>
      </c>
      <c r="P642" s="6"/>
      <c r="Q642" s="6" t="s">
        <v>396</v>
      </c>
      <c r="R642" s="12"/>
    </row>
    <row r="643" customFormat="false" ht="15" hidden="false" customHeight="true" outlineLevel="0" collapsed="false">
      <c r="A643" s="6" t="s">
        <v>2124</v>
      </c>
      <c r="B643" s="6" t="s">
        <v>348</v>
      </c>
      <c r="C643" s="6" t="s">
        <v>2125</v>
      </c>
      <c r="D643" s="6"/>
      <c r="E643" s="13"/>
      <c r="F643" s="6" t="n">
        <v>1979</v>
      </c>
      <c r="G643" s="11" t="n">
        <f aca="true">IF(F643="","",YEAR(TODAY())-F643)</f>
        <v>47</v>
      </c>
      <c r="H643" s="11" t="str">
        <f aca="false">IF(C643="","",IF(G643="","Thiếu thông tin",IF(G643&lt;6,"Trẻ em",IF(G643&lt;23,"Học sinh / Sinh viên",IF(G643&lt;60,"Đang đi làm","Nghỉ hưu")))))</f>
        <v>Đang đi làm</v>
      </c>
      <c r="I643" s="6"/>
      <c r="J643" s="11" t="str">
        <f aca="false">IF(B643="","",IFERROR(INDEX('Hộ gia đình'!$B$2:$B$2000,MATCH(B643,'Hộ gia đình'!$A$2:$A$2000,0)),"Mã hộ không tồn tại"))</f>
        <v>515 E4 Bách Khoa</v>
      </c>
      <c r="K643" s="14"/>
      <c r="L643" s="14"/>
      <c r="M643" s="6"/>
      <c r="N643" s="6" t="s">
        <v>395</v>
      </c>
      <c r="O643" s="6" t="s">
        <v>389</v>
      </c>
      <c r="P643" s="6"/>
      <c r="Q643" s="6" t="s">
        <v>396</v>
      </c>
      <c r="R643" s="12"/>
    </row>
    <row r="644" customFormat="false" ht="15" hidden="false" customHeight="true" outlineLevel="0" collapsed="false">
      <c r="A644" s="6" t="s">
        <v>2126</v>
      </c>
      <c r="B644" s="6" t="s">
        <v>348</v>
      </c>
      <c r="C644" s="6" t="s">
        <v>2127</v>
      </c>
      <c r="D644" s="6" t="s">
        <v>385</v>
      </c>
      <c r="E644" s="13" t="n">
        <v>38581</v>
      </c>
      <c r="F644" s="6" t="n">
        <v>2005</v>
      </c>
      <c r="G644" s="11" t="n">
        <f aca="true">IF(F644="","",YEAR(TODAY())-F644)</f>
        <v>21</v>
      </c>
      <c r="H644" s="11" t="str">
        <f aca="false">IF(C644="","",IF(G644="","Thiếu thông tin",IF(G644&lt;6,"Trẻ em",IF(G644&lt;23,"Học sinh / Sinh viên",IF(G644&lt;60,"Đang đi làm","Nghỉ hưu")))))</f>
        <v>Học sinh / Sinh viên</v>
      </c>
      <c r="I644" s="6"/>
      <c r="J644" s="11" t="str">
        <f aca="false">IF(B644="","",IFERROR(INDEX('Hộ gia đình'!$B$2:$B$2000,MATCH(B644,'Hộ gia đình'!$A$2:$A$2000,0)),"Mã hộ không tồn tại"))</f>
        <v>515 E4 Bách Khoa</v>
      </c>
      <c r="K644" s="14"/>
      <c r="L644" s="14"/>
      <c r="M644" s="6"/>
      <c r="N644" s="6" t="s">
        <v>395</v>
      </c>
      <c r="O644" s="6" t="s">
        <v>389</v>
      </c>
      <c r="P644" s="6"/>
      <c r="Q644" s="6" t="s">
        <v>403</v>
      </c>
      <c r="R644" s="12"/>
    </row>
    <row r="645" customFormat="false" ht="15" hidden="false" customHeight="true" outlineLevel="0" collapsed="false">
      <c r="A645" s="6" t="s">
        <v>2128</v>
      </c>
      <c r="B645" s="6" t="s">
        <v>348</v>
      </c>
      <c r="C645" s="6" t="s">
        <v>2129</v>
      </c>
      <c r="D645" s="6" t="s">
        <v>408</v>
      </c>
      <c r="E645" s="13" t="n">
        <v>39688</v>
      </c>
      <c r="F645" s="6" t="n">
        <v>2008</v>
      </c>
      <c r="G645" s="11" t="n">
        <f aca="true">IF(F645="","",YEAR(TODAY())-F645)</f>
        <v>18</v>
      </c>
      <c r="H645" s="11" t="str">
        <f aca="false">IF(C645="","",IF(G645="","Thiếu thông tin",IF(G645&lt;6,"Trẻ em",IF(G645&lt;23,"Học sinh / Sinh viên",IF(G645&lt;60,"Đang đi làm","Nghỉ hưu")))))</f>
        <v>Học sinh / Sinh viên</v>
      </c>
      <c r="I645" s="6"/>
      <c r="J645" s="11" t="str">
        <f aca="false">IF(B645="","",IFERROR(INDEX('Hộ gia đình'!$B$2:$B$2000,MATCH(B645,'Hộ gia đình'!$A$2:$A$2000,0)),"Mã hộ không tồn tại"))</f>
        <v>515 E4 Bách Khoa</v>
      </c>
      <c r="K645" s="14" t="s">
        <v>2130</v>
      </c>
      <c r="L645" s="14"/>
      <c r="M645" s="6"/>
      <c r="N645" s="6" t="s">
        <v>395</v>
      </c>
      <c r="O645" s="6" t="s">
        <v>389</v>
      </c>
      <c r="P645" s="6"/>
      <c r="Q645" s="6" t="s">
        <v>403</v>
      </c>
      <c r="R645" s="12"/>
    </row>
    <row r="646" customFormat="false" ht="15" hidden="false" customHeight="true" outlineLevel="0" collapsed="false">
      <c r="A646" s="6" t="s">
        <v>2131</v>
      </c>
      <c r="B646" s="6" t="s">
        <v>348</v>
      </c>
      <c r="C646" s="6" t="s">
        <v>2132</v>
      </c>
      <c r="D646" s="6" t="s">
        <v>385</v>
      </c>
      <c r="E646" s="13" t="n">
        <v>41598</v>
      </c>
      <c r="F646" s="6" t="n">
        <v>2015</v>
      </c>
      <c r="G646" s="11" t="n">
        <f aca="true">IF(F646="","",YEAR(TODAY())-F646)</f>
        <v>11</v>
      </c>
      <c r="H646" s="11" t="str">
        <f aca="false">IF(C646="","",IF(G646="","Thiếu thông tin",IF(G646&lt;6,"Trẻ em",IF(G646&lt;23,"Học sinh / Sinh viên",IF(G646&lt;60,"Đang đi làm","Nghỉ hưu")))))</f>
        <v>Học sinh / Sinh viên</v>
      </c>
      <c r="I646" s="6"/>
      <c r="J646" s="11" t="str">
        <f aca="false">IF(B646="","",IFERROR(INDEX('Hộ gia đình'!$B$2:$B$2000,MATCH(B646,'Hộ gia đình'!$A$2:$A$2000,0)),"Mã hộ không tồn tại"))</f>
        <v>515 E4 Bách Khoa</v>
      </c>
      <c r="K646" s="14"/>
      <c r="L646" s="14"/>
      <c r="M646" s="6"/>
      <c r="N646" s="6" t="s">
        <v>395</v>
      </c>
      <c r="O646" s="6" t="s">
        <v>389</v>
      </c>
      <c r="P646" s="6"/>
      <c r="Q646" s="6" t="s">
        <v>403</v>
      </c>
      <c r="R646" s="12" t="s">
        <v>2133</v>
      </c>
    </row>
    <row r="647" customFormat="false" ht="15" hidden="false" customHeight="true" outlineLevel="0" collapsed="false">
      <c r="A647" s="6" t="s">
        <v>2134</v>
      </c>
      <c r="B647" s="6" t="s">
        <v>348</v>
      </c>
      <c r="C647" s="6" t="s">
        <v>2135</v>
      </c>
      <c r="D647" s="6" t="s">
        <v>408</v>
      </c>
      <c r="E647" s="13" t="n">
        <v>27687</v>
      </c>
      <c r="F647" s="6" t="n">
        <v>1975</v>
      </c>
      <c r="G647" s="11" t="n">
        <f aca="true">IF(F647="","",YEAR(TODAY())-F647)</f>
        <v>51</v>
      </c>
      <c r="H647" s="11" t="str">
        <f aca="false">IF(C647="","",IF(G647="","Thiếu thông tin",IF(G647&lt;6,"Trẻ em",IF(G647&lt;23,"Học sinh / Sinh viên",IF(G647&lt;60,"Đang đi làm","Nghỉ hưu")))))</f>
        <v>Đang đi làm</v>
      </c>
      <c r="I647" s="6"/>
      <c r="J647" s="11" t="str">
        <f aca="false">IF(B647="","",IFERROR(INDEX('Hộ gia đình'!$B$2:$B$2000,MATCH(B647,'Hộ gia đình'!$A$2:$A$2000,0)),"Mã hộ không tồn tại"))</f>
        <v>515 E4 Bách Khoa</v>
      </c>
      <c r="K647" s="14" t="s">
        <v>2136</v>
      </c>
      <c r="L647" s="14"/>
      <c r="M647" s="6" t="s">
        <v>459</v>
      </c>
      <c r="N647" s="6" t="s">
        <v>388</v>
      </c>
      <c r="O647" s="6" t="s">
        <v>389</v>
      </c>
      <c r="P647" s="6"/>
      <c r="Q647" s="6" t="s">
        <v>410</v>
      </c>
      <c r="R647" s="12"/>
    </row>
    <row r="648" customFormat="false" ht="15" hidden="false" customHeight="true" outlineLevel="0" collapsed="false">
      <c r="A648" s="6" t="s">
        <v>2137</v>
      </c>
      <c r="B648" s="6" t="s">
        <v>350</v>
      </c>
      <c r="C648" s="6" t="s">
        <v>2138</v>
      </c>
      <c r="D648" s="6"/>
      <c r="E648" s="13"/>
      <c r="F648" s="6" t="n">
        <v>1985</v>
      </c>
      <c r="G648" s="11" t="n">
        <f aca="true">IF(F648="","",YEAR(TODAY())-F648)</f>
        <v>41</v>
      </c>
      <c r="H648" s="11" t="str">
        <f aca="false">IF(C648="","",IF(G648="","Thiếu thông tin",IF(G648&lt;6,"Trẻ em",IF(G648&lt;23,"Học sinh / Sinh viên",IF(G648&lt;60,"Đang đi làm","Nghỉ hưu")))))</f>
        <v>Đang đi làm</v>
      </c>
      <c r="I648" s="6" t="s">
        <v>52</v>
      </c>
      <c r="J648" s="11" t="str">
        <f aca="false">IF(B648="","",IFERROR(INDEX('Hộ gia đình'!$B$2:$B$2000,MATCH(B648,'Hộ gia đình'!$A$2:$A$2000,0)),"Mã hộ không tồn tại"))</f>
        <v>516 E4 Bách Khoa</v>
      </c>
      <c r="K648" s="14"/>
      <c r="L648" s="14"/>
      <c r="M648" s="6"/>
      <c r="N648" s="6" t="s">
        <v>395</v>
      </c>
      <c r="O648" s="6" t="s">
        <v>389</v>
      </c>
      <c r="P648" s="6"/>
      <c r="Q648" s="6" t="s">
        <v>396</v>
      </c>
      <c r="R648" s="12"/>
    </row>
    <row r="649" customFormat="false" ht="15" hidden="false" customHeight="true" outlineLevel="0" collapsed="false">
      <c r="A649" s="6" t="s">
        <v>2139</v>
      </c>
      <c r="B649" s="6" t="s">
        <v>350</v>
      </c>
      <c r="C649" s="6" t="s">
        <v>2140</v>
      </c>
      <c r="D649" s="6"/>
      <c r="E649" s="13" t="n">
        <v>28051</v>
      </c>
      <c r="F649" s="6" t="n">
        <v>1987</v>
      </c>
      <c r="G649" s="11" t="n">
        <f aca="true">IF(F649="","",YEAR(TODAY())-F649)</f>
        <v>39</v>
      </c>
      <c r="H649" s="11" t="str">
        <f aca="false">IF(C649="","",IF(G649="","Thiếu thông tin",IF(G649&lt;6,"Trẻ em",IF(G649&lt;23,"Học sinh / Sinh viên",IF(G649&lt;60,"Đang đi làm","Nghỉ hưu")))))</f>
        <v>Đang đi làm</v>
      </c>
      <c r="I649" s="6"/>
      <c r="J649" s="11" t="str">
        <f aca="false">IF(B649="","",IFERROR(INDEX('Hộ gia đình'!$B$2:$B$2000,MATCH(B649,'Hộ gia đình'!$A$2:$A$2000,0)),"Mã hộ không tồn tại"))</f>
        <v>516 E4 Bách Khoa</v>
      </c>
      <c r="K649" s="14"/>
      <c r="L649" s="14"/>
      <c r="M649" s="6"/>
      <c r="N649" s="6" t="s">
        <v>395</v>
      </c>
      <c r="O649" s="6" t="s">
        <v>389</v>
      </c>
      <c r="P649" s="6"/>
      <c r="Q649" s="6" t="s">
        <v>396</v>
      </c>
      <c r="R649" s="12" t="s">
        <v>2141</v>
      </c>
    </row>
    <row r="650" customFormat="false" ht="15" hidden="false" customHeight="true" outlineLevel="0" collapsed="false">
      <c r="A650" s="6" t="s">
        <v>2142</v>
      </c>
      <c r="B650" s="6" t="s">
        <v>350</v>
      </c>
      <c r="C650" s="6" t="s">
        <v>2143</v>
      </c>
      <c r="D650" s="6"/>
      <c r="E650" s="13"/>
      <c r="F650" s="6" t="n">
        <v>2017</v>
      </c>
      <c r="G650" s="11" t="n">
        <f aca="true">IF(F650="","",YEAR(TODAY())-F650)</f>
        <v>9</v>
      </c>
      <c r="H650" s="11" t="str">
        <f aca="false">IF(C650="","",IF(G650="","Thiếu thông tin",IF(G650&lt;6,"Trẻ em",IF(G650&lt;23,"Học sinh / Sinh viên",IF(G650&lt;60,"Đang đi làm","Nghỉ hưu")))))</f>
        <v>Học sinh / Sinh viên</v>
      </c>
      <c r="I650" s="6"/>
      <c r="J650" s="11" t="str">
        <f aca="false">IF(B650="","",IFERROR(INDEX('Hộ gia đình'!$B$2:$B$2000,MATCH(B650,'Hộ gia đình'!$A$2:$A$2000,0)),"Mã hộ không tồn tại"))</f>
        <v>516 E4 Bách Khoa</v>
      </c>
      <c r="K650" s="14"/>
      <c r="L650" s="14"/>
      <c r="M650" s="6"/>
      <c r="N650" s="6" t="s">
        <v>395</v>
      </c>
      <c r="O650" s="6" t="s">
        <v>389</v>
      </c>
      <c r="P650" s="6"/>
      <c r="Q650" s="6" t="s">
        <v>403</v>
      </c>
      <c r="R650" s="12"/>
    </row>
    <row r="651" customFormat="false" ht="15" hidden="false" customHeight="true" outlineLevel="0" collapsed="false">
      <c r="A651" s="6" t="s">
        <v>2144</v>
      </c>
      <c r="B651" s="6" t="s">
        <v>352</v>
      </c>
      <c r="C651" s="6" t="s">
        <v>2145</v>
      </c>
      <c r="D651" s="6" t="s">
        <v>408</v>
      </c>
      <c r="E651" s="13" t="n">
        <v>22247</v>
      </c>
      <c r="F651" s="6" t="n">
        <v>1960</v>
      </c>
      <c r="G651" s="11" t="n">
        <f aca="true">IF(F651="","",YEAR(TODAY())-F651)</f>
        <v>66</v>
      </c>
      <c r="H651" s="11" t="str">
        <f aca="false">IF(C651="","",IF(G651="","Thiếu thông tin",IF(G651&lt;6,"Trẻ em",IF(G651&lt;23,"Học sinh / Sinh viên",IF(G651&lt;60,"Đang đi làm","Nghỉ hưu")))))</f>
        <v>Nghỉ hưu</v>
      </c>
      <c r="I651" s="6" t="s">
        <v>52</v>
      </c>
      <c r="J651" s="11" t="str">
        <f aca="false">IF(B651="","",IFERROR(INDEX('Hộ gia đình'!$B$2:$B$2000,MATCH(B651,'Hộ gia đình'!$A$2:$A$2000,0)),"Mã hộ không tồn tại"))</f>
        <v>5 ngõ 17 Tạ Quang Bửu</v>
      </c>
      <c r="K651" s="14" t="s">
        <v>2146</v>
      </c>
      <c r="L651" s="14"/>
      <c r="M651" s="6" t="s">
        <v>451</v>
      </c>
      <c r="N651" s="6" t="s">
        <v>388</v>
      </c>
      <c r="O651" s="6" t="s">
        <v>389</v>
      </c>
      <c r="P651" s="6"/>
      <c r="Q651" s="6" t="s">
        <v>410</v>
      </c>
      <c r="R651" s="12"/>
    </row>
    <row r="652" customFormat="false" ht="15" hidden="false" customHeight="true" outlineLevel="0" collapsed="false">
      <c r="A652" s="6" t="s">
        <v>2147</v>
      </c>
      <c r="B652" s="6" t="s">
        <v>352</v>
      </c>
      <c r="C652" s="6" t="s">
        <v>2148</v>
      </c>
      <c r="D652" s="6" t="s">
        <v>385</v>
      </c>
      <c r="E652" s="13" t="n">
        <v>21090</v>
      </c>
      <c r="F652" s="6" t="n">
        <v>1957</v>
      </c>
      <c r="G652" s="11" t="n">
        <f aca="true">IF(F652="","",YEAR(TODAY())-F652)</f>
        <v>69</v>
      </c>
      <c r="H652" s="11" t="str">
        <f aca="false">IF(C652="","",IF(G652="","Thiếu thông tin",IF(G652&lt;6,"Trẻ em",IF(G652&lt;23,"Học sinh / Sinh viên",IF(G652&lt;60,"Đang đi làm","Nghỉ hưu")))))</f>
        <v>Nghỉ hưu</v>
      </c>
      <c r="I652" s="6"/>
      <c r="J652" s="11" t="str">
        <f aca="false">IF(B652="","",IFERROR(INDEX('Hộ gia đình'!$B$2:$B$2000,MATCH(B652,'Hộ gia đình'!$A$2:$A$2000,0)),"Mã hộ không tồn tại"))</f>
        <v>5 ngõ 17 Tạ Quang Bửu</v>
      </c>
      <c r="K652" s="14" t="s">
        <v>2149</v>
      </c>
      <c r="L652" s="14"/>
      <c r="M652" s="6" t="s">
        <v>451</v>
      </c>
      <c r="N652" s="6" t="s">
        <v>388</v>
      </c>
      <c r="O652" s="6" t="s">
        <v>389</v>
      </c>
      <c r="P652" s="6"/>
      <c r="Q652" s="6" t="s">
        <v>410</v>
      </c>
      <c r="R652" s="12"/>
    </row>
    <row r="653" customFormat="false" ht="15" hidden="false" customHeight="true" outlineLevel="0" collapsed="false">
      <c r="A653" s="6" t="s">
        <v>2150</v>
      </c>
      <c r="B653" s="6" t="s">
        <v>352</v>
      </c>
      <c r="C653" s="6" t="s">
        <v>2151</v>
      </c>
      <c r="D653" s="6" t="s">
        <v>408</v>
      </c>
      <c r="E653" s="13" t="n">
        <v>33248</v>
      </c>
      <c r="F653" s="6" t="n">
        <v>1991</v>
      </c>
      <c r="G653" s="11" t="n">
        <f aca="true">IF(F653="","",YEAR(TODAY())-F653)</f>
        <v>35</v>
      </c>
      <c r="H653" s="11" t="str">
        <f aca="false">IF(C653="","",IF(G653="","Thiếu thông tin",IF(G653&lt;6,"Trẻ em",IF(G653&lt;23,"Học sinh / Sinh viên",IF(G653&lt;60,"Đang đi làm","Nghỉ hưu")))))</f>
        <v>Đang đi làm</v>
      </c>
      <c r="I653" s="6"/>
      <c r="J653" s="11" t="str">
        <f aca="false">IF(B653="","",IFERROR(INDEX('Hộ gia đình'!$B$2:$B$2000,MATCH(B653,'Hộ gia đình'!$A$2:$A$2000,0)),"Mã hộ không tồn tại"))</f>
        <v>5 ngõ 17 Tạ Quang Bửu</v>
      </c>
      <c r="K653" s="14" t="s">
        <v>2152</v>
      </c>
      <c r="L653" s="14"/>
      <c r="M653" s="6" t="s">
        <v>459</v>
      </c>
      <c r="N653" s="6" t="s">
        <v>388</v>
      </c>
      <c r="O653" s="6" t="s">
        <v>389</v>
      </c>
      <c r="P653" s="6"/>
      <c r="Q653" s="6" t="s">
        <v>410</v>
      </c>
      <c r="R653" s="12"/>
    </row>
    <row r="654" customFormat="false" ht="15" hidden="false" customHeight="true" outlineLevel="0" collapsed="false">
      <c r="A654" s="6" t="s">
        <v>2153</v>
      </c>
      <c r="B654" s="6" t="s">
        <v>352</v>
      </c>
      <c r="C654" s="6" t="s">
        <v>2154</v>
      </c>
      <c r="D654" s="6" t="s">
        <v>385</v>
      </c>
      <c r="E654" s="13" t="n">
        <v>32383</v>
      </c>
      <c r="F654" s="6" t="n">
        <v>1988</v>
      </c>
      <c r="G654" s="11" t="n">
        <f aca="true">IF(F654="","",YEAR(TODAY())-F654)</f>
        <v>38</v>
      </c>
      <c r="H654" s="11" t="str">
        <f aca="false">IF(C654="","",IF(G654="","Thiếu thông tin",IF(G654&lt;6,"Trẻ em",IF(G654&lt;23,"Học sinh / Sinh viên",IF(G654&lt;60,"Đang đi làm","Nghỉ hưu")))))</f>
        <v>Đang đi làm</v>
      </c>
      <c r="I654" s="6"/>
      <c r="J654" s="11" t="str">
        <f aca="false">IF(B654="","",IFERROR(INDEX('Hộ gia đình'!$B$2:$B$2000,MATCH(B654,'Hộ gia đình'!$A$2:$A$2000,0)),"Mã hộ không tồn tại"))</f>
        <v>5 ngõ 17 Tạ Quang Bửu</v>
      </c>
      <c r="K654" s="14" t="s">
        <v>2155</v>
      </c>
      <c r="L654" s="14"/>
      <c r="M654" s="6" t="s">
        <v>459</v>
      </c>
      <c r="N654" s="6" t="s">
        <v>388</v>
      </c>
      <c r="O654" s="6" t="s">
        <v>389</v>
      </c>
      <c r="P654" s="6"/>
      <c r="Q654" s="6" t="s">
        <v>410</v>
      </c>
      <c r="R654" s="12"/>
    </row>
    <row r="655" customFormat="false" ht="15" hidden="false" customHeight="true" outlineLevel="0" collapsed="false">
      <c r="A655" s="6" t="s">
        <v>2156</v>
      </c>
      <c r="B655" s="6" t="s">
        <v>355</v>
      </c>
      <c r="C655" s="6" t="s">
        <v>2157</v>
      </c>
      <c r="D655" s="6" t="s">
        <v>385</v>
      </c>
      <c r="E655" s="13" t="n">
        <v>16425</v>
      </c>
      <c r="F655" s="6" t="n">
        <v>1944</v>
      </c>
      <c r="G655" s="11" t="n">
        <f aca="true">IF(F655="","",YEAR(TODAY())-F655)</f>
        <v>82</v>
      </c>
      <c r="H655" s="11" t="str">
        <f aca="false">IF(C655="","",IF(G655="","Thiếu thông tin",IF(G655&lt;6,"Trẻ em",IF(G655&lt;23,"Học sinh / Sinh viên",IF(G655&lt;60,"Đang đi làm","Nghỉ hưu")))))</f>
        <v>Nghỉ hưu</v>
      </c>
      <c r="I655" s="6" t="s">
        <v>52</v>
      </c>
      <c r="J655" s="11" t="str">
        <f aca="false">IF(B655="","",IFERROR(INDEX('Hộ gia đình'!$B$2:$B$2000,MATCH(B655,'Hộ gia đình'!$A$2:$A$2000,0)),"Mã hộ không tồn tại"))</f>
        <v>16 ngõ 17 Tạ Quang Bửu</v>
      </c>
      <c r="K655" s="14" t="s">
        <v>2158</v>
      </c>
      <c r="L655" s="14"/>
      <c r="M655" s="6" t="s">
        <v>387</v>
      </c>
      <c r="N655" s="6" t="s">
        <v>388</v>
      </c>
      <c r="O655" s="6" t="s">
        <v>389</v>
      </c>
      <c r="P655" s="6"/>
      <c r="Q655" s="6" t="s">
        <v>410</v>
      </c>
      <c r="R655" s="12"/>
    </row>
    <row r="656" customFormat="false" ht="15" hidden="false" customHeight="true" outlineLevel="0" collapsed="false">
      <c r="A656" s="6" t="s">
        <v>2159</v>
      </c>
      <c r="B656" s="6" t="s">
        <v>355</v>
      </c>
      <c r="C656" s="6" t="s">
        <v>2160</v>
      </c>
      <c r="D656" s="6" t="s">
        <v>408</v>
      </c>
      <c r="E656" s="13" t="n">
        <v>13886</v>
      </c>
      <c r="F656" s="6" t="n">
        <v>1938</v>
      </c>
      <c r="G656" s="11" t="n">
        <f aca="true">IF(F656="","",YEAR(TODAY())-F656)</f>
        <v>88</v>
      </c>
      <c r="H656" s="11" t="str">
        <f aca="false">IF(C656="","",IF(G656="","Thiếu thông tin",IF(G656&lt;6,"Trẻ em",IF(G656&lt;23,"Học sinh / Sinh viên",IF(G656&lt;60,"Đang đi làm","Nghỉ hưu")))))</f>
        <v>Nghỉ hưu</v>
      </c>
      <c r="I656" s="6"/>
      <c r="J656" s="11" t="str">
        <f aca="false">IF(B656="","",IFERROR(INDEX('Hộ gia đình'!$B$2:$B$2000,MATCH(B656,'Hộ gia đình'!$A$2:$A$2000,0)),"Mã hộ không tồn tại"))</f>
        <v>16 ngõ 17 Tạ Quang Bửu</v>
      </c>
      <c r="K656" s="14" t="s">
        <v>2161</v>
      </c>
      <c r="L656" s="14"/>
      <c r="M656" s="6" t="s">
        <v>459</v>
      </c>
      <c r="N656" s="6" t="s">
        <v>388</v>
      </c>
      <c r="O656" s="6" t="s">
        <v>389</v>
      </c>
      <c r="P656" s="6"/>
      <c r="Q656" s="6" t="s">
        <v>410</v>
      </c>
      <c r="R656" s="12"/>
    </row>
    <row r="657" customFormat="false" ht="15" hidden="false" customHeight="true" outlineLevel="0" collapsed="false">
      <c r="A657" s="6" t="s">
        <v>2162</v>
      </c>
      <c r="B657" s="6" t="s">
        <v>355</v>
      </c>
      <c r="C657" s="6" t="s">
        <v>2163</v>
      </c>
      <c r="D657" s="6" t="s">
        <v>408</v>
      </c>
      <c r="E657" s="13" t="n">
        <v>28309</v>
      </c>
      <c r="F657" s="6" t="n">
        <v>1977</v>
      </c>
      <c r="G657" s="11" t="n">
        <f aca="true">IF(F657="","",YEAR(TODAY())-F657)</f>
        <v>49</v>
      </c>
      <c r="H657" s="11" t="str">
        <f aca="false">IF(C657="","",IF(G657="","Thiếu thông tin",IF(G657&lt;6,"Trẻ em",IF(G657&lt;23,"Học sinh / Sinh viên",IF(G657&lt;60,"Đang đi làm","Nghỉ hưu")))))</f>
        <v>Đang đi làm</v>
      </c>
      <c r="I657" s="6"/>
      <c r="J657" s="11" t="str">
        <f aca="false">IF(B657="","",IFERROR(INDEX('Hộ gia đình'!$B$2:$B$2000,MATCH(B657,'Hộ gia đình'!$A$2:$A$2000,0)),"Mã hộ không tồn tại"))</f>
        <v>16 ngõ 17 Tạ Quang Bửu</v>
      </c>
      <c r="K657" s="14" t="s">
        <v>2164</v>
      </c>
      <c r="L657" s="14"/>
      <c r="M657" s="6" t="s">
        <v>459</v>
      </c>
      <c r="N657" s="6" t="s">
        <v>388</v>
      </c>
      <c r="O657" s="6" t="s">
        <v>389</v>
      </c>
      <c r="P657" s="6"/>
      <c r="Q657" s="6" t="s">
        <v>410</v>
      </c>
      <c r="R657" s="12"/>
    </row>
    <row r="658" customFormat="false" ht="15" hidden="false" customHeight="true" outlineLevel="0" collapsed="false">
      <c r="A658" s="6" t="s">
        <v>2165</v>
      </c>
      <c r="B658" s="6" t="s">
        <v>355</v>
      </c>
      <c r="C658" s="6" t="s">
        <v>2166</v>
      </c>
      <c r="D658" s="6" t="s">
        <v>385</v>
      </c>
      <c r="E658" s="13" t="n">
        <v>28477</v>
      </c>
      <c r="F658" s="6" t="n">
        <v>1977</v>
      </c>
      <c r="G658" s="11" t="n">
        <f aca="true">IF(F658="","",YEAR(TODAY())-F658)</f>
        <v>49</v>
      </c>
      <c r="H658" s="11" t="str">
        <f aca="false">IF(C658="","",IF(G658="","Thiếu thông tin",IF(G658&lt;6,"Trẻ em",IF(G658&lt;23,"Học sinh / Sinh viên",IF(G658&lt;60,"Đang đi làm","Nghỉ hưu")))))</f>
        <v>Đang đi làm</v>
      </c>
      <c r="I658" s="6"/>
      <c r="J658" s="11" t="str">
        <f aca="false">IF(B658="","",IFERROR(INDEX('Hộ gia đình'!$B$2:$B$2000,MATCH(B658,'Hộ gia đình'!$A$2:$A$2000,0)),"Mã hộ không tồn tại"))</f>
        <v>16 ngõ 17 Tạ Quang Bửu</v>
      </c>
      <c r="K658" s="14" t="s">
        <v>2167</v>
      </c>
      <c r="L658" s="14"/>
      <c r="M658" s="6" t="s">
        <v>459</v>
      </c>
      <c r="N658" s="6" t="s">
        <v>388</v>
      </c>
      <c r="O658" s="6" t="s">
        <v>389</v>
      </c>
      <c r="P658" s="6"/>
      <c r="Q658" s="6" t="s">
        <v>410</v>
      </c>
      <c r="R658" s="12"/>
    </row>
    <row r="659" customFormat="false" ht="15" hidden="false" customHeight="true" outlineLevel="0" collapsed="false">
      <c r="A659" s="6" t="s">
        <v>2168</v>
      </c>
      <c r="B659" s="6" t="s">
        <v>355</v>
      </c>
      <c r="C659" s="6" t="s">
        <v>2169</v>
      </c>
      <c r="D659" s="6" t="s">
        <v>385</v>
      </c>
      <c r="E659" s="13" t="n">
        <v>37814</v>
      </c>
      <c r="F659" s="6" t="n">
        <v>2003</v>
      </c>
      <c r="G659" s="11" t="n">
        <f aca="true">IF(F659="","",YEAR(TODAY())-F659)</f>
        <v>23</v>
      </c>
      <c r="H659" s="11" t="str">
        <f aca="false">IF(C659="","",IF(G659="","Thiếu thông tin",IF(G659&lt;6,"Trẻ em",IF(G659&lt;23,"Học sinh / Sinh viên",IF(G659&lt;60,"Đang đi làm","Nghỉ hưu")))))</f>
        <v>Đang đi làm</v>
      </c>
      <c r="I659" s="6"/>
      <c r="J659" s="11" t="str">
        <f aca="false">IF(B659="","",IFERROR(INDEX('Hộ gia đình'!$B$2:$B$2000,MATCH(B659,'Hộ gia đình'!$A$2:$A$2000,0)),"Mã hộ không tồn tại"))</f>
        <v>16 ngõ 17 Tạ Quang Bửu</v>
      </c>
      <c r="K659" s="14" t="s">
        <v>2170</v>
      </c>
      <c r="L659" s="14"/>
      <c r="M659" s="6" t="s">
        <v>422</v>
      </c>
      <c r="N659" s="6" t="s">
        <v>388</v>
      </c>
      <c r="O659" s="6" t="s">
        <v>389</v>
      </c>
      <c r="P659" s="6"/>
      <c r="Q659" s="6" t="s">
        <v>410</v>
      </c>
      <c r="R659" s="12"/>
    </row>
    <row r="660" customFormat="false" ht="15" hidden="false" customHeight="true" outlineLevel="0" collapsed="false">
      <c r="A660" s="6" t="s">
        <v>2171</v>
      </c>
      <c r="B660" s="6" t="s">
        <v>355</v>
      </c>
      <c r="C660" s="6" t="s">
        <v>2172</v>
      </c>
      <c r="D660" s="6" t="s">
        <v>408</v>
      </c>
      <c r="E660" s="13" t="n">
        <v>26724</v>
      </c>
      <c r="F660" s="6" t="n">
        <v>1973</v>
      </c>
      <c r="G660" s="11" t="n">
        <f aca="true">IF(F660="","",YEAR(TODAY())-F660)</f>
        <v>53</v>
      </c>
      <c r="H660" s="11" t="str">
        <f aca="false">IF(C660="","",IF(G660="","Thiếu thông tin",IF(G660&lt;6,"Trẻ em",IF(G660&lt;23,"Học sinh / Sinh viên",IF(G660&lt;60,"Đang đi làm","Nghỉ hưu")))))</f>
        <v>Đang đi làm</v>
      </c>
      <c r="I660" s="6"/>
      <c r="J660" s="11" t="str">
        <f aca="false">IF(B660="","",IFERROR(INDEX('Hộ gia đình'!$B$2:$B$2000,MATCH(B660,'Hộ gia đình'!$A$2:$A$2000,0)),"Mã hộ không tồn tại"))</f>
        <v>16 ngõ 17 Tạ Quang Bửu</v>
      </c>
      <c r="K660" s="14" t="s">
        <v>2173</v>
      </c>
      <c r="L660" s="14"/>
      <c r="M660" s="6" t="s">
        <v>1729</v>
      </c>
      <c r="N660" s="6" t="s">
        <v>388</v>
      </c>
      <c r="O660" s="6" t="s">
        <v>389</v>
      </c>
      <c r="P660" s="6"/>
      <c r="Q660" s="6" t="s">
        <v>410</v>
      </c>
      <c r="R660" s="12"/>
    </row>
    <row r="661" customFormat="false" ht="15" hidden="false" customHeight="true" outlineLevel="0" collapsed="false">
      <c r="A661" s="6" t="s">
        <v>2174</v>
      </c>
      <c r="B661" s="6" t="s">
        <v>355</v>
      </c>
      <c r="C661" s="6" t="s">
        <v>2154</v>
      </c>
      <c r="D661" s="6" t="s">
        <v>385</v>
      </c>
      <c r="E661" s="13" t="n">
        <v>26966</v>
      </c>
      <c r="F661" s="6" t="n">
        <v>1973</v>
      </c>
      <c r="G661" s="11" t="n">
        <f aca="true">IF(F661="","",YEAR(TODAY())-F661)</f>
        <v>53</v>
      </c>
      <c r="H661" s="11" t="str">
        <f aca="false">IF(C661="","",IF(G661="","Thiếu thông tin",IF(G661&lt;6,"Trẻ em",IF(G661&lt;23,"Học sinh / Sinh viên",IF(G661&lt;60,"Đang đi làm","Nghỉ hưu")))))</f>
        <v>Đang đi làm</v>
      </c>
      <c r="I661" s="6"/>
      <c r="J661" s="11" t="str">
        <f aca="false">IF(B661="","",IFERROR(INDEX('Hộ gia đình'!$B$2:$B$2000,MATCH(B661,'Hộ gia đình'!$A$2:$A$2000,0)),"Mã hộ không tồn tại"))</f>
        <v>16 ngõ 17 Tạ Quang Bửu</v>
      </c>
      <c r="K661" s="14" t="s">
        <v>2175</v>
      </c>
      <c r="L661" s="14"/>
      <c r="M661" s="6" t="s">
        <v>1729</v>
      </c>
      <c r="N661" s="6" t="s">
        <v>388</v>
      </c>
      <c r="O661" s="6" t="s">
        <v>389</v>
      </c>
      <c r="P661" s="6"/>
      <c r="Q661" s="6" t="s">
        <v>410</v>
      </c>
      <c r="R661" s="12"/>
    </row>
    <row r="662" customFormat="false" ht="15" hidden="false" customHeight="true" outlineLevel="0" collapsed="false">
      <c r="A662" s="6" t="s">
        <v>2176</v>
      </c>
      <c r="B662" s="6" t="s">
        <v>355</v>
      </c>
      <c r="C662" s="6" t="s">
        <v>2177</v>
      </c>
      <c r="D662" s="6" t="s">
        <v>385</v>
      </c>
      <c r="E662" s="13" t="n">
        <v>36621</v>
      </c>
      <c r="F662" s="6" t="n">
        <v>2000</v>
      </c>
      <c r="G662" s="11" t="n">
        <f aca="true">IF(F662="","",YEAR(TODAY())-F662)</f>
        <v>26</v>
      </c>
      <c r="H662" s="11" t="str">
        <f aca="false">IF(C662="","",IF(G662="","Thiếu thông tin",IF(G662&lt;6,"Trẻ em",IF(G662&lt;23,"Học sinh / Sinh viên",IF(G662&lt;60,"Đang đi làm","Nghỉ hưu")))))</f>
        <v>Đang đi làm</v>
      </c>
      <c r="I662" s="6"/>
      <c r="J662" s="11" t="str">
        <f aca="false">IF(B662="","",IFERROR(INDEX('Hộ gia đình'!$B$2:$B$2000,MATCH(B662,'Hộ gia đình'!$A$2:$A$2000,0)),"Mã hộ không tồn tại"))</f>
        <v>16 ngõ 17 Tạ Quang Bửu</v>
      </c>
      <c r="K662" s="14" t="s">
        <v>2178</v>
      </c>
      <c r="L662" s="14"/>
      <c r="M662" s="6" t="s">
        <v>1729</v>
      </c>
      <c r="N662" s="6" t="s">
        <v>388</v>
      </c>
      <c r="O662" s="6" t="s">
        <v>389</v>
      </c>
      <c r="P662" s="6"/>
      <c r="Q662" s="6" t="s">
        <v>410</v>
      </c>
      <c r="R662" s="12"/>
    </row>
    <row r="663" customFormat="false" ht="15" hidden="false" customHeight="true" outlineLevel="0" collapsed="false">
      <c r="A663" s="6" t="s">
        <v>2179</v>
      </c>
      <c r="B663" s="6" t="s">
        <v>355</v>
      </c>
      <c r="C663" s="6" t="s">
        <v>2180</v>
      </c>
      <c r="D663" s="6" t="s">
        <v>408</v>
      </c>
      <c r="E663" s="13" t="n">
        <v>38518</v>
      </c>
      <c r="F663" s="6" t="n">
        <v>2005</v>
      </c>
      <c r="G663" s="11" t="n">
        <f aca="true">IF(F663="","",YEAR(TODAY())-F663)</f>
        <v>21</v>
      </c>
      <c r="H663" s="11" t="str">
        <f aca="false">IF(C663="","",IF(G663="","Thiếu thông tin",IF(G663&lt;6,"Trẻ em",IF(G663&lt;23,"Học sinh / Sinh viên",IF(G663&lt;60,"Đang đi làm","Nghỉ hưu")))))</f>
        <v>Học sinh / Sinh viên</v>
      </c>
      <c r="I663" s="6"/>
      <c r="J663" s="11" t="str">
        <f aca="false">IF(B663="","",IFERROR(INDEX('Hộ gia đình'!$B$2:$B$2000,MATCH(B663,'Hộ gia đình'!$A$2:$A$2000,0)),"Mã hộ không tồn tại"))</f>
        <v>16 ngõ 17 Tạ Quang Bửu</v>
      </c>
      <c r="K663" s="14" t="s">
        <v>2181</v>
      </c>
      <c r="L663" s="14"/>
      <c r="M663" s="6" t="s">
        <v>422</v>
      </c>
      <c r="N663" s="6" t="s">
        <v>388</v>
      </c>
      <c r="O663" s="6" t="s">
        <v>389</v>
      </c>
      <c r="P663" s="6"/>
      <c r="Q663" s="6" t="s">
        <v>410</v>
      </c>
      <c r="R663" s="12"/>
    </row>
    <row r="664" customFormat="false" ht="15" hidden="false" customHeight="true" outlineLevel="0" collapsed="false">
      <c r="A664" s="6" t="s">
        <v>2182</v>
      </c>
      <c r="B664" s="6" t="s">
        <v>357</v>
      </c>
      <c r="C664" s="6" t="s">
        <v>2183</v>
      </c>
      <c r="D664" s="6" t="s">
        <v>385</v>
      </c>
      <c r="E664" s="13" t="n">
        <v>34282</v>
      </c>
      <c r="F664" s="6" t="n">
        <v>1993</v>
      </c>
      <c r="G664" s="11" t="n">
        <f aca="true">IF(F664="","",YEAR(TODAY())-F664)</f>
        <v>33</v>
      </c>
      <c r="H664" s="11" t="str">
        <f aca="false">IF(C664="","",IF(G664="","Thiếu thông tin",IF(G664&lt;6,"Trẻ em",IF(G664&lt;23,"Học sinh / Sinh viên",IF(G664&lt;60,"Đang đi làm","Nghỉ hưu")))))</f>
        <v>Đang đi làm</v>
      </c>
      <c r="I664" s="6" t="s">
        <v>52</v>
      </c>
      <c r="J664" s="11" t="str">
        <f aca="false">IF(B664="","",IFERROR(INDEX('Hộ gia đình'!$B$2:$B$2000,MATCH(B664,'Hộ gia đình'!$A$2:$A$2000,0)),"Mã hộ không tồn tại"))</f>
        <v>7 ngách 17/9 Tạ Quang Bửu</v>
      </c>
      <c r="K664" s="14" t="s">
        <v>2184</v>
      </c>
      <c r="L664" s="14"/>
      <c r="M664" s="6" t="s">
        <v>459</v>
      </c>
      <c r="N664" s="6" t="s">
        <v>388</v>
      </c>
      <c r="O664" s="6" t="s">
        <v>389</v>
      </c>
      <c r="P664" s="6"/>
      <c r="Q664" s="6" t="s">
        <v>410</v>
      </c>
      <c r="R664" s="12"/>
    </row>
    <row r="665" customFormat="false" ht="15" hidden="false" customHeight="true" outlineLevel="0" collapsed="false">
      <c r="A665" s="6" t="s">
        <v>2185</v>
      </c>
      <c r="B665" s="6" t="s">
        <v>359</v>
      </c>
      <c r="C665" s="6" t="s">
        <v>2186</v>
      </c>
      <c r="D665" s="6" t="s">
        <v>408</v>
      </c>
      <c r="E665" s="13" t="n">
        <v>30286</v>
      </c>
      <c r="F665" s="6" t="n">
        <v>1982</v>
      </c>
      <c r="G665" s="11" t="n">
        <f aca="true">IF(F665="","",YEAR(TODAY())-F665)</f>
        <v>44</v>
      </c>
      <c r="H665" s="11" t="str">
        <f aca="false">IF(C665="","",IF(G665="","Thiếu thông tin",IF(G665&lt;6,"Trẻ em",IF(G665&lt;23,"Học sinh / Sinh viên",IF(G665&lt;60,"Đang đi làm","Nghỉ hưu")))))</f>
        <v>Đang đi làm</v>
      </c>
      <c r="I665" s="6" t="s">
        <v>52</v>
      </c>
      <c r="J665" s="11" t="str">
        <f aca="false">IF(B665="","",IFERROR(INDEX('Hộ gia đình'!$B$2:$B$2000,MATCH(B665,'Hộ gia đình'!$A$2:$A$2000,0)),"Mã hộ không tồn tại"))</f>
        <v>105 E4 Bách Khoa</v>
      </c>
      <c r="K665" s="14" t="s">
        <v>2187</v>
      </c>
      <c r="L665" s="14"/>
      <c r="M665" s="6" t="s">
        <v>732</v>
      </c>
      <c r="N665" s="6" t="s">
        <v>388</v>
      </c>
      <c r="O665" s="6" t="s">
        <v>389</v>
      </c>
      <c r="P665" s="6"/>
      <c r="Q665" s="6" t="s">
        <v>410</v>
      </c>
      <c r="R665" s="12"/>
    </row>
    <row r="666" customFormat="false" ht="15" hidden="false" customHeight="true" outlineLevel="0" collapsed="false">
      <c r="A666" s="6" t="s">
        <v>2188</v>
      </c>
      <c r="B666" s="6" t="s">
        <v>361</v>
      </c>
      <c r="C666" s="6" t="s">
        <v>2189</v>
      </c>
      <c r="D666" s="6" t="s">
        <v>385</v>
      </c>
      <c r="E666" s="13" t="n">
        <v>15991</v>
      </c>
      <c r="F666" s="6" t="n">
        <v>1943</v>
      </c>
      <c r="G666" s="11" t="n">
        <f aca="true">IF(F666="","",YEAR(TODAY())-F666)</f>
        <v>83</v>
      </c>
      <c r="H666" s="11" t="str">
        <f aca="false">IF(C666="","",IF(G666="","Thiếu thông tin",IF(G666&lt;6,"Trẻ em",IF(G666&lt;23,"Học sinh / Sinh viên",IF(G666&lt;60,"Đang đi làm","Nghỉ hưu")))))</f>
        <v>Nghỉ hưu</v>
      </c>
      <c r="I666" s="6" t="s">
        <v>52</v>
      </c>
      <c r="J666" s="11" t="str">
        <f aca="false">IF(B666="","",IFERROR(INDEX('Hộ gia đình'!$B$2:$B$2000,MATCH(B666,'Hộ gia đình'!$A$2:$A$2000,0)),"Mã hộ không tồn tại"))</f>
        <v>phòng 3 dãy 46, Tạ Quang Bửu</v>
      </c>
      <c r="K666" s="14" t="s">
        <v>2190</v>
      </c>
      <c r="L666" s="14"/>
      <c r="M666" s="6" t="s">
        <v>387</v>
      </c>
      <c r="N666" s="6" t="s">
        <v>388</v>
      </c>
      <c r="O666" s="6" t="s">
        <v>2191</v>
      </c>
      <c r="P666" s="6" t="s">
        <v>2192</v>
      </c>
      <c r="Q666" s="6" t="s">
        <v>410</v>
      </c>
      <c r="R666" s="12"/>
    </row>
    <row r="667" customFormat="false" ht="15" hidden="false" customHeight="true" outlineLevel="0" collapsed="false">
      <c r="A667" s="6" t="s">
        <v>2193</v>
      </c>
      <c r="B667" s="6" t="s">
        <v>361</v>
      </c>
      <c r="C667" s="6" t="s">
        <v>2194</v>
      </c>
      <c r="D667" s="6" t="s">
        <v>408</v>
      </c>
      <c r="E667" s="13" t="n">
        <v>26673</v>
      </c>
      <c r="F667" s="6" t="n">
        <v>1973</v>
      </c>
      <c r="G667" s="11" t="n">
        <f aca="true">IF(F667="","",YEAR(TODAY())-F667)</f>
        <v>53</v>
      </c>
      <c r="H667" s="11" t="str">
        <f aca="false">IF(C667="","",IF(G667="","Thiếu thông tin",IF(G667&lt;6,"Trẻ em",IF(G667&lt;23,"Học sinh / Sinh viên",IF(G667&lt;60,"Đang đi làm","Nghỉ hưu")))))</f>
        <v>Đang đi làm</v>
      </c>
      <c r="I667" s="6"/>
      <c r="J667" s="11" t="str">
        <f aca="false">IF(B667="","",IFERROR(INDEX('Hộ gia đình'!$B$2:$B$2000,MATCH(B667,'Hộ gia đình'!$A$2:$A$2000,0)),"Mã hộ không tồn tại"))</f>
        <v>phòng 3 dãy 46, Tạ Quang Bửu</v>
      </c>
      <c r="K667" s="14" t="s">
        <v>2195</v>
      </c>
      <c r="L667" s="14"/>
      <c r="M667" s="6" t="s">
        <v>610</v>
      </c>
      <c r="N667" s="6" t="s">
        <v>388</v>
      </c>
      <c r="O667" s="6" t="s">
        <v>2191</v>
      </c>
      <c r="P667" s="6" t="s">
        <v>2192</v>
      </c>
      <c r="Q667" s="6" t="s">
        <v>410</v>
      </c>
      <c r="R667" s="12"/>
    </row>
    <row r="668" customFormat="false" ht="15" hidden="false" customHeight="true" outlineLevel="0" collapsed="false">
      <c r="A668" s="6" t="s">
        <v>2196</v>
      </c>
      <c r="B668" s="6" t="s">
        <v>361</v>
      </c>
      <c r="C668" s="6" t="s">
        <v>2197</v>
      </c>
      <c r="D668" s="6" t="s">
        <v>385</v>
      </c>
      <c r="E668" s="13" t="n">
        <v>29911</v>
      </c>
      <c r="F668" s="6" t="n">
        <v>1981</v>
      </c>
      <c r="G668" s="11" t="n">
        <f aca="true">IF(F668="","",YEAR(TODAY())-F668)</f>
        <v>45</v>
      </c>
      <c r="H668" s="11" t="str">
        <f aca="false">IF(C668="","",IF(G668="","Thiếu thông tin",IF(G668&lt;6,"Trẻ em",IF(G668&lt;23,"Học sinh / Sinh viên",IF(G668&lt;60,"Đang đi làm","Nghỉ hưu")))))</f>
        <v>Đang đi làm</v>
      </c>
      <c r="I668" s="6"/>
      <c r="J668" s="11" t="str">
        <f aca="false">IF(B668="","",IFERROR(INDEX('Hộ gia đình'!$B$2:$B$2000,MATCH(B668,'Hộ gia đình'!$A$2:$A$2000,0)),"Mã hộ không tồn tại"))</f>
        <v>phòng 3 dãy 46, Tạ Quang Bửu</v>
      </c>
      <c r="K668" s="14" t="s">
        <v>2198</v>
      </c>
      <c r="L668" s="14"/>
      <c r="M668" s="6" t="s">
        <v>610</v>
      </c>
      <c r="N668" s="6" t="s">
        <v>388</v>
      </c>
      <c r="O668" s="6" t="s">
        <v>2191</v>
      </c>
      <c r="P668" s="6" t="s">
        <v>2192</v>
      </c>
      <c r="Q668" s="6" t="s">
        <v>410</v>
      </c>
      <c r="R668" s="12"/>
    </row>
    <row r="669" customFormat="false" ht="15" hidden="false" customHeight="true" outlineLevel="0" collapsed="false">
      <c r="A669" s="6" t="s">
        <v>2199</v>
      </c>
      <c r="B669" s="6" t="s">
        <v>363</v>
      </c>
      <c r="C669" s="6" t="s">
        <v>1547</v>
      </c>
      <c r="D669" s="6" t="s">
        <v>385</v>
      </c>
      <c r="E669" s="13" t="n">
        <v>29402</v>
      </c>
      <c r="F669" s="6" t="n">
        <v>1980</v>
      </c>
      <c r="G669" s="11" t="n">
        <f aca="true">IF(F669="","",YEAR(TODAY())-F669)</f>
        <v>46</v>
      </c>
      <c r="H669" s="11" t="str">
        <f aca="false">IF(C669="","",IF(G669="","Thiếu thông tin",IF(G669&lt;6,"Trẻ em",IF(G669&lt;23,"Học sinh / Sinh viên",IF(G669&lt;60,"Đang đi làm","Nghỉ hưu")))))</f>
        <v>Đang đi làm</v>
      </c>
      <c r="I669" s="6" t="s">
        <v>52</v>
      </c>
      <c r="J669" s="11" t="str">
        <f aca="false">IF(B669="","",IFERROR(INDEX('Hộ gia đình'!$B$2:$B$2000,MATCH(B669,'Hộ gia đình'!$A$2:$A$2000,0)),"Mã hộ không tồn tại"))</f>
        <v>11 ngách 40/2 Tạ Quang Bửu</v>
      </c>
      <c r="K669" s="14" t="s">
        <v>2200</v>
      </c>
      <c r="L669" s="14"/>
      <c r="M669" s="6" t="s">
        <v>1729</v>
      </c>
      <c r="N669" s="6" t="s">
        <v>388</v>
      </c>
      <c r="O669" s="6" t="s">
        <v>389</v>
      </c>
      <c r="P669" s="6"/>
      <c r="Q669" s="6" t="s">
        <v>410</v>
      </c>
      <c r="R669" s="12"/>
    </row>
    <row r="670" customFormat="false" ht="15" hidden="false" customHeight="true" outlineLevel="0" collapsed="false">
      <c r="A670" s="6" t="s">
        <v>2201</v>
      </c>
      <c r="B670" s="6" t="s">
        <v>363</v>
      </c>
      <c r="C670" s="6" t="s">
        <v>2202</v>
      </c>
      <c r="D670" s="6" t="s">
        <v>408</v>
      </c>
      <c r="E670" s="13" t="n">
        <v>28304</v>
      </c>
      <c r="F670" s="6" t="n">
        <v>1977</v>
      </c>
      <c r="G670" s="11" t="n">
        <f aca="true">IF(F670="","",YEAR(TODAY())-F670)</f>
        <v>49</v>
      </c>
      <c r="H670" s="11" t="str">
        <f aca="false">IF(C670="","",IF(G670="","Thiếu thông tin",IF(G670&lt;6,"Trẻ em",IF(G670&lt;23,"Học sinh / Sinh viên",IF(G670&lt;60,"Đang đi làm","Nghỉ hưu")))))</f>
        <v>Đang đi làm</v>
      </c>
      <c r="I670" s="6"/>
      <c r="J670" s="11" t="str">
        <f aca="false">IF(B670="","",IFERROR(INDEX('Hộ gia đình'!$B$2:$B$2000,MATCH(B670,'Hộ gia đình'!$A$2:$A$2000,0)),"Mã hộ không tồn tại"))</f>
        <v>11 ngách 40/2 Tạ Quang Bửu</v>
      </c>
      <c r="K670" s="14" t="s">
        <v>2203</v>
      </c>
      <c r="L670" s="14"/>
      <c r="M670" s="6" t="s">
        <v>2204</v>
      </c>
      <c r="N670" s="6" t="s">
        <v>388</v>
      </c>
      <c r="O670" s="6" t="s">
        <v>389</v>
      </c>
      <c r="P670" s="6"/>
      <c r="Q670" s="6" t="s">
        <v>410</v>
      </c>
      <c r="R670" s="12"/>
    </row>
    <row r="671" customFormat="false" ht="15" hidden="false" customHeight="true" outlineLevel="0" collapsed="false">
      <c r="A671" s="6" t="s">
        <v>2205</v>
      </c>
      <c r="B671" s="6" t="s">
        <v>365</v>
      </c>
      <c r="C671" s="6" t="s">
        <v>2206</v>
      </c>
      <c r="D671" s="6"/>
      <c r="E671" s="13" t="n">
        <v>37528</v>
      </c>
      <c r="F671" s="6" t="n">
        <v>2002</v>
      </c>
      <c r="G671" s="11" t="n">
        <f aca="true">IF(F671="","",YEAR(TODAY())-F671)</f>
        <v>24</v>
      </c>
      <c r="H671" s="11" t="str">
        <f aca="false">IF(C671="","",IF(G671="","Thiếu thông tin",IF(G671&lt;6,"Trẻ em",IF(G671&lt;23,"Học sinh / Sinh viên",IF(G671&lt;60,"Đang đi làm","Nghỉ hưu")))))</f>
        <v>Đang đi làm</v>
      </c>
      <c r="I671" s="6"/>
      <c r="J671" s="11" t="str">
        <f aca="false">IF(B671="","",IFERROR(INDEX('Hộ gia đình'!$B$2:$B$2000,MATCH(B671,'Hộ gia đình'!$A$2:$A$2000,0)),"Mã hộ không tồn tại"))</f>
        <v>Chưa xác định địa chỉ</v>
      </c>
      <c r="K671" s="14"/>
      <c r="L671" s="14"/>
      <c r="M671" s="6"/>
      <c r="N671" s="6" t="s">
        <v>395</v>
      </c>
      <c r="O671" s="6" t="s">
        <v>389</v>
      </c>
      <c r="P671" s="6"/>
      <c r="Q671" s="6" t="s">
        <v>1702</v>
      </c>
      <c r="R671" s="12" t="s">
        <v>2207</v>
      </c>
    </row>
    <row r="672" customFormat="false" ht="15" hidden="false" customHeight="true" outlineLevel="0" collapsed="false">
      <c r="A672" s="6" t="s">
        <v>2208</v>
      </c>
      <c r="B672" s="6" t="s">
        <v>365</v>
      </c>
      <c r="C672" s="6" t="s">
        <v>2209</v>
      </c>
      <c r="D672" s="6"/>
      <c r="E672" s="13" t="n">
        <v>38633</v>
      </c>
      <c r="F672" s="6" t="n">
        <v>2005</v>
      </c>
      <c r="G672" s="11" t="n">
        <f aca="true">IF(F672="","",YEAR(TODAY())-F672)</f>
        <v>21</v>
      </c>
      <c r="H672" s="11" t="str">
        <f aca="false">IF(C672="","",IF(G672="","Thiếu thông tin",IF(G672&lt;6,"Trẻ em",IF(G672&lt;23,"Học sinh / Sinh viên",IF(G672&lt;60,"Đang đi làm","Nghỉ hưu")))))</f>
        <v>Học sinh / Sinh viên</v>
      </c>
      <c r="I672" s="6"/>
      <c r="J672" s="11" t="str">
        <f aca="false">IF(B672="","",IFERROR(INDEX('Hộ gia đình'!$B$2:$B$2000,MATCH(B672,'Hộ gia đình'!$A$2:$A$2000,0)),"Mã hộ không tồn tại"))</f>
        <v>Chưa xác định địa chỉ</v>
      </c>
      <c r="K672" s="14"/>
      <c r="L672" s="14"/>
      <c r="M672" s="6"/>
      <c r="N672" s="6" t="s">
        <v>395</v>
      </c>
      <c r="O672" s="6" t="s">
        <v>389</v>
      </c>
      <c r="P672" s="6"/>
      <c r="Q672" s="6" t="s">
        <v>1702</v>
      </c>
      <c r="R672" s="12" t="s">
        <v>2207</v>
      </c>
    </row>
    <row r="673" customFormat="false" ht="15" hidden="false" customHeight="true" outlineLevel="0" collapsed="false">
      <c r="A673" s="6" t="s">
        <v>2210</v>
      </c>
      <c r="B673" s="6" t="s">
        <v>365</v>
      </c>
      <c r="C673" s="6" t="s">
        <v>2211</v>
      </c>
      <c r="D673" s="6"/>
      <c r="E673" s="13"/>
      <c r="F673" s="6" t="n">
        <v>2008</v>
      </c>
      <c r="G673" s="11" t="n">
        <f aca="true">IF(F673="","",YEAR(TODAY())-F673)</f>
        <v>18</v>
      </c>
      <c r="H673" s="11" t="str">
        <f aca="false">IF(C673="","",IF(G673="","Thiếu thông tin",IF(G673&lt;6,"Trẻ em",IF(G673&lt;23,"Học sinh / Sinh viên",IF(G673&lt;60,"Đang đi làm","Nghỉ hưu")))))</f>
        <v>Học sinh / Sinh viên</v>
      </c>
      <c r="I673" s="6"/>
      <c r="J673" s="11" t="str">
        <f aca="false">IF(B673="","",IFERROR(INDEX('Hộ gia đình'!$B$2:$B$2000,MATCH(B673,'Hộ gia đình'!$A$2:$A$2000,0)),"Mã hộ không tồn tại"))</f>
        <v>Chưa xác định địa chỉ</v>
      </c>
      <c r="K673" s="14"/>
      <c r="L673" s="14"/>
      <c r="M673" s="6"/>
      <c r="N673" s="6" t="s">
        <v>395</v>
      </c>
      <c r="O673" s="6" t="s">
        <v>389</v>
      </c>
      <c r="P673" s="6"/>
      <c r="Q673" s="6" t="s">
        <v>1702</v>
      </c>
      <c r="R673" s="12" t="s">
        <v>2207</v>
      </c>
    </row>
    <row r="674" customFormat="false" ht="15" hidden="false" customHeight="true" outlineLevel="0" collapsed="false">
      <c r="A674" s="6" t="s">
        <v>2212</v>
      </c>
      <c r="B674" s="6" t="s">
        <v>365</v>
      </c>
      <c r="C674" s="6" t="s">
        <v>2213</v>
      </c>
      <c r="D674" s="6"/>
      <c r="E674" s="13"/>
      <c r="F674" s="6" t="n">
        <v>2010</v>
      </c>
      <c r="G674" s="11" t="n">
        <f aca="true">IF(F674="","",YEAR(TODAY())-F674)</f>
        <v>16</v>
      </c>
      <c r="H674" s="11" t="str">
        <f aca="false">IF(C674="","",IF(G674="","Thiếu thông tin",IF(G674&lt;6,"Trẻ em",IF(G674&lt;23,"Học sinh / Sinh viên",IF(G674&lt;60,"Đang đi làm","Nghỉ hưu")))))</f>
        <v>Học sinh / Sinh viên</v>
      </c>
      <c r="I674" s="6"/>
      <c r="J674" s="11" t="str">
        <f aca="false">IF(B674="","",IFERROR(INDEX('Hộ gia đình'!$B$2:$B$2000,MATCH(B674,'Hộ gia đình'!$A$2:$A$2000,0)),"Mã hộ không tồn tại"))</f>
        <v>Chưa xác định địa chỉ</v>
      </c>
      <c r="K674" s="14"/>
      <c r="L674" s="14"/>
      <c r="M674" s="6"/>
      <c r="N674" s="6" t="s">
        <v>395</v>
      </c>
      <c r="O674" s="6" t="s">
        <v>389</v>
      </c>
      <c r="P674" s="6"/>
      <c r="Q674" s="6" t="s">
        <v>1702</v>
      </c>
      <c r="R674" s="12" t="s">
        <v>2207</v>
      </c>
    </row>
    <row r="675" customFormat="false" ht="15" hidden="false" customHeight="true" outlineLevel="0" collapsed="false">
      <c r="A675" s="6" t="s">
        <v>2214</v>
      </c>
      <c r="B675" s="6" t="s">
        <v>365</v>
      </c>
      <c r="C675" s="6" t="s">
        <v>2215</v>
      </c>
      <c r="D675" s="6"/>
      <c r="E675" s="13" t="n">
        <v>40781</v>
      </c>
      <c r="F675" s="6" t="n">
        <v>2011</v>
      </c>
      <c r="G675" s="11" t="n">
        <f aca="true">IF(F675="","",YEAR(TODAY())-F675)</f>
        <v>15</v>
      </c>
      <c r="H675" s="11" t="str">
        <f aca="false">IF(C675="","",IF(G675="","Thiếu thông tin",IF(G675&lt;6,"Trẻ em",IF(G675&lt;23,"Học sinh / Sinh viên",IF(G675&lt;60,"Đang đi làm","Nghỉ hưu")))))</f>
        <v>Học sinh / Sinh viên</v>
      </c>
      <c r="I675" s="6"/>
      <c r="J675" s="11" t="str">
        <f aca="false">IF(B675="","",IFERROR(INDEX('Hộ gia đình'!$B$2:$B$2000,MATCH(B675,'Hộ gia đình'!$A$2:$A$2000,0)),"Mã hộ không tồn tại"))</f>
        <v>Chưa xác định địa chỉ</v>
      </c>
      <c r="K675" s="14"/>
      <c r="L675" s="14"/>
      <c r="M675" s="6"/>
      <c r="N675" s="6" t="s">
        <v>395</v>
      </c>
      <c r="O675" s="6" t="s">
        <v>389</v>
      </c>
      <c r="P675" s="6"/>
      <c r="Q675" s="6" t="s">
        <v>1702</v>
      </c>
      <c r="R675" s="12" t="s">
        <v>2207</v>
      </c>
    </row>
    <row r="676" customFormat="false" ht="15" hidden="false" customHeight="true" outlineLevel="0" collapsed="false">
      <c r="A676" s="6" t="s">
        <v>2216</v>
      </c>
      <c r="B676" s="6" t="s">
        <v>365</v>
      </c>
      <c r="C676" s="6" t="s">
        <v>2217</v>
      </c>
      <c r="D676" s="6"/>
      <c r="E676" s="13" t="n">
        <v>40941</v>
      </c>
      <c r="F676" s="6" t="n">
        <v>2012</v>
      </c>
      <c r="G676" s="11" t="n">
        <f aca="true">IF(F676="","",YEAR(TODAY())-F676)</f>
        <v>14</v>
      </c>
      <c r="H676" s="11" t="str">
        <f aca="false">IF(C676="","",IF(G676="","Thiếu thông tin",IF(G676&lt;6,"Trẻ em",IF(G676&lt;23,"Học sinh / Sinh viên",IF(G676&lt;60,"Đang đi làm","Nghỉ hưu")))))</f>
        <v>Học sinh / Sinh viên</v>
      </c>
      <c r="I676" s="6"/>
      <c r="J676" s="11" t="str">
        <f aca="false">IF(B676="","",IFERROR(INDEX('Hộ gia đình'!$B$2:$B$2000,MATCH(B676,'Hộ gia đình'!$A$2:$A$2000,0)),"Mã hộ không tồn tại"))</f>
        <v>Chưa xác định địa chỉ</v>
      </c>
      <c r="K676" s="14"/>
      <c r="L676" s="14"/>
      <c r="M676" s="6"/>
      <c r="N676" s="6" t="s">
        <v>395</v>
      </c>
      <c r="O676" s="6" t="s">
        <v>389</v>
      </c>
      <c r="P676" s="6"/>
      <c r="Q676" s="6" t="s">
        <v>1702</v>
      </c>
      <c r="R676" s="12" t="s">
        <v>2207</v>
      </c>
    </row>
    <row r="677" customFormat="false" ht="15" hidden="false" customHeight="true" outlineLevel="0" collapsed="false">
      <c r="A677" s="6" t="s">
        <v>2218</v>
      </c>
      <c r="B677" s="6" t="s">
        <v>365</v>
      </c>
      <c r="C677" s="6" t="s">
        <v>2219</v>
      </c>
      <c r="D677" s="6"/>
      <c r="E677" s="13"/>
      <c r="F677" s="6" t="n">
        <v>2015</v>
      </c>
      <c r="G677" s="11" t="n">
        <f aca="true">IF(F677="","",YEAR(TODAY())-F677)</f>
        <v>11</v>
      </c>
      <c r="H677" s="11" t="str">
        <f aca="false">IF(C677="","",IF(G677="","Thiếu thông tin",IF(G677&lt;6,"Trẻ em",IF(G677&lt;23,"Học sinh / Sinh viên",IF(G677&lt;60,"Đang đi làm","Nghỉ hưu")))))</f>
        <v>Học sinh / Sinh viên</v>
      </c>
      <c r="I677" s="6"/>
      <c r="J677" s="11" t="str">
        <f aca="false">IF(B677="","",IFERROR(INDEX('Hộ gia đình'!$B$2:$B$2000,MATCH(B677,'Hộ gia đình'!$A$2:$A$2000,0)),"Mã hộ không tồn tại"))</f>
        <v>Chưa xác định địa chỉ</v>
      </c>
      <c r="K677" s="14"/>
      <c r="L677" s="14"/>
      <c r="M677" s="6"/>
      <c r="N677" s="6" t="s">
        <v>395</v>
      </c>
      <c r="O677" s="6" t="s">
        <v>389</v>
      </c>
      <c r="P677" s="6"/>
      <c r="Q677" s="6" t="s">
        <v>1702</v>
      </c>
      <c r="R677" s="12" t="s">
        <v>2207</v>
      </c>
    </row>
    <row r="678" customFormat="false" ht="15" hidden="false" customHeight="true" outlineLevel="0" collapsed="false">
      <c r="A678" s="6" t="s">
        <v>2220</v>
      </c>
      <c r="B678" s="6" t="s">
        <v>365</v>
      </c>
      <c r="C678" s="6" t="s">
        <v>2221</v>
      </c>
      <c r="D678" s="6"/>
      <c r="E678" s="13" t="n">
        <v>44171</v>
      </c>
      <c r="F678" s="6" t="n">
        <v>2020</v>
      </c>
      <c r="G678" s="11" t="n">
        <f aca="true">IF(F678="","",YEAR(TODAY())-F678)</f>
        <v>6</v>
      </c>
      <c r="H678" s="11" t="str">
        <f aca="false">IF(C678="","",IF(G678="","Thiếu thông tin",IF(G678&lt;6,"Trẻ em",IF(G678&lt;23,"Học sinh / Sinh viên",IF(G678&lt;60,"Đang đi làm","Nghỉ hưu")))))</f>
        <v>Học sinh / Sinh viên</v>
      </c>
      <c r="I678" s="6"/>
      <c r="J678" s="11" t="str">
        <f aca="false">IF(B678="","",IFERROR(INDEX('Hộ gia đình'!$B$2:$B$2000,MATCH(B678,'Hộ gia đình'!$A$2:$A$2000,0)),"Mã hộ không tồn tại"))</f>
        <v>Chưa xác định địa chỉ</v>
      </c>
      <c r="K678" s="14"/>
      <c r="L678" s="14"/>
      <c r="M678" s="6"/>
      <c r="N678" s="6" t="s">
        <v>395</v>
      </c>
      <c r="O678" s="6" t="s">
        <v>389</v>
      </c>
      <c r="P678" s="6"/>
      <c r="Q678" s="6" t="s">
        <v>1702</v>
      </c>
      <c r="R678" s="12" t="s">
        <v>2207</v>
      </c>
    </row>
    <row r="679" customFormat="false" ht="15" hidden="false" customHeight="true" outlineLevel="0" collapsed="false">
      <c r="A679" s="6" t="s">
        <v>2222</v>
      </c>
      <c r="B679" s="6" t="s">
        <v>368</v>
      </c>
      <c r="C679" s="6" t="s">
        <v>2223</v>
      </c>
      <c r="D679" s="6" t="s">
        <v>408</v>
      </c>
      <c r="E679" s="13"/>
      <c r="F679" s="6" t="n">
        <v>1943</v>
      </c>
      <c r="G679" s="11" t="n">
        <f aca="true">IF(F679="","",YEAR(TODAY())-F679)</f>
        <v>83</v>
      </c>
      <c r="H679" s="11" t="str">
        <f aca="false">IF(C679="","",IF(G679="","Thiếu thông tin",IF(G679&lt;6,"Trẻ em",IF(G679&lt;23,"Học sinh / Sinh viên",IF(G679&lt;60,"Đang đi làm","Nghỉ hưu")))))</f>
        <v>Nghỉ hưu</v>
      </c>
      <c r="I679" s="6"/>
      <c r="J679" s="11" t="str">
        <f aca="false">IF(B679="","",IFERROR(INDEX('Hộ gia đình'!$B$2:$B$2000,MATCH(B679,'Hộ gia đình'!$A$2:$A$2000,0)),"Mã hộ không tồn tại"))</f>
        <v>6 ngõ 15 Tạ Quang Bửu</v>
      </c>
      <c r="K679" s="14"/>
      <c r="L679" s="14"/>
      <c r="M679" s="6"/>
      <c r="N679" s="6" t="s">
        <v>395</v>
      </c>
      <c r="O679" s="6" t="s">
        <v>389</v>
      </c>
      <c r="P679" s="6"/>
      <c r="Q679" s="6" t="s">
        <v>2224</v>
      </c>
      <c r="R679" s="12" t="s">
        <v>2225</v>
      </c>
    </row>
    <row r="680" customFormat="false" ht="15" hidden="false" customHeight="true" outlineLevel="0" collapsed="false">
      <c r="A680" s="6" t="s">
        <v>2226</v>
      </c>
      <c r="B680" s="6" t="s">
        <v>368</v>
      </c>
      <c r="C680" s="6" t="s">
        <v>2227</v>
      </c>
      <c r="D680" s="6" t="s">
        <v>385</v>
      </c>
      <c r="E680" s="13"/>
      <c r="F680" s="6" t="n">
        <v>1947</v>
      </c>
      <c r="G680" s="11" t="n">
        <f aca="true">IF(F680="","",YEAR(TODAY())-F680)</f>
        <v>79</v>
      </c>
      <c r="H680" s="11" t="str">
        <f aca="false">IF(C680="","",IF(G680="","Thiếu thông tin",IF(G680&lt;6,"Trẻ em",IF(G680&lt;23,"Học sinh / Sinh viên",IF(G680&lt;60,"Đang đi làm","Nghỉ hưu")))))</f>
        <v>Nghỉ hưu</v>
      </c>
      <c r="I680" s="6"/>
      <c r="J680" s="11" t="str">
        <f aca="false">IF(B680="","",IFERROR(INDEX('Hộ gia đình'!$B$2:$B$2000,MATCH(B680,'Hộ gia đình'!$A$2:$A$2000,0)),"Mã hộ không tồn tại"))</f>
        <v>6 ngõ 15 Tạ Quang Bửu</v>
      </c>
      <c r="K680" s="14"/>
      <c r="L680" s="14"/>
      <c r="M680" s="6"/>
      <c r="N680" s="6" t="s">
        <v>395</v>
      </c>
      <c r="O680" s="6" t="s">
        <v>389</v>
      </c>
      <c r="P680" s="6"/>
      <c r="Q680" s="6" t="s">
        <v>2224</v>
      </c>
      <c r="R680" s="12" t="s">
        <v>2225</v>
      </c>
    </row>
    <row r="681" customFormat="false" ht="15" hidden="false" customHeight="true" outlineLevel="0" collapsed="false">
      <c r="A681" s="6"/>
      <c r="B681" s="6"/>
      <c r="C681" s="6"/>
      <c r="D681" s="6"/>
      <c r="E681" s="13"/>
      <c r="F681" s="6"/>
      <c r="G681" s="11" t="str">
        <f aca="true">IF(F681="","",YEAR(TODAY())-F681)</f>
        <v/>
      </c>
      <c r="H681" s="11" t="str">
        <f aca="false">IF(C681="","",IF(G681="","Thiếu thông tin",IF(G681&lt;6,"Trẻ em",IF(G681&lt;23,"Học sinh / Sinh viên",IF(G681&lt;60,"Đang đi làm","Nghỉ hưu")))))</f>
        <v/>
      </c>
      <c r="I681" s="6"/>
      <c r="J681" s="11" t="str">
        <f aca="false">IF(B681="","",IFERROR(INDEX('Hộ gia đình'!$B$2:$B$2000,MATCH(B681,'Hộ gia đình'!$A$2:$A$2000,0)),"Mã hộ không tồn tại"))</f>
        <v/>
      </c>
      <c r="K681" s="14"/>
      <c r="L681" s="14"/>
      <c r="M681" s="6"/>
      <c r="N681" s="6"/>
      <c r="O681" s="6"/>
      <c r="P681" s="6"/>
      <c r="Q681" s="6"/>
      <c r="R681" s="12"/>
    </row>
    <row r="682" customFormat="false" ht="15" hidden="false" customHeight="true" outlineLevel="0" collapsed="false">
      <c r="A682" s="6"/>
      <c r="B682" s="6"/>
      <c r="C682" s="6"/>
      <c r="D682" s="6"/>
      <c r="E682" s="13"/>
      <c r="F682" s="6"/>
      <c r="G682" s="11" t="str">
        <f aca="true">IF(F682="","",YEAR(TODAY())-F682)</f>
        <v/>
      </c>
      <c r="H682" s="11" t="str">
        <f aca="false">IF(C682="","",IF(G682="","Thiếu thông tin",IF(G682&lt;6,"Trẻ em",IF(G682&lt;23,"Học sinh / Sinh viên",IF(G682&lt;60,"Đang đi làm","Nghỉ hưu")))))</f>
        <v/>
      </c>
      <c r="I682" s="6"/>
      <c r="J682" s="11" t="str">
        <f aca="false">IF(B682="","",IFERROR(INDEX('Hộ gia đình'!$B$2:$B$2000,MATCH(B682,'Hộ gia đình'!$A$2:$A$2000,0)),"Mã hộ không tồn tại"))</f>
        <v/>
      </c>
      <c r="K682" s="14"/>
      <c r="L682" s="14"/>
      <c r="M682" s="6"/>
      <c r="N682" s="6"/>
      <c r="O682" s="6"/>
      <c r="P682" s="6"/>
      <c r="Q682" s="6"/>
      <c r="R682" s="12"/>
    </row>
    <row r="683" customFormat="false" ht="15" hidden="false" customHeight="true" outlineLevel="0" collapsed="false">
      <c r="A683" s="6"/>
      <c r="B683" s="6"/>
      <c r="C683" s="6"/>
      <c r="D683" s="6"/>
      <c r="E683" s="13"/>
      <c r="F683" s="6"/>
      <c r="G683" s="11" t="str">
        <f aca="true">IF(F683="","",YEAR(TODAY())-F683)</f>
        <v/>
      </c>
      <c r="H683" s="11" t="str">
        <f aca="false">IF(C683="","",IF(G683="","Thiếu thông tin",IF(G683&lt;6,"Trẻ em",IF(G683&lt;23,"Học sinh / Sinh viên",IF(G683&lt;60,"Đang đi làm","Nghỉ hưu")))))</f>
        <v/>
      </c>
      <c r="I683" s="6"/>
      <c r="J683" s="11" t="str">
        <f aca="false">IF(B683="","",IFERROR(INDEX('Hộ gia đình'!$B$2:$B$2000,MATCH(B683,'Hộ gia đình'!$A$2:$A$2000,0)),"Mã hộ không tồn tại"))</f>
        <v/>
      </c>
      <c r="K683" s="14"/>
      <c r="L683" s="14"/>
      <c r="M683" s="6"/>
      <c r="N683" s="6"/>
      <c r="O683" s="6"/>
      <c r="P683" s="6"/>
      <c r="Q683" s="6"/>
      <c r="R683" s="12"/>
    </row>
    <row r="684" customFormat="false" ht="15" hidden="false" customHeight="true" outlineLevel="0" collapsed="false">
      <c r="A684" s="6"/>
      <c r="B684" s="6"/>
      <c r="C684" s="6"/>
      <c r="D684" s="6"/>
      <c r="E684" s="13"/>
      <c r="F684" s="6"/>
      <c r="G684" s="11" t="str">
        <f aca="true">IF(F684="","",YEAR(TODAY())-F684)</f>
        <v/>
      </c>
      <c r="H684" s="11" t="str">
        <f aca="false">IF(C684="","",IF(G684="","Thiếu thông tin",IF(G684&lt;6,"Trẻ em",IF(G684&lt;23,"Học sinh / Sinh viên",IF(G684&lt;60,"Đang đi làm","Nghỉ hưu")))))</f>
        <v/>
      </c>
      <c r="I684" s="6"/>
      <c r="J684" s="11" t="str">
        <f aca="false">IF(B684="","",IFERROR(INDEX('Hộ gia đình'!$B$2:$B$2000,MATCH(B684,'Hộ gia đình'!$A$2:$A$2000,0)),"Mã hộ không tồn tại"))</f>
        <v/>
      </c>
      <c r="K684" s="14"/>
      <c r="L684" s="14"/>
      <c r="M684" s="6"/>
      <c r="N684" s="6"/>
      <c r="O684" s="6"/>
      <c r="P684" s="6"/>
      <c r="Q684" s="6"/>
      <c r="R684" s="12"/>
    </row>
    <row r="685" customFormat="false" ht="15" hidden="false" customHeight="true" outlineLevel="0" collapsed="false">
      <c r="A685" s="6"/>
      <c r="B685" s="6"/>
      <c r="C685" s="6"/>
      <c r="D685" s="6"/>
      <c r="E685" s="13"/>
      <c r="F685" s="6"/>
      <c r="G685" s="11" t="str">
        <f aca="true">IF(F685="","",YEAR(TODAY())-F685)</f>
        <v/>
      </c>
      <c r="H685" s="11" t="str">
        <f aca="false">IF(C685="","",IF(G685="","Thiếu thông tin",IF(G685&lt;6,"Trẻ em",IF(G685&lt;23,"Học sinh / Sinh viên",IF(G685&lt;60,"Đang đi làm","Nghỉ hưu")))))</f>
        <v/>
      </c>
      <c r="I685" s="6"/>
      <c r="J685" s="11" t="str">
        <f aca="false">IF(B685="","",IFERROR(INDEX('Hộ gia đình'!$B$2:$B$2000,MATCH(B685,'Hộ gia đình'!$A$2:$A$2000,0)),"Mã hộ không tồn tại"))</f>
        <v/>
      </c>
      <c r="K685" s="14"/>
      <c r="L685" s="14"/>
      <c r="M685" s="6"/>
      <c r="N685" s="6"/>
      <c r="O685" s="6"/>
      <c r="P685" s="6"/>
      <c r="Q685" s="6"/>
      <c r="R685" s="12"/>
    </row>
    <row r="686" customFormat="false" ht="15" hidden="false" customHeight="true" outlineLevel="0" collapsed="false">
      <c r="A686" s="6"/>
      <c r="B686" s="6"/>
      <c r="C686" s="6"/>
      <c r="D686" s="6"/>
      <c r="E686" s="13"/>
      <c r="F686" s="6"/>
      <c r="G686" s="11" t="str">
        <f aca="true">IF(F686="","",YEAR(TODAY())-F686)</f>
        <v/>
      </c>
      <c r="H686" s="11" t="str">
        <f aca="false">IF(C686="","",IF(G686="","Thiếu thông tin",IF(G686&lt;6,"Trẻ em",IF(G686&lt;23,"Học sinh / Sinh viên",IF(G686&lt;60,"Đang đi làm","Nghỉ hưu")))))</f>
        <v/>
      </c>
      <c r="I686" s="6"/>
      <c r="J686" s="11" t="str">
        <f aca="false">IF(B686="","",IFERROR(INDEX('Hộ gia đình'!$B$2:$B$2000,MATCH(B686,'Hộ gia đình'!$A$2:$A$2000,0)),"Mã hộ không tồn tại"))</f>
        <v/>
      </c>
      <c r="K686" s="14"/>
      <c r="L686" s="14"/>
      <c r="M686" s="6"/>
      <c r="N686" s="6"/>
      <c r="O686" s="6"/>
      <c r="P686" s="6"/>
      <c r="Q686" s="6"/>
      <c r="R686" s="12"/>
    </row>
    <row r="687" customFormat="false" ht="15" hidden="false" customHeight="true" outlineLevel="0" collapsed="false">
      <c r="A687" s="6"/>
      <c r="B687" s="6"/>
      <c r="C687" s="6"/>
      <c r="D687" s="6"/>
      <c r="E687" s="13"/>
      <c r="F687" s="6"/>
      <c r="G687" s="11" t="str">
        <f aca="true">IF(F687="","",YEAR(TODAY())-F687)</f>
        <v/>
      </c>
      <c r="H687" s="11" t="str">
        <f aca="false">IF(C687="","",IF(G687="","Thiếu thông tin",IF(G687&lt;6,"Trẻ em",IF(G687&lt;23,"Học sinh / Sinh viên",IF(G687&lt;60,"Đang đi làm","Nghỉ hưu")))))</f>
        <v/>
      </c>
      <c r="I687" s="6"/>
      <c r="J687" s="11" t="str">
        <f aca="false">IF(B687="","",IFERROR(INDEX('Hộ gia đình'!$B$2:$B$2000,MATCH(B687,'Hộ gia đình'!$A$2:$A$2000,0)),"Mã hộ không tồn tại"))</f>
        <v/>
      </c>
      <c r="K687" s="14"/>
      <c r="L687" s="14"/>
      <c r="M687" s="6"/>
      <c r="N687" s="6"/>
      <c r="O687" s="6"/>
      <c r="P687" s="6"/>
      <c r="Q687" s="6"/>
      <c r="R687" s="12"/>
    </row>
    <row r="688" customFormat="false" ht="15" hidden="false" customHeight="true" outlineLevel="0" collapsed="false">
      <c r="A688" s="6"/>
      <c r="B688" s="6"/>
      <c r="C688" s="6"/>
      <c r="D688" s="6"/>
      <c r="E688" s="13"/>
      <c r="F688" s="6"/>
      <c r="G688" s="11" t="str">
        <f aca="true">IF(F688="","",YEAR(TODAY())-F688)</f>
        <v/>
      </c>
      <c r="H688" s="11" t="str">
        <f aca="false">IF(C688="","",IF(G688="","Thiếu thông tin",IF(G688&lt;6,"Trẻ em",IF(G688&lt;23,"Học sinh / Sinh viên",IF(G688&lt;60,"Đang đi làm","Nghỉ hưu")))))</f>
        <v/>
      </c>
      <c r="I688" s="6"/>
      <c r="J688" s="11" t="str">
        <f aca="false">IF(B688="","",IFERROR(INDEX('Hộ gia đình'!$B$2:$B$2000,MATCH(B688,'Hộ gia đình'!$A$2:$A$2000,0)),"Mã hộ không tồn tại"))</f>
        <v/>
      </c>
      <c r="K688" s="14"/>
      <c r="L688" s="14"/>
      <c r="M688" s="6"/>
      <c r="N688" s="6"/>
      <c r="O688" s="6"/>
      <c r="P688" s="6"/>
      <c r="Q688" s="6"/>
      <c r="R688" s="12"/>
    </row>
    <row r="689" customFormat="false" ht="15" hidden="false" customHeight="true" outlineLevel="0" collapsed="false">
      <c r="A689" s="6"/>
      <c r="B689" s="6"/>
      <c r="C689" s="6"/>
      <c r="D689" s="6"/>
      <c r="E689" s="13"/>
      <c r="F689" s="6"/>
      <c r="G689" s="11" t="str">
        <f aca="true">IF(F689="","",YEAR(TODAY())-F689)</f>
        <v/>
      </c>
      <c r="H689" s="11" t="str">
        <f aca="false">IF(C689="","",IF(G689="","Thiếu thông tin",IF(G689&lt;6,"Trẻ em",IF(G689&lt;23,"Học sinh / Sinh viên",IF(G689&lt;60,"Đang đi làm","Nghỉ hưu")))))</f>
        <v/>
      </c>
      <c r="I689" s="6"/>
      <c r="J689" s="11" t="str">
        <f aca="false">IF(B689="","",IFERROR(INDEX('Hộ gia đình'!$B$2:$B$2000,MATCH(B689,'Hộ gia đình'!$A$2:$A$2000,0)),"Mã hộ không tồn tại"))</f>
        <v/>
      </c>
      <c r="K689" s="14"/>
      <c r="L689" s="14"/>
      <c r="M689" s="6"/>
      <c r="N689" s="6"/>
      <c r="O689" s="6"/>
      <c r="P689" s="6"/>
      <c r="Q689" s="6"/>
      <c r="R689" s="12"/>
    </row>
    <row r="690" customFormat="false" ht="15" hidden="false" customHeight="true" outlineLevel="0" collapsed="false">
      <c r="A690" s="6"/>
      <c r="B690" s="6"/>
      <c r="C690" s="6"/>
      <c r="D690" s="6"/>
      <c r="E690" s="13"/>
      <c r="F690" s="6"/>
      <c r="G690" s="11" t="str">
        <f aca="true">IF(F690="","",YEAR(TODAY())-F690)</f>
        <v/>
      </c>
      <c r="H690" s="11" t="str">
        <f aca="false">IF(C690="","",IF(G690="","Thiếu thông tin",IF(G690&lt;6,"Trẻ em",IF(G690&lt;23,"Học sinh / Sinh viên",IF(G690&lt;60,"Đang đi làm","Nghỉ hưu")))))</f>
        <v/>
      </c>
      <c r="I690" s="6"/>
      <c r="J690" s="11" t="str">
        <f aca="false">IF(B690="","",IFERROR(INDEX('Hộ gia đình'!$B$2:$B$2000,MATCH(B690,'Hộ gia đình'!$A$2:$A$2000,0)),"Mã hộ không tồn tại"))</f>
        <v/>
      </c>
      <c r="K690" s="14"/>
      <c r="L690" s="14"/>
      <c r="M690" s="6"/>
      <c r="N690" s="6"/>
      <c r="O690" s="6"/>
      <c r="P690" s="6"/>
      <c r="Q690" s="6"/>
      <c r="R690" s="12"/>
    </row>
    <row r="691" customFormat="false" ht="15" hidden="false" customHeight="true" outlineLevel="0" collapsed="false">
      <c r="A691" s="6"/>
      <c r="B691" s="6"/>
      <c r="C691" s="6"/>
      <c r="D691" s="6"/>
      <c r="E691" s="13"/>
      <c r="F691" s="6"/>
      <c r="G691" s="11" t="str">
        <f aca="true">IF(F691="","",YEAR(TODAY())-F691)</f>
        <v/>
      </c>
      <c r="H691" s="11" t="str">
        <f aca="false">IF(C691="","",IF(G691="","Thiếu thông tin",IF(G691&lt;6,"Trẻ em",IF(G691&lt;23,"Học sinh / Sinh viên",IF(G691&lt;60,"Đang đi làm","Nghỉ hưu")))))</f>
        <v/>
      </c>
      <c r="I691" s="6"/>
      <c r="J691" s="11" t="str">
        <f aca="false">IF(B691="","",IFERROR(INDEX('Hộ gia đình'!$B$2:$B$2000,MATCH(B691,'Hộ gia đình'!$A$2:$A$2000,0)),"Mã hộ không tồn tại"))</f>
        <v/>
      </c>
      <c r="K691" s="14"/>
      <c r="L691" s="14"/>
      <c r="M691" s="6"/>
      <c r="N691" s="6"/>
      <c r="O691" s="6"/>
      <c r="P691" s="6"/>
      <c r="Q691" s="6"/>
      <c r="R691" s="12"/>
    </row>
    <row r="692" customFormat="false" ht="15" hidden="false" customHeight="true" outlineLevel="0" collapsed="false">
      <c r="A692" s="6"/>
      <c r="B692" s="6"/>
      <c r="C692" s="6"/>
      <c r="D692" s="6"/>
      <c r="E692" s="13"/>
      <c r="F692" s="6"/>
      <c r="G692" s="11" t="str">
        <f aca="true">IF(F692="","",YEAR(TODAY())-F692)</f>
        <v/>
      </c>
      <c r="H692" s="11" t="str">
        <f aca="false">IF(C692="","",IF(G692="","Thiếu thông tin",IF(G692&lt;6,"Trẻ em",IF(G692&lt;23,"Học sinh / Sinh viên",IF(G692&lt;60,"Đang đi làm","Nghỉ hưu")))))</f>
        <v/>
      </c>
      <c r="I692" s="6"/>
      <c r="J692" s="11" t="str">
        <f aca="false">IF(B692="","",IFERROR(INDEX('Hộ gia đình'!$B$2:$B$2000,MATCH(B692,'Hộ gia đình'!$A$2:$A$2000,0)),"Mã hộ không tồn tại"))</f>
        <v/>
      </c>
      <c r="K692" s="14"/>
      <c r="L692" s="14"/>
      <c r="M692" s="6"/>
      <c r="N692" s="6"/>
      <c r="O692" s="6"/>
      <c r="P692" s="6"/>
      <c r="Q692" s="6"/>
      <c r="R692" s="12"/>
    </row>
    <row r="693" customFormat="false" ht="15" hidden="false" customHeight="true" outlineLevel="0" collapsed="false">
      <c r="A693" s="6"/>
      <c r="B693" s="6"/>
      <c r="C693" s="6"/>
      <c r="D693" s="6"/>
      <c r="E693" s="13"/>
      <c r="F693" s="6"/>
      <c r="G693" s="11" t="str">
        <f aca="true">IF(F693="","",YEAR(TODAY())-F693)</f>
        <v/>
      </c>
      <c r="H693" s="11" t="str">
        <f aca="false">IF(C693="","",IF(G693="","Thiếu thông tin",IF(G693&lt;6,"Trẻ em",IF(G693&lt;23,"Học sinh / Sinh viên",IF(G693&lt;60,"Đang đi làm","Nghỉ hưu")))))</f>
        <v/>
      </c>
      <c r="I693" s="6"/>
      <c r="J693" s="11" t="str">
        <f aca="false">IF(B693="","",IFERROR(INDEX('Hộ gia đình'!$B$2:$B$2000,MATCH(B693,'Hộ gia đình'!$A$2:$A$2000,0)),"Mã hộ không tồn tại"))</f>
        <v/>
      </c>
      <c r="K693" s="14"/>
      <c r="L693" s="14"/>
      <c r="M693" s="6"/>
      <c r="N693" s="6"/>
      <c r="O693" s="6"/>
      <c r="P693" s="6"/>
      <c r="Q693" s="6"/>
      <c r="R693" s="12"/>
    </row>
    <row r="694" customFormat="false" ht="15" hidden="false" customHeight="true" outlineLevel="0" collapsed="false">
      <c r="A694" s="6"/>
      <c r="B694" s="6"/>
      <c r="C694" s="6"/>
      <c r="D694" s="6"/>
      <c r="E694" s="13"/>
      <c r="F694" s="6"/>
      <c r="G694" s="11" t="str">
        <f aca="true">IF(F694="","",YEAR(TODAY())-F694)</f>
        <v/>
      </c>
      <c r="H694" s="11" t="str">
        <f aca="false">IF(C694="","",IF(G694="","Thiếu thông tin",IF(G694&lt;6,"Trẻ em",IF(G694&lt;23,"Học sinh / Sinh viên",IF(G694&lt;60,"Đang đi làm","Nghỉ hưu")))))</f>
        <v/>
      </c>
      <c r="I694" s="6"/>
      <c r="J694" s="11" t="str">
        <f aca="false">IF(B694="","",IFERROR(INDEX('Hộ gia đình'!$B$2:$B$2000,MATCH(B694,'Hộ gia đình'!$A$2:$A$2000,0)),"Mã hộ không tồn tại"))</f>
        <v/>
      </c>
      <c r="K694" s="14"/>
      <c r="L694" s="14"/>
      <c r="M694" s="6"/>
      <c r="N694" s="6"/>
      <c r="O694" s="6"/>
      <c r="P694" s="6"/>
      <c r="Q694" s="6"/>
      <c r="R694" s="12"/>
    </row>
    <row r="695" customFormat="false" ht="15" hidden="false" customHeight="true" outlineLevel="0" collapsed="false">
      <c r="A695" s="6"/>
      <c r="B695" s="6"/>
      <c r="C695" s="6"/>
      <c r="D695" s="6"/>
      <c r="E695" s="13"/>
      <c r="F695" s="6"/>
      <c r="G695" s="11" t="str">
        <f aca="true">IF(F695="","",YEAR(TODAY())-F695)</f>
        <v/>
      </c>
      <c r="H695" s="11" t="str">
        <f aca="false">IF(C695="","",IF(G695="","Thiếu thông tin",IF(G695&lt;6,"Trẻ em",IF(G695&lt;23,"Học sinh / Sinh viên",IF(G695&lt;60,"Đang đi làm","Nghỉ hưu")))))</f>
        <v/>
      </c>
      <c r="I695" s="6"/>
      <c r="J695" s="11" t="str">
        <f aca="false">IF(B695="","",IFERROR(INDEX('Hộ gia đình'!$B$2:$B$2000,MATCH(B695,'Hộ gia đình'!$A$2:$A$2000,0)),"Mã hộ không tồn tại"))</f>
        <v/>
      </c>
      <c r="K695" s="14"/>
      <c r="L695" s="14"/>
      <c r="M695" s="6"/>
      <c r="N695" s="6"/>
      <c r="O695" s="6"/>
      <c r="P695" s="6"/>
      <c r="Q695" s="6"/>
      <c r="R695" s="12"/>
    </row>
    <row r="696" customFormat="false" ht="15" hidden="false" customHeight="true" outlineLevel="0" collapsed="false">
      <c r="A696" s="6"/>
      <c r="B696" s="6"/>
      <c r="C696" s="6"/>
      <c r="D696" s="6"/>
      <c r="E696" s="13"/>
      <c r="F696" s="6"/>
      <c r="G696" s="11" t="str">
        <f aca="true">IF(F696="","",YEAR(TODAY())-F696)</f>
        <v/>
      </c>
      <c r="H696" s="11" t="str">
        <f aca="false">IF(C696="","",IF(G696="","Thiếu thông tin",IF(G696&lt;6,"Trẻ em",IF(G696&lt;23,"Học sinh / Sinh viên",IF(G696&lt;60,"Đang đi làm","Nghỉ hưu")))))</f>
        <v/>
      </c>
      <c r="I696" s="6"/>
      <c r="J696" s="11" t="str">
        <f aca="false">IF(B696="","",IFERROR(INDEX('Hộ gia đình'!$B$2:$B$2000,MATCH(B696,'Hộ gia đình'!$A$2:$A$2000,0)),"Mã hộ không tồn tại"))</f>
        <v/>
      </c>
      <c r="K696" s="14"/>
      <c r="L696" s="14"/>
      <c r="M696" s="6"/>
      <c r="N696" s="6"/>
      <c r="O696" s="6"/>
      <c r="P696" s="6"/>
      <c r="Q696" s="6"/>
      <c r="R696" s="12"/>
    </row>
    <row r="697" customFormat="false" ht="15" hidden="false" customHeight="true" outlineLevel="0" collapsed="false">
      <c r="A697" s="6"/>
      <c r="B697" s="6"/>
      <c r="C697" s="6"/>
      <c r="D697" s="6"/>
      <c r="E697" s="13"/>
      <c r="F697" s="6"/>
      <c r="G697" s="11" t="str">
        <f aca="true">IF(F697="","",YEAR(TODAY())-F697)</f>
        <v/>
      </c>
      <c r="H697" s="11" t="str">
        <f aca="false">IF(C697="","",IF(G697="","Thiếu thông tin",IF(G697&lt;6,"Trẻ em",IF(G697&lt;23,"Học sinh / Sinh viên",IF(G697&lt;60,"Đang đi làm","Nghỉ hưu")))))</f>
        <v/>
      </c>
      <c r="I697" s="6"/>
      <c r="J697" s="11" t="str">
        <f aca="false">IF(B697="","",IFERROR(INDEX('Hộ gia đình'!$B$2:$B$2000,MATCH(B697,'Hộ gia đình'!$A$2:$A$2000,0)),"Mã hộ không tồn tại"))</f>
        <v/>
      </c>
      <c r="K697" s="14"/>
      <c r="L697" s="14"/>
      <c r="M697" s="6"/>
      <c r="N697" s="6"/>
      <c r="O697" s="6"/>
      <c r="P697" s="6"/>
      <c r="Q697" s="6"/>
      <c r="R697" s="12"/>
    </row>
    <row r="698" customFormat="false" ht="15" hidden="false" customHeight="true" outlineLevel="0" collapsed="false">
      <c r="A698" s="6"/>
      <c r="B698" s="6"/>
      <c r="C698" s="6"/>
      <c r="D698" s="6"/>
      <c r="E698" s="13"/>
      <c r="F698" s="6"/>
      <c r="G698" s="11" t="str">
        <f aca="true">IF(F698="","",YEAR(TODAY())-F698)</f>
        <v/>
      </c>
      <c r="H698" s="11" t="str">
        <f aca="false">IF(C698="","",IF(G698="","Thiếu thông tin",IF(G698&lt;6,"Trẻ em",IF(G698&lt;23,"Học sinh / Sinh viên",IF(G698&lt;60,"Đang đi làm","Nghỉ hưu")))))</f>
        <v/>
      </c>
      <c r="I698" s="6"/>
      <c r="J698" s="11" t="str">
        <f aca="false">IF(B698="","",IFERROR(INDEX('Hộ gia đình'!$B$2:$B$2000,MATCH(B698,'Hộ gia đình'!$A$2:$A$2000,0)),"Mã hộ không tồn tại"))</f>
        <v/>
      </c>
      <c r="K698" s="14"/>
      <c r="L698" s="14"/>
      <c r="M698" s="6"/>
      <c r="N698" s="6"/>
      <c r="O698" s="6"/>
      <c r="P698" s="6"/>
      <c r="Q698" s="6"/>
      <c r="R698" s="12"/>
    </row>
    <row r="699" customFormat="false" ht="15" hidden="false" customHeight="true" outlineLevel="0" collapsed="false">
      <c r="A699" s="6"/>
      <c r="B699" s="6"/>
      <c r="C699" s="6"/>
      <c r="D699" s="6"/>
      <c r="E699" s="13"/>
      <c r="F699" s="6"/>
      <c r="G699" s="11" t="str">
        <f aca="true">IF(F699="","",YEAR(TODAY())-F699)</f>
        <v/>
      </c>
      <c r="H699" s="11" t="str">
        <f aca="false">IF(C699="","",IF(G699="","Thiếu thông tin",IF(G699&lt;6,"Trẻ em",IF(G699&lt;23,"Học sinh / Sinh viên",IF(G699&lt;60,"Đang đi làm","Nghỉ hưu")))))</f>
        <v/>
      </c>
      <c r="I699" s="6"/>
      <c r="J699" s="11" t="str">
        <f aca="false">IF(B699="","",IFERROR(INDEX('Hộ gia đình'!$B$2:$B$2000,MATCH(B699,'Hộ gia đình'!$A$2:$A$2000,0)),"Mã hộ không tồn tại"))</f>
        <v/>
      </c>
      <c r="K699" s="14"/>
      <c r="L699" s="14"/>
      <c r="M699" s="6"/>
      <c r="N699" s="6"/>
      <c r="O699" s="6"/>
      <c r="P699" s="6"/>
      <c r="Q699" s="6"/>
      <c r="R699" s="12"/>
    </row>
    <row r="700" customFormat="false" ht="15" hidden="false" customHeight="true" outlineLevel="0" collapsed="false">
      <c r="A700" s="6"/>
      <c r="B700" s="6"/>
      <c r="C700" s="6"/>
      <c r="D700" s="6"/>
      <c r="E700" s="13"/>
      <c r="F700" s="6"/>
      <c r="G700" s="11" t="str">
        <f aca="true">IF(F700="","",YEAR(TODAY())-F700)</f>
        <v/>
      </c>
      <c r="H700" s="11" t="str">
        <f aca="false">IF(C700="","",IF(G700="","Thiếu thông tin",IF(G700&lt;6,"Trẻ em",IF(G700&lt;23,"Học sinh / Sinh viên",IF(G700&lt;60,"Đang đi làm","Nghỉ hưu")))))</f>
        <v/>
      </c>
      <c r="I700" s="6"/>
      <c r="J700" s="11" t="str">
        <f aca="false">IF(B700="","",IFERROR(INDEX('Hộ gia đình'!$B$2:$B$2000,MATCH(B700,'Hộ gia đình'!$A$2:$A$2000,0)),"Mã hộ không tồn tại"))</f>
        <v/>
      </c>
      <c r="K700" s="14"/>
      <c r="L700" s="14"/>
      <c r="M700" s="6"/>
      <c r="N700" s="6"/>
      <c r="O700" s="6"/>
      <c r="P700" s="6"/>
      <c r="Q700" s="6"/>
      <c r="R700" s="12"/>
    </row>
    <row r="701" customFormat="false" ht="15" hidden="false" customHeight="true" outlineLevel="0" collapsed="false">
      <c r="A701" s="6"/>
      <c r="B701" s="6"/>
      <c r="C701" s="6"/>
      <c r="D701" s="6"/>
      <c r="E701" s="13"/>
      <c r="F701" s="6"/>
      <c r="G701" s="11" t="str">
        <f aca="true">IF(F701="","",YEAR(TODAY())-F701)</f>
        <v/>
      </c>
      <c r="H701" s="11" t="str">
        <f aca="false">IF(C701="","",IF(G701="","Thiếu thông tin",IF(G701&lt;6,"Trẻ em",IF(G701&lt;23,"Học sinh / Sinh viên",IF(G701&lt;60,"Đang đi làm","Nghỉ hưu")))))</f>
        <v/>
      </c>
      <c r="I701" s="6"/>
      <c r="J701" s="11" t="str">
        <f aca="false">IF(B701="","",IFERROR(INDEX('Hộ gia đình'!$B$2:$B$2000,MATCH(B701,'Hộ gia đình'!$A$2:$A$2000,0)),"Mã hộ không tồn tại"))</f>
        <v/>
      </c>
      <c r="K701" s="14"/>
      <c r="L701" s="14"/>
      <c r="M701" s="6"/>
      <c r="N701" s="6"/>
      <c r="O701" s="6"/>
      <c r="P701" s="6"/>
      <c r="Q701" s="6"/>
      <c r="R701" s="12"/>
    </row>
    <row r="702" customFormat="false" ht="15" hidden="false" customHeight="true" outlineLevel="0" collapsed="false">
      <c r="A702" s="6"/>
      <c r="B702" s="6"/>
      <c r="C702" s="6"/>
      <c r="D702" s="6"/>
      <c r="E702" s="13"/>
      <c r="F702" s="6"/>
      <c r="G702" s="11" t="str">
        <f aca="true">IF(F702="","",YEAR(TODAY())-F702)</f>
        <v/>
      </c>
      <c r="H702" s="11" t="str">
        <f aca="false">IF(C702="","",IF(G702="","Thiếu thông tin",IF(G702&lt;6,"Trẻ em",IF(G702&lt;23,"Học sinh / Sinh viên",IF(G702&lt;60,"Đang đi làm","Nghỉ hưu")))))</f>
        <v/>
      </c>
      <c r="I702" s="6"/>
      <c r="J702" s="11" t="str">
        <f aca="false">IF(B702="","",IFERROR(INDEX('Hộ gia đình'!$B$2:$B$2000,MATCH(B702,'Hộ gia đình'!$A$2:$A$2000,0)),"Mã hộ không tồn tại"))</f>
        <v/>
      </c>
      <c r="K702" s="14"/>
      <c r="L702" s="14"/>
      <c r="M702" s="6"/>
      <c r="N702" s="6"/>
      <c r="O702" s="6"/>
      <c r="P702" s="6"/>
      <c r="Q702" s="6"/>
      <c r="R702" s="12"/>
    </row>
    <row r="703" customFormat="false" ht="15" hidden="false" customHeight="true" outlineLevel="0" collapsed="false">
      <c r="A703" s="6"/>
      <c r="B703" s="6"/>
      <c r="C703" s="6"/>
      <c r="D703" s="6"/>
      <c r="E703" s="13"/>
      <c r="F703" s="6"/>
      <c r="G703" s="11" t="str">
        <f aca="true">IF(F703="","",YEAR(TODAY())-F703)</f>
        <v/>
      </c>
      <c r="H703" s="11" t="str">
        <f aca="false">IF(C703="","",IF(G703="","Thiếu thông tin",IF(G703&lt;6,"Trẻ em",IF(G703&lt;23,"Học sinh / Sinh viên",IF(G703&lt;60,"Đang đi làm","Nghỉ hưu")))))</f>
        <v/>
      </c>
      <c r="I703" s="6"/>
      <c r="J703" s="11" t="str">
        <f aca="false">IF(B703="","",IFERROR(INDEX('Hộ gia đình'!$B$2:$B$2000,MATCH(B703,'Hộ gia đình'!$A$2:$A$2000,0)),"Mã hộ không tồn tại"))</f>
        <v/>
      </c>
      <c r="K703" s="14"/>
      <c r="L703" s="14"/>
      <c r="M703" s="6"/>
      <c r="N703" s="6"/>
      <c r="O703" s="6"/>
      <c r="P703" s="6"/>
      <c r="Q703" s="6"/>
      <c r="R703" s="12"/>
    </row>
    <row r="704" customFormat="false" ht="15" hidden="false" customHeight="true" outlineLevel="0" collapsed="false">
      <c r="A704" s="6"/>
      <c r="B704" s="6"/>
      <c r="C704" s="6"/>
      <c r="D704" s="6"/>
      <c r="E704" s="13"/>
      <c r="F704" s="6"/>
      <c r="G704" s="11" t="str">
        <f aca="true">IF(F704="","",YEAR(TODAY())-F704)</f>
        <v/>
      </c>
      <c r="H704" s="11" t="str">
        <f aca="false">IF(C704="","",IF(G704="","Thiếu thông tin",IF(G704&lt;6,"Trẻ em",IF(G704&lt;23,"Học sinh / Sinh viên",IF(G704&lt;60,"Đang đi làm","Nghỉ hưu")))))</f>
        <v/>
      </c>
      <c r="I704" s="6"/>
      <c r="J704" s="11" t="str">
        <f aca="false">IF(B704="","",IFERROR(INDEX('Hộ gia đình'!$B$2:$B$2000,MATCH(B704,'Hộ gia đình'!$A$2:$A$2000,0)),"Mã hộ không tồn tại"))</f>
        <v/>
      </c>
      <c r="K704" s="14"/>
      <c r="L704" s="14"/>
      <c r="M704" s="6"/>
      <c r="N704" s="6"/>
      <c r="O704" s="6"/>
      <c r="P704" s="6"/>
      <c r="Q704" s="6"/>
      <c r="R704" s="12"/>
    </row>
    <row r="705" customFormat="false" ht="15" hidden="false" customHeight="true" outlineLevel="0" collapsed="false">
      <c r="A705" s="6"/>
      <c r="B705" s="6"/>
      <c r="C705" s="6"/>
      <c r="D705" s="6"/>
      <c r="E705" s="13"/>
      <c r="F705" s="6"/>
      <c r="G705" s="11" t="str">
        <f aca="true">IF(F705="","",YEAR(TODAY())-F705)</f>
        <v/>
      </c>
      <c r="H705" s="11" t="str">
        <f aca="false">IF(C705="","",IF(G705="","Thiếu thông tin",IF(G705&lt;6,"Trẻ em",IF(G705&lt;23,"Học sinh / Sinh viên",IF(G705&lt;60,"Đang đi làm","Nghỉ hưu")))))</f>
        <v/>
      </c>
      <c r="I705" s="6"/>
      <c r="J705" s="11" t="str">
        <f aca="false">IF(B705="","",IFERROR(INDEX('Hộ gia đình'!$B$2:$B$2000,MATCH(B705,'Hộ gia đình'!$A$2:$A$2000,0)),"Mã hộ không tồn tại"))</f>
        <v/>
      </c>
      <c r="K705" s="14"/>
      <c r="L705" s="14"/>
      <c r="M705" s="6"/>
      <c r="N705" s="6"/>
      <c r="O705" s="6"/>
      <c r="P705" s="6"/>
      <c r="Q705" s="6"/>
      <c r="R705" s="12"/>
    </row>
    <row r="706" customFormat="false" ht="15" hidden="false" customHeight="true" outlineLevel="0" collapsed="false">
      <c r="A706" s="6"/>
      <c r="B706" s="6"/>
      <c r="C706" s="6"/>
      <c r="D706" s="6"/>
      <c r="E706" s="13"/>
      <c r="F706" s="6"/>
      <c r="G706" s="11" t="str">
        <f aca="true">IF(F706="","",YEAR(TODAY())-F706)</f>
        <v/>
      </c>
      <c r="H706" s="11" t="str">
        <f aca="false">IF(C706="","",IF(G706="","Thiếu thông tin",IF(G706&lt;6,"Trẻ em",IF(G706&lt;23,"Học sinh / Sinh viên",IF(G706&lt;60,"Đang đi làm","Nghỉ hưu")))))</f>
        <v/>
      </c>
      <c r="I706" s="6"/>
      <c r="J706" s="11" t="str">
        <f aca="false">IF(B706="","",IFERROR(INDEX('Hộ gia đình'!$B$2:$B$2000,MATCH(B706,'Hộ gia đình'!$A$2:$A$2000,0)),"Mã hộ không tồn tại"))</f>
        <v/>
      </c>
      <c r="K706" s="14"/>
      <c r="L706" s="14"/>
      <c r="M706" s="6"/>
      <c r="N706" s="6"/>
      <c r="O706" s="6"/>
      <c r="P706" s="6"/>
      <c r="Q706" s="6"/>
      <c r="R706" s="12"/>
    </row>
    <row r="707" customFormat="false" ht="15" hidden="false" customHeight="true" outlineLevel="0" collapsed="false">
      <c r="A707" s="6"/>
      <c r="B707" s="6"/>
      <c r="C707" s="6"/>
      <c r="D707" s="6"/>
      <c r="E707" s="13"/>
      <c r="F707" s="6"/>
      <c r="G707" s="11" t="str">
        <f aca="true">IF(F707="","",YEAR(TODAY())-F707)</f>
        <v/>
      </c>
      <c r="H707" s="11" t="str">
        <f aca="false">IF(C707="","",IF(G707="","Thiếu thông tin",IF(G707&lt;6,"Trẻ em",IF(G707&lt;23,"Học sinh / Sinh viên",IF(G707&lt;60,"Đang đi làm","Nghỉ hưu")))))</f>
        <v/>
      </c>
      <c r="I707" s="6"/>
      <c r="J707" s="11" t="str">
        <f aca="false">IF(B707="","",IFERROR(INDEX('Hộ gia đình'!$B$2:$B$2000,MATCH(B707,'Hộ gia đình'!$A$2:$A$2000,0)),"Mã hộ không tồn tại"))</f>
        <v/>
      </c>
      <c r="K707" s="14"/>
      <c r="L707" s="14"/>
      <c r="M707" s="6"/>
      <c r="N707" s="6"/>
      <c r="O707" s="6"/>
      <c r="P707" s="6"/>
      <c r="Q707" s="6"/>
      <c r="R707" s="12"/>
    </row>
    <row r="708" customFormat="false" ht="15" hidden="false" customHeight="true" outlineLevel="0" collapsed="false">
      <c r="A708" s="6"/>
      <c r="B708" s="6"/>
      <c r="C708" s="6"/>
      <c r="D708" s="6"/>
      <c r="E708" s="13"/>
      <c r="F708" s="6"/>
      <c r="G708" s="11" t="str">
        <f aca="true">IF(F708="","",YEAR(TODAY())-F708)</f>
        <v/>
      </c>
      <c r="H708" s="11" t="str">
        <f aca="false">IF(C708="","",IF(G708="","Thiếu thông tin",IF(G708&lt;6,"Trẻ em",IF(G708&lt;23,"Học sinh / Sinh viên",IF(G708&lt;60,"Đang đi làm","Nghỉ hưu")))))</f>
        <v/>
      </c>
      <c r="I708" s="6"/>
      <c r="J708" s="11" t="str">
        <f aca="false">IF(B708="","",IFERROR(INDEX('Hộ gia đình'!$B$2:$B$2000,MATCH(B708,'Hộ gia đình'!$A$2:$A$2000,0)),"Mã hộ không tồn tại"))</f>
        <v/>
      </c>
      <c r="K708" s="14"/>
      <c r="L708" s="14"/>
      <c r="M708" s="6"/>
      <c r="N708" s="6"/>
      <c r="O708" s="6"/>
      <c r="P708" s="6"/>
      <c r="Q708" s="6"/>
      <c r="R708" s="12"/>
    </row>
    <row r="709" customFormat="false" ht="15" hidden="false" customHeight="true" outlineLevel="0" collapsed="false">
      <c r="A709" s="6"/>
      <c r="B709" s="6"/>
      <c r="C709" s="6"/>
      <c r="D709" s="6"/>
      <c r="E709" s="13"/>
      <c r="F709" s="6"/>
      <c r="G709" s="11" t="str">
        <f aca="true">IF(F709="","",YEAR(TODAY())-F709)</f>
        <v/>
      </c>
      <c r="H709" s="11" t="str">
        <f aca="false">IF(C709="","",IF(G709="","Thiếu thông tin",IF(G709&lt;6,"Trẻ em",IF(G709&lt;23,"Học sinh / Sinh viên",IF(G709&lt;60,"Đang đi làm","Nghỉ hưu")))))</f>
        <v/>
      </c>
      <c r="I709" s="6"/>
      <c r="J709" s="11" t="str">
        <f aca="false">IF(B709="","",IFERROR(INDEX('Hộ gia đình'!$B$2:$B$2000,MATCH(B709,'Hộ gia đình'!$A$2:$A$2000,0)),"Mã hộ không tồn tại"))</f>
        <v/>
      </c>
      <c r="K709" s="14"/>
      <c r="L709" s="14"/>
      <c r="M709" s="6"/>
      <c r="N709" s="6"/>
      <c r="O709" s="6"/>
      <c r="P709" s="6"/>
      <c r="Q709" s="6"/>
      <c r="R709" s="12"/>
    </row>
    <row r="710" customFormat="false" ht="15" hidden="false" customHeight="true" outlineLevel="0" collapsed="false">
      <c r="A710" s="6"/>
      <c r="B710" s="6"/>
      <c r="C710" s="6"/>
      <c r="D710" s="6"/>
      <c r="E710" s="13"/>
      <c r="F710" s="6"/>
      <c r="G710" s="11" t="str">
        <f aca="true">IF(F710="","",YEAR(TODAY())-F710)</f>
        <v/>
      </c>
      <c r="H710" s="11" t="str">
        <f aca="false">IF(C710="","",IF(G710="","Thiếu thông tin",IF(G710&lt;6,"Trẻ em",IF(G710&lt;23,"Học sinh / Sinh viên",IF(G710&lt;60,"Đang đi làm","Nghỉ hưu")))))</f>
        <v/>
      </c>
      <c r="I710" s="6"/>
      <c r="J710" s="11" t="str">
        <f aca="false">IF(B710="","",IFERROR(INDEX('Hộ gia đình'!$B$2:$B$2000,MATCH(B710,'Hộ gia đình'!$A$2:$A$2000,0)),"Mã hộ không tồn tại"))</f>
        <v/>
      </c>
      <c r="K710" s="14"/>
      <c r="L710" s="14"/>
      <c r="M710" s="6"/>
      <c r="N710" s="6"/>
      <c r="O710" s="6"/>
      <c r="P710" s="6"/>
      <c r="Q710" s="6"/>
      <c r="R710" s="12"/>
    </row>
    <row r="711" customFormat="false" ht="15" hidden="false" customHeight="true" outlineLevel="0" collapsed="false">
      <c r="A711" s="6"/>
      <c r="B711" s="6"/>
      <c r="C711" s="6"/>
      <c r="D711" s="6"/>
      <c r="E711" s="13"/>
      <c r="F711" s="6"/>
      <c r="G711" s="11" t="str">
        <f aca="true">IF(F711="","",YEAR(TODAY())-F711)</f>
        <v/>
      </c>
      <c r="H711" s="11" t="str">
        <f aca="false">IF(C711="","",IF(G711="","Thiếu thông tin",IF(G711&lt;6,"Trẻ em",IF(G711&lt;23,"Học sinh / Sinh viên",IF(G711&lt;60,"Đang đi làm","Nghỉ hưu")))))</f>
        <v/>
      </c>
      <c r="I711" s="6"/>
      <c r="J711" s="11" t="str">
        <f aca="false">IF(B711="","",IFERROR(INDEX('Hộ gia đình'!$B$2:$B$2000,MATCH(B711,'Hộ gia đình'!$A$2:$A$2000,0)),"Mã hộ không tồn tại"))</f>
        <v/>
      </c>
      <c r="K711" s="14"/>
      <c r="L711" s="14"/>
      <c r="M711" s="6"/>
      <c r="N711" s="6"/>
      <c r="O711" s="6"/>
      <c r="P711" s="6"/>
      <c r="Q711" s="6"/>
      <c r="R711" s="12"/>
    </row>
    <row r="712" customFormat="false" ht="15" hidden="false" customHeight="true" outlineLevel="0" collapsed="false">
      <c r="A712" s="6"/>
      <c r="B712" s="6"/>
      <c r="C712" s="6"/>
      <c r="D712" s="6"/>
      <c r="E712" s="13"/>
      <c r="F712" s="6"/>
      <c r="G712" s="11" t="str">
        <f aca="true">IF(F712="","",YEAR(TODAY())-F712)</f>
        <v/>
      </c>
      <c r="H712" s="11" t="str">
        <f aca="false">IF(C712="","",IF(G712="","Thiếu thông tin",IF(G712&lt;6,"Trẻ em",IF(G712&lt;23,"Học sinh / Sinh viên",IF(G712&lt;60,"Đang đi làm","Nghỉ hưu")))))</f>
        <v/>
      </c>
      <c r="I712" s="6"/>
      <c r="J712" s="11" t="str">
        <f aca="false">IF(B712="","",IFERROR(INDEX('Hộ gia đình'!$B$2:$B$2000,MATCH(B712,'Hộ gia đình'!$A$2:$A$2000,0)),"Mã hộ không tồn tại"))</f>
        <v/>
      </c>
      <c r="K712" s="14"/>
      <c r="L712" s="14"/>
      <c r="M712" s="6"/>
      <c r="N712" s="6"/>
      <c r="O712" s="6"/>
      <c r="P712" s="6"/>
      <c r="Q712" s="6"/>
      <c r="R712" s="12"/>
    </row>
    <row r="713" customFormat="false" ht="15" hidden="false" customHeight="true" outlineLevel="0" collapsed="false">
      <c r="A713" s="6"/>
      <c r="B713" s="6"/>
      <c r="C713" s="6"/>
      <c r="D713" s="6"/>
      <c r="E713" s="13"/>
      <c r="F713" s="6"/>
      <c r="G713" s="11" t="str">
        <f aca="true">IF(F713="","",YEAR(TODAY())-F713)</f>
        <v/>
      </c>
      <c r="H713" s="11" t="str">
        <f aca="false">IF(C713="","",IF(G713="","Thiếu thông tin",IF(G713&lt;6,"Trẻ em",IF(G713&lt;23,"Học sinh / Sinh viên",IF(G713&lt;60,"Đang đi làm","Nghỉ hưu")))))</f>
        <v/>
      </c>
      <c r="I713" s="6"/>
      <c r="J713" s="11" t="str">
        <f aca="false">IF(B713="","",IFERROR(INDEX('Hộ gia đình'!$B$2:$B$2000,MATCH(B713,'Hộ gia đình'!$A$2:$A$2000,0)),"Mã hộ không tồn tại"))</f>
        <v/>
      </c>
      <c r="K713" s="14"/>
      <c r="L713" s="14"/>
      <c r="M713" s="6"/>
      <c r="N713" s="6"/>
      <c r="O713" s="6"/>
      <c r="P713" s="6"/>
      <c r="Q713" s="6"/>
      <c r="R713" s="12"/>
    </row>
    <row r="714" customFormat="false" ht="15" hidden="false" customHeight="true" outlineLevel="0" collapsed="false">
      <c r="A714" s="6"/>
      <c r="B714" s="6"/>
      <c r="C714" s="6"/>
      <c r="D714" s="6"/>
      <c r="E714" s="13"/>
      <c r="F714" s="6"/>
      <c r="G714" s="11" t="str">
        <f aca="true">IF(F714="","",YEAR(TODAY())-F714)</f>
        <v/>
      </c>
      <c r="H714" s="11" t="str">
        <f aca="false">IF(C714="","",IF(G714="","Thiếu thông tin",IF(G714&lt;6,"Trẻ em",IF(G714&lt;23,"Học sinh / Sinh viên",IF(G714&lt;60,"Đang đi làm","Nghỉ hưu")))))</f>
        <v/>
      </c>
      <c r="I714" s="6"/>
      <c r="J714" s="11" t="str">
        <f aca="false">IF(B714="","",IFERROR(INDEX('Hộ gia đình'!$B$2:$B$2000,MATCH(B714,'Hộ gia đình'!$A$2:$A$2000,0)),"Mã hộ không tồn tại"))</f>
        <v/>
      </c>
      <c r="K714" s="14"/>
      <c r="L714" s="14"/>
      <c r="M714" s="6"/>
      <c r="N714" s="6"/>
      <c r="O714" s="6"/>
      <c r="P714" s="6"/>
      <c r="Q714" s="6"/>
      <c r="R714" s="12"/>
    </row>
    <row r="715" customFormat="false" ht="15" hidden="false" customHeight="true" outlineLevel="0" collapsed="false">
      <c r="A715" s="6"/>
      <c r="B715" s="6"/>
      <c r="C715" s="6"/>
      <c r="D715" s="6"/>
      <c r="E715" s="13"/>
      <c r="F715" s="6"/>
      <c r="G715" s="11" t="str">
        <f aca="true">IF(F715="","",YEAR(TODAY())-F715)</f>
        <v/>
      </c>
      <c r="H715" s="11" t="str">
        <f aca="false">IF(C715="","",IF(G715="","Thiếu thông tin",IF(G715&lt;6,"Trẻ em",IF(G715&lt;23,"Học sinh / Sinh viên",IF(G715&lt;60,"Đang đi làm","Nghỉ hưu")))))</f>
        <v/>
      </c>
      <c r="I715" s="6"/>
      <c r="J715" s="11" t="str">
        <f aca="false">IF(B715="","",IFERROR(INDEX('Hộ gia đình'!$B$2:$B$2000,MATCH(B715,'Hộ gia đình'!$A$2:$A$2000,0)),"Mã hộ không tồn tại"))</f>
        <v/>
      </c>
      <c r="K715" s="14"/>
      <c r="L715" s="14"/>
      <c r="M715" s="6"/>
      <c r="N715" s="6"/>
      <c r="O715" s="6"/>
      <c r="P715" s="6"/>
      <c r="Q715" s="6"/>
      <c r="R715" s="12"/>
    </row>
    <row r="716" customFormat="false" ht="15" hidden="false" customHeight="true" outlineLevel="0" collapsed="false">
      <c r="A716" s="6"/>
      <c r="B716" s="6"/>
      <c r="C716" s="6"/>
      <c r="D716" s="6"/>
      <c r="E716" s="13"/>
      <c r="F716" s="6"/>
      <c r="G716" s="11" t="str">
        <f aca="true">IF(F716="","",YEAR(TODAY())-F716)</f>
        <v/>
      </c>
      <c r="H716" s="11" t="str">
        <f aca="false">IF(C716="","",IF(G716="","Thiếu thông tin",IF(G716&lt;6,"Trẻ em",IF(G716&lt;23,"Học sinh / Sinh viên",IF(G716&lt;60,"Đang đi làm","Nghỉ hưu")))))</f>
        <v/>
      </c>
      <c r="I716" s="6"/>
      <c r="J716" s="11" t="str">
        <f aca="false">IF(B716="","",IFERROR(INDEX('Hộ gia đình'!$B$2:$B$2000,MATCH(B716,'Hộ gia đình'!$A$2:$A$2000,0)),"Mã hộ không tồn tại"))</f>
        <v/>
      </c>
      <c r="K716" s="14"/>
      <c r="L716" s="14"/>
      <c r="M716" s="6"/>
      <c r="N716" s="6"/>
      <c r="O716" s="6"/>
      <c r="P716" s="6"/>
      <c r="Q716" s="6"/>
      <c r="R716" s="12"/>
    </row>
    <row r="717" customFormat="false" ht="15" hidden="false" customHeight="true" outlineLevel="0" collapsed="false">
      <c r="A717" s="6"/>
      <c r="B717" s="6"/>
      <c r="C717" s="6"/>
      <c r="D717" s="6"/>
      <c r="E717" s="13"/>
      <c r="F717" s="6"/>
      <c r="G717" s="11" t="str">
        <f aca="true">IF(F717="","",YEAR(TODAY())-F717)</f>
        <v/>
      </c>
      <c r="H717" s="11" t="str">
        <f aca="false">IF(C717="","",IF(G717="","Thiếu thông tin",IF(G717&lt;6,"Trẻ em",IF(G717&lt;23,"Học sinh / Sinh viên",IF(G717&lt;60,"Đang đi làm","Nghỉ hưu")))))</f>
        <v/>
      </c>
      <c r="I717" s="6"/>
      <c r="J717" s="11" t="str">
        <f aca="false">IF(B717="","",IFERROR(INDEX('Hộ gia đình'!$B$2:$B$2000,MATCH(B717,'Hộ gia đình'!$A$2:$A$2000,0)),"Mã hộ không tồn tại"))</f>
        <v/>
      </c>
      <c r="K717" s="14"/>
      <c r="L717" s="14"/>
      <c r="M717" s="6"/>
      <c r="N717" s="6"/>
      <c r="O717" s="6"/>
      <c r="P717" s="6"/>
      <c r="Q717" s="6"/>
      <c r="R717" s="12"/>
    </row>
    <row r="718" customFormat="false" ht="15" hidden="false" customHeight="true" outlineLevel="0" collapsed="false">
      <c r="A718" s="6"/>
      <c r="B718" s="6"/>
      <c r="C718" s="6"/>
      <c r="D718" s="6"/>
      <c r="E718" s="13"/>
      <c r="F718" s="6"/>
      <c r="G718" s="11" t="str">
        <f aca="true">IF(F718="","",YEAR(TODAY())-F718)</f>
        <v/>
      </c>
      <c r="H718" s="11" t="str">
        <f aca="false">IF(C718="","",IF(G718="","Thiếu thông tin",IF(G718&lt;6,"Trẻ em",IF(G718&lt;23,"Học sinh / Sinh viên",IF(G718&lt;60,"Đang đi làm","Nghỉ hưu")))))</f>
        <v/>
      </c>
      <c r="I718" s="6"/>
      <c r="J718" s="11" t="str">
        <f aca="false">IF(B718="","",IFERROR(INDEX('Hộ gia đình'!$B$2:$B$2000,MATCH(B718,'Hộ gia đình'!$A$2:$A$2000,0)),"Mã hộ không tồn tại"))</f>
        <v/>
      </c>
      <c r="K718" s="14"/>
      <c r="L718" s="14"/>
      <c r="M718" s="6"/>
      <c r="N718" s="6"/>
      <c r="O718" s="6"/>
      <c r="P718" s="6"/>
      <c r="Q718" s="6"/>
      <c r="R718" s="12"/>
    </row>
    <row r="719" customFormat="false" ht="15" hidden="false" customHeight="true" outlineLevel="0" collapsed="false">
      <c r="A719" s="6"/>
      <c r="B719" s="6"/>
      <c r="C719" s="6"/>
      <c r="D719" s="6"/>
      <c r="E719" s="13"/>
      <c r="F719" s="6"/>
      <c r="G719" s="11" t="str">
        <f aca="true">IF(F719="","",YEAR(TODAY())-F719)</f>
        <v/>
      </c>
      <c r="H719" s="11" t="str">
        <f aca="false">IF(C719="","",IF(G719="","Thiếu thông tin",IF(G719&lt;6,"Trẻ em",IF(G719&lt;23,"Học sinh / Sinh viên",IF(G719&lt;60,"Đang đi làm","Nghỉ hưu")))))</f>
        <v/>
      </c>
      <c r="I719" s="6"/>
      <c r="J719" s="11" t="str">
        <f aca="false">IF(B719="","",IFERROR(INDEX('Hộ gia đình'!$B$2:$B$2000,MATCH(B719,'Hộ gia đình'!$A$2:$A$2000,0)),"Mã hộ không tồn tại"))</f>
        <v/>
      </c>
      <c r="K719" s="14"/>
      <c r="L719" s="14"/>
      <c r="M719" s="6"/>
      <c r="N719" s="6"/>
      <c r="O719" s="6"/>
      <c r="P719" s="6"/>
      <c r="Q719" s="6"/>
      <c r="R719" s="12"/>
    </row>
    <row r="720" customFormat="false" ht="15" hidden="false" customHeight="true" outlineLevel="0" collapsed="false">
      <c r="A720" s="6"/>
      <c r="B720" s="6"/>
      <c r="C720" s="6"/>
      <c r="D720" s="6"/>
      <c r="E720" s="13"/>
      <c r="F720" s="6"/>
      <c r="G720" s="11" t="str">
        <f aca="true">IF(F720="","",YEAR(TODAY())-F720)</f>
        <v/>
      </c>
      <c r="H720" s="11" t="str">
        <f aca="false">IF(C720="","",IF(G720="","Thiếu thông tin",IF(G720&lt;6,"Trẻ em",IF(G720&lt;23,"Học sinh / Sinh viên",IF(G720&lt;60,"Đang đi làm","Nghỉ hưu")))))</f>
        <v/>
      </c>
      <c r="I720" s="6"/>
      <c r="J720" s="11" t="str">
        <f aca="false">IF(B720="","",IFERROR(INDEX('Hộ gia đình'!$B$2:$B$2000,MATCH(B720,'Hộ gia đình'!$A$2:$A$2000,0)),"Mã hộ không tồn tại"))</f>
        <v/>
      </c>
      <c r="K720" s="14"/>
      <c r="L720" s="14"/>
      <c r="M720" s="6"/>
      <c r="N720" s="6"/>
      <c r="O720" s="6"/>
      <c r="P720" s="6"/>
      <c r="Q720" s="6"/>
      <c r="R720" s="12"/>
    </row>
    <row r="721" customFormat="false" ht="15" hidden="false" customHeight="true" outlineLevel="0" collapsed="false">
      <c r="A721" s="6"/>
      <c r="B721" s="6"/>
      <c r="C721" s="6"/>
      <c r="D721" s="6"/>
      <c r="E721" s="13"/>
      <c r="F721" s="6"/>
      <c r="G721" s="11" t="str">
        <f aca="true">IF(F721="","",YEAR(TODAY())-F721)</f>
        <v/>
      </c>
      <c r="H721" s="11" t="str">
        <f aca="false">IF(C721="","",IF(G721="","Thiếu thông tin",IF(G721&lt;6,"Trẻ em",IF(G721&lt;23,"Học sinh / Sinh viên",IF(G721&lt;60,"Đang đi làm","Nghỉ hưu")))))</f>
        <v/>
      </c>
      <c r="I721" s="6"/>
      <c r="J721" s="11" t="str">
        <f aca="false">IF(B721="","",IFERROR(INDEX('Hộ gia đình'!$B$2:$B$2000,MATCH(B721,'Hộ gia đình'!$A$2:$A$2000,0)),"Mã hộ không tồn tại"))</f>
        <v/>
      </c>
      <c r="K721" s="14"/>
      <c r="L721" s="14"/>
      <c r="M721" s="6"/>
      <c r="N721" s="6"/>
      <c r="O721" s="6"/>
      <c r="P721" s="6"/>
      <c r="Q721" s="6"/>
      <c r="R721" s="12"/>
    </row>
    <row r="722" customFormat="false" ht="15" hidden="false" customHeight="true" outlineLevel="0" collapsed="false">
      <c r="A722" s="6"/>
      <c r="B722" s="6"/>
      <c r="C722" s="6"/>
      <c r="D722" s="6"/>
      <c r="E722" s="13"/>
      <c r="F722" s="6"/>
      <c r="G722" s="11" t="str">
        <f aca="true">IF(F722="","",YEAR(TODAY())-F722)</f>
        <v/>
      </c>
      <c r="H722" s="11" t="str">
        <f aca="false">IF(C722="","",IF(G722="","Thiếu thông tin",IF(G722&lt;6,"Trẻ em",IF(G722&lt;23,"Học sinh / Sinh viên",IF(G722&lt;60,"Đang đi làm","Nghỉ hưu")))))</f>
        <v/>
      </c>
      <c r="I722" s="6"/>
      <c r="J722" s="11" t="str">
        <f aca="false">IF(B722="","",IFERROR(INDEX('Hộ gia đình'!$B$2:$B$2000,MATCH(B722,'Hộ gia đình'!$A$2:$A$2000,0)),"Mã hộ không tồn tại"))</f>
        <v/>
      </c>
      <c r="K722" s="14"/>
      <c r="L722" s="14"/>
      <c r="M722" s="6"/>
      <c r="N722" s="6"/>
      <c r="O722" s="6"/>
      <c r="P722" s="6"/>
      <c r="Q722" s="6"/>
      <c r="R722" s="12"/>
    </row>
    <row r="723" customFormat="false" ht="15" hidden="false" customHeight="true" outlineLevel="0" collapsed="false">
      <c r="A723" s="6"/>
      <c r="B723" s="6"/>
      <c r="C723" s="6"/>
      <c r="D723" s="6"/>
      <c r="E723" s="13"/>
      <c r="F723" s="6"/>
      <c r="G723" s="11" t="str">
        <f aca="true">IF(F723="","",YEAR(TODAY())-F723)</f>
        <v/>
      </c>
      <c r="H723" s="11" t="str">
        <f aca="false">IF(C723="","",IF(G723="","Thiếu thông tin",IF(G723&lt;6,"Trẻ em",IF(G723&lt;23,"Học sinh / Sinh viên",IF(G723&lt;60,"Đang đi làm","Nghỉ hưu")))))</f>
        <v/>
      </c>
      <c r="I723" s="6"/>
      <c r="J723" s="11" t="str">
        <f aca="false">IF(B723="","",IFERROR(INDEX('Hộ gia đình'!$B$2:$B$2000,MATCH(B723,'Hộ gia đình'!$A$2:$A$2000,0)),"Mã hộ không tồn tại"))</f>
        <v/>
      </c>
      <c r="K723" s="14"/>
      <c r="L723" s="14"/>
      <c r="M723" s="6"/>
      <c r="N723" s="6"/>
      <c r="O723" s="6"/>
      <c r="P723" s="6"/>
      <c r="Q723" s="6"/>
      <c r="R723" s="12"/>
    </row>
    <row r="724" customFormat="false" ht="15" hidden="false" customHeight="true" outlineLevel="0" collapsed="false">
      <c r="A724" s="6"/>
      <c r="B724" s="6"/>
      <c r="C724" s="6"/>
      <c r="D724" s="6"/>
      <c r="E724" s="13"/>
      <c r="F724" s="6"/>
      <c r="G724" s="11" t="str">
        <f aca="true">IF(F724="","",YEAR(TODAY())-F724)</f>
        <v/>
      </c>
      <c r="H724" s="11" t="str">
        <f aca="false">IF(C724="","",IF(G724="","Thiếu thông tin",IF(G724&lt;6,"Trẻ em",IF(G724&lt;23,"Học sinh / Sinh viên",IF(G724&lt;60,"Đang đi làm","Nghỉ hưu")))))</f>
        <v/>
      </c>
      <c r="I724" s="6"/>
      <c r="J724" s="11" t="str">
        <f aca="false">IF(B724="","",IFERROR(INDEX('Hộ gia đình'!$B$2:$B$2000,MATCH(B724,'Hộ gia đình'!$A$2:$A$2000,0)),"Mã hộ không tồn tại"))</f>
        <v/>
      </c>
      <c r="K724" s="14"/>
      <c r="L724" s="14"/>
      <c r="M724" s="6"/>
      <c r="N724" s="6"/>
      <c r="O724" s="6"/>
      <c r="P724" s="6"/>
      <c r="Q724" s="6"/>
      <c r="R724" s="12"/>
    </row>
    <row r="725" customFormat="false" ht="15" hidden="false" customHeight="true" outlineLevel="0" collapsed="false">
      <c r="A725" s="6"/>
      <c r="B725" s="6"/>
      <c r="C725" s="6"/>
      <c r="D725" s="6"/>
      <c r="E725" s="13"/>
      <c r="F725" s="6"/>
      <c r="G725" s="11" t="str">
        <f aca="true">IF(F725="","",YEAR(TODAY())-F725)</f>
        <v/>
      </c>
      <c r="H725" s="11" t="str">
        <f aca="false">IF(C725="","",IF(G725="","Thiếu thông tin",IF(G725&lt;6,"Trẻ em",IF(G725&lt;23,"Học sinh / Sinh viên",IF(G725&lt;60,"Đang đi làm","Nghỉ hưu")))))</f>
        <v/>
      </c>
      <c r="I725" s="6"/>
      <c r="J725" s="11" t="str">
        <f aca="false">IF(B725="","",IFERROR(INDEX('Hộ gia đình'!$B$2:$B$2000,MATCH(B725,'Hộ gia đình'!$A$2:$A$2000,0)),"Mã hộ không tồn tại"))</f>
        <v/>
      </c>
      <c r="K725" s="14"/>
      <c r="L725" s="14"/>
      <c r="M725" s="6"/>
      <c r="N725" s="6"/>
      <c r="O725" s="6"/>
      <c r="P725" s="6"/>
      <c r="Q725" s="6"/>
      <c r="R725" s="12"/>
    </row>
    <row r="726" customFormat="false" ht="15" hidden="false" customHeight="true" outlineLevel="0" collapsed="false">
      <c r="A726" s="6"/>
      <c r="B726" s="6"/>
      <c r="C726" s="6"/>
      <c r="D726" s="6"/>
      <c r="E726" s="13"/>
      <c r="F726" s="6"/>
      <c r="G726" s="11" t="str">
        <f aca="true">IF(F726="","",YEAR(TODAY())-F726)</f>
        <v/>
      </c>
      <c r="H726" s="11" t="str">
        <f aca="false">IF(C726="","",IF(G726="","Thiếu thông tin",IF(G726&lt;6,"Trẻ em",IF(G726&lt;23,"Học sinh / Sinh viên",IF(G726&lt;60,"Đang đi làm","Nghỉ hưu")))))</f>
        <v/>
      </c>
      <c r="I726" s="6"/>
      <c r="J726" s="11" t="str">
        <f aca="false">IF(B726="","",IFERROR(INDEX('Hộ gia đình'!$B$2:$B$2000,MATCH(B726,'Hộ gia đình'!$A$2:$A$2000,0)),"Mã hộ không tồn tại"))</f>
        <v/>
      </c>
      <c r="K726" s="14"/>
      <c r="L726" s="14"/>
      <c r="M726" s="6"/>
      <c r="N726" s="6"/>
      <c r="O726" s="6"/>
      <c r="P726" s="6"/>
      <c r="Q726" s="6"/>
      <c r="R726" s="12"/>
    </row>
    <row r="727" customFormat="false" ht="15" hidden="false" customHeight="true" outlineLevel="0" collapsed="false">
      <c r="A727" s="6"/>
      <c r="B727" s="6"/>
      <c r="C727" s="6"/>
      <c r="D727" s="6"/>
      <c r="E727" s="13"/>
      <c r="F727" s="6"/>
      <c r="G727" s="11" t="str">
        <f aca="true">IF(F727="","",YEAR(TODAY())-F727)</f>
        <v/>
      </c>
      <c r="H727" s="11" t="str">
        <f aca="false">IF(C727="","",IF(G727="","Thiếu thông tin",IF(G727&lt;6,"Trẻ em",IF(G727&lt;23,"Học sinh / Sinh viên",IF(G727&lt;60,"Đang đi làm","Nghỉ hưu")))))</f>
        <v/>
      </c>
      <c r="I727" s="6"/>
      <c r="J727" s="11" t="str">
        <f aca="false">IF(B727="","",IFERROR(INDEX('Hộ gia đình'!$B$2:$B$2000,MATCH(B727,'Hộ gia đình'!$A$2:$A$2000,0)),"Mã hộ không tồn tại"))</f>
        <v/>
      </c>
      <c r="K727" s="14"/>
      <c r="L727" s="14"/>
      <c r="M727" s="6"/>
      <c r="N727" s="6"/>
      <c r="O727" s="6"/>
      <c r="P727" s="6"/>
      <c r="Q727" s="6"/>
      <c r="R727" s="12"/>
    </row>
    <row r="728" customFormat="false" ht="15" hidden="false" customHeight="true" outlineLevel="0" collapsed="false">
      <c r="A728" s="6"/>
      <c r="B728" s="6"/>
      <c r="C728" s="6"/>
      <c r="D728" s="6"/>
      <c r="E728" s="13"/>
      <c r="F728" s="6"/>
      <c r="G728" s="11" t="str">
        <f aca="true">IF(F728="","",YEAR(TODAY())-F728)</f>
        <v/>
      </c>
      <c r="H728" s="11" t="str">
        <f aca="false">IF(C728="","",IF(G728="","Thiếu thông tin",IF(G728&lt;6,"Trẻ em",IF(G728&lt;23,"Học sinh / Sinh viên",IF(G728&lt;60,"Đang đi làm","Nghỉ hưu")))))</f>
        <v/>
      </c>
      <c r="I728" s="6"/>
      <c r="J728" s="11" t="str">
        <f aca="false">IF(B728="","",IFERROR(INDEX('Hộ gia đình'!$B$2:$B$2000,MATCH(B728,'Hộ gia đình'!$A$2:$A$2000,0)),"Mã hộ không tồn tại"))</f>
        <v/>
      </c>
      <c r="K728" s="14"/>
      <c r="L728" s="14"/>
      <c r="M728" s="6"/>
      <c r="N728" s="6"/>
      <c r="O728" s="6"/>
      <c r="P728" s="6"/>
      <c r="Q728" s="6"/>
      <c r="R728" s="12"/>
    </row>
    <row r="729" customFormat="false" ht="15" hidden="false" customHeight="true" outlineLevel="0" collapsed="false">
      <c r="A729" s="6"/>
      <c r="B729" s="6"/>
      <c r="C729" s="6"/>
      <c r="D729" s="6"/>
      <c r="E729" s="13"/>
      <c r="F729" s="6"/>
      <c r="G729" s="11" t="str">
        <f aca="true">IF(F729="","",YEAR(TODAY())-F729)</f>
        <v/>
      </c>
      <c r="H729" s="11" t="str">
        <f aca="false">IF(C729="","",IF(G729="","Thiếu thông tin",IF(G729&lt;6,"Trẻ em",IF(G729&lt;23,"Học sinh / Sinh viên",IF(G729&lt;60,"Đang đi làm","Nghỉ hưu")))))</f>
        <v/>
      </c>
      <c r="I729" s="6"/>
      <c r="J729" s="11" t="str">
        <f aca="false">IF(B729="","",IFERROR(INDEX('Hộ gia đình'!$B$2:$B$2000,MATCH(B729,'Hộ gia đình'!$A$2:$A$2000,0)),"Mã hộ không tồn tại"))</f>
        <v/>
      </c>
      <c r="K729" s="14"/>
      <c r="L729" s="14"/>
      <c r="M729" s="6"/>
      <c r="N729" s="6"/>
      <c r="O729" s="6"/>
      <c r="P729" s="6"/>
      <c r="Q729" s="6"/>
      <c r="R729" s="12"/>
    </row>
    <row r="730" customFormat="false" ht="15" hidden="false" customHeight="true" outlineLevel="0" collapsed="false">
      <c r="A730" s="6"/>
      <c r="B730" s="6"/>
      <c r="C730" s="6"/>
      <c r="D730" s="6"/>
      <c r="E730" s="13"/>
      <c r="F730" s="6"/>
      <c r="G730" s="11" t="str">
        <f aca="true">IF(F730="","",YEAR(TODAY())-F730)</f>
        <v/>
      </c>
      <c r="H730" s="11" t="str">
        <f aca="false">IF(C730="","",IF(G730="","Thiếu thông tin",IF(G730&lt;6,"Trẻ em",IF(G730&lt;23,"Học sinh / Sinh viên",IF(G730&lt;60,"Đang đi làm","Nghỉ hưu")))))</f>
        <v/>
      </c>
      <c r="I730" s="6"/>
      <c r="J730" s="11" t="str">
        <f aca="false">IF(B730="","",IFERROR(INDEX('Hộ gia đình'!$B$2:$B$2000,MATCH(B730,'Hộ gia đình'!$A$2:$A$2000,0)),"Mã hộ không tồn tại"))</f>
        <v/>
      </c>
      <c r="K730" s="14"/>
      <c r="L730" s="14"/>
      <c r="M730" s="6"/>
      <c r="N730" s="6"/>
      <c r="O730" s="6"/>
      <c r="P730" s="6"/>
      <c r="Q730" s="6"/>
      <c r="R730" s="12"/>
    </row>
    <row r="731" customFormat="false" ht="15" hidden="false" customHeight="true" outlineLevel="0" collapsed="false">
      <c r="A731" s="6"/>
      <c r="B731" s="6"/>
      <c r="C731" s="6"/>
      <c r="D731" s="6"/>
      <c r="E731" s="13"/>
      <c r="F731" s="6"/>
      <c r="G731" s="11" t="str">
        <f aca="true">IF(F731="","",YEAR(TODAY())-F731)</f>
        <v/>
      </c>
      <c r="H731" s="11" t="str">
        <f aca="false">IF(C731="","",IF(G731="","Thiếu thông tin",IF(G731&lt;6,"Trẻ em",IF(G731&lt;23,"Học sinh / Sinh viên",IF(G731&lt;60,"Đang đi làm","Nghỉ hưu")))))</f>
        <v/>
      </c>
      <c r="I731" s="6"/>
      <c r="J731" s="11" t="str">
        <f aca="false">IF(B731="","",IFERROR(INDEX('Hộ gia đình'!$B$2:$B$2000,MATCH(B731,'Hộ gia đình'!$A$2:$A$2000,0)),"Mã hộ không tồn tại"))</f>
        <v/>
      </c>
      <c r="K731" s="14"/>
      <c r="L731" s="14"/>
      <c r="M731" s="6"/>
      <c r="N731" s="6"/>
      <c r="O731" s="6"/>
      <c r="P731" s="6"/>
      <c r="Q731" s="6"/>
      <c r="R731" s="12"/>
    </row>
    <row r="732" customFormat="false" ht="15" hidden="false" customHeight="true" outlineLevel="0" collapsed="false">
      <c r="A732" s="6"/>
      <c r="B732" s="6"/>
      <c r="C732" s="6"/>
      <c r="D732" s="6"/>
      <c r="E732" s="13"/>
      <c r="F732" s="6"/>
      <c r="G732" s="11" t="str">
        <f aca="true">IF(F732="","",YEAR(TODAY())-F732)</f>
        <v/>
      </c>
      <c r="H732" s="11" t="str">
        <f aca="false">IF(C732="","",IF(G732="","Thiếu thông tin",IF(G732&lt;6,"Trẻ em",IF(G732&lt;23,"Học sinh / Sinh viên",IF(G732&lt;60,"Đang đi làm","Nghỉ hưu")))))</f>
        <v/>
      </c>
      <c r="I732" s="6"/>
      <c r="J732" s="11" t="str">
        <f aca="false">IF(B732="","",IFERROR(INDEX('Hộ gia đình'!$B$2:$B$2000,MATCH(B732,'Hộ gia đình'!$A$2:$A$2000,0)),"Mã hộ không tồn tại"))</f>
        <v/>
      </c>
      <c r="K732" s="14"/>
      <c r="L732" s="14"/>
      <c r="M732" s="6"/>
      <c r="N732" s="6"/>
      <c r="O732" s="6"/>
      <c r="P732" s="6"/>
      <c r="Q732" s="6"/>
      <c r="R732" s="12"/>
    </row>
    <row r="733" customFormat="false" ht="15" hidden="false" customHeight="true" outlineLevel="0" collapsed="false">
      <c r="A733" s="6"/>
      <c r="B733" s="6"/>
      <c r="C733" s="6"/>
      <c r="D733" s="6"/>
      <c r="E733" s="13"/>
      <c r="F733" s="6"/>
      <c r="G733" s="11" t="str">
        <f aca="true">IF(F733="","",YEAR(TODAY())-F733)</f>
        <v/>
      </c>
      <c r="H733" s="11" t="str">
        <f aca="false">IF(C733="","",IF(G733="","Thiếu thông tin",IF(G733&lt;6,"Trẻ em",IF(G733&lt;23,"Học sinh / Sinh viên",IF(G733&lt;60,"Đang đi làm","Nghỉ hưu")))))</f>
        <v/>
      </c>
      <c r="I733" s="6"/>
      <c r="J733" s="11" t="str">
        <f aca="false">IF(B733="","",IFERROR(INDEX('Hộ gia đình'!$B$2:$B$2000,MATCH(B733,'Hộ gia đình'!$A$2:$A$2000,0)),"Mã hộ không tồn tại"))</f>
        <v/>
      </c>
      <c r="K733" s="14"/>
      <c r="L733" s="14"/>
      <c r="M733" s="6"/>
      <c r="N733" s="6"/>
      <c r="O733" s="6"/>
      <c r="P733" s="6"/>
      <c r="Q733" s="6"/>
      <c r="R733" s="12"/>
    </row>
    <row r="734" customFormat="false" ht="15" hidden="false" customHeight="true" outlineLevel="0" collapsed="false">
      <c r="A734" s="6"/>
      <c r="B734" s="6"/>
      <c r="C734" s="6"/>
      <c r="D734" s="6"/>
      <c r="E734" s="13"/>
      <c r="F734" s="6"/>
      <c r="G734" s="11" t="str">
        <f aca="true">IF(F734="","",YEAR(TODAY())-F734)</f>
        <v/>
      </c>
      <c r="H734" s="11" t="str">
        <f aca="false">IF(C734="","",IF(G734="","Thiếu thông tin",IF(G734&lt;6,"Trẻ em",IF(G734&lt;23,"Học sinh / Sinh viên",IF(G734&lt;60,"Đang đi làm","Nghỉ hưu")))))</f>
        <v/>
      </c>
      <c r="I734" s="6"/>
      <c r="J734" s="11" t="str">
        <f aca="false">IF(B734="","",IFERROR(INDEX('Hộ gia đình'!$B$2:$B$2000,MATCH(B734,'Hộ gia đình'!$A$2:$A$2000,0)),"Mã hộ không tồn tại"))</f>
        <v/>
      </c>
      <c r="K734" s="14"/>
      <c r="L734" s="14"/>
      <c r="M734" s="6"/>
      <c r="N734" s="6"/>
      <c r="O734" s="6"/>
      <c r="P734" s="6"/>
      <c r="Q734" s="6"/>
      <c r="R734" s="12"/>
    </row>
    <row r="735" customFormat="false" ht="15" hidden="false" customHeight="true" outlineLevel="0" collapsed="false">
      <c r="A735" s="6"/>
      <c r="B735" s="6"/>
      <c r="C735" s="6"/>
      <c r="D735" s="6"/>
      <c r="E735" s="13"/>
      <c r="F735" s="6"/>
      <c r="G735" s="11" t="str">
        <f aca="true">IF(F735="","",YEAR(TODAY())-F735)</f>
        <v/>
      </c>
      <c r="H735" s="11" t="str">
        <f aca="false">IF(C735="","",IF(G735="","Thiếu thông tin",IF(G735&lt;6,"Trẻ em",IF(G735&lt;23,"Học sinh / Sinh viên",IF(G735&lt;60,"Đang đi làm","Nghỉ hưu")))))</f>
        <v/>
      </c>
      <c r="I735" s="6"/>
      <c r="J735" s="11" t="str">
        <f aca="false">IF(B735="","",IFERROR(INDEX('Hộ gia đình'!$B$2:$B$2000,MATCH(B735,'Hộ gia đình'!$A$2:$A$2000,0)),"Mã hộ không tồn tại"))</f>
        <v/>
      </c>
      <c r="K735" s="14"/>
      <c r="L735" s="14"/>
      <c r="M735" s="6"/>
      <c r="N735" s="6"/>
      <c r="O735" s="6"/>
      <c r="P735" s="6"/>
      <c r="Q735" s="6"/>
      <c r="R735" s="12"/>
    </row>
    <row r="736" customFormat="false" ht="15" hidden="false" customHeight="true" outlineLevel="0" collapsed="false">
      <c r="A736" s="6"/>
      <c r="B736" s="6"/>
      <c r="C736" s="6"/>
      <c r="D736" s="6"/>
      <c r="E736" s="13"/>
      <c r="F736" s="6"/>
      <c r="G736" s="11" t="str">
        <f aca="true">IF(F736="","",YEAR(TODAY())-F736)</f>
        <v/>
      </c>
      <c r="H736" s="11" t="str">
        <f aca="false">IF(C736="","",IF(G736="","Thiếu thông tin",IF(G736&lt;6,"Trẻ em",IF(G736&lt;23,"Học sinh / Sinh viên",IF(G736&lt;60,"Đang đi làm","Nghỉ hưu")))))</f>
        <v/>
      </c>
      <c r="I736" s="6"/>
      <c r="J736" s="11" t="str">
        <f aca="false">IF(B736="","",IFERROR(INDEX('Hộ gia đình'!$B$2:$B$2000,MATCH(B736,'Hộ gia đình'!$A$2:$A$2000,0)),"Mã hộ không tồn tại"))</f>
        <v/>
      </c>
      <c r="K736" s="14"/>
      <c r="L736" s="14"/>
      <c r="M736" s="6"/>
      <c r="N736" s="6"/>
      <c r="O736" s="6"/>
      <c r="P736" s="6"/>
      <c r="Q736" s="6"/>
      <c r="R736" s="12"/>
    </row>
    <row r="737" customFormat="false" ht="15" hidden="false" customHeight="true" outlineLevel="0" collapsed="false">
      <c r="A737" s="6"/>
      <c r="B737" s="6"/>
      <c r="C737" s="6"/>
      <c r="D737" s="6"/>
      <c r="E737" s="13"/>
      <c r="F737" s="6"/>
      <c r="G737" s="11" t="str">
        <f aca="true">IF(F737="","",YEAR(TODAY())-F737)</f>
        <v/>
      </c>
      <c r="H737" s="11" t="str">
        <f aca="false">IF(C737="","",IF(G737="","Thiếu thông tin",IF(G737&lt;6,"Trẻ em",IF(G737&lt;23,"Học sinh / Sinh viên",IF(G737&lt;60,"Đang đi làm","Nghỉ hưu")))))</f>
        <v/>
      </c>
      <c r="I737" s="6"/>
      <c r="J737" s="11" t="str">
        <f aca="false">IF(B737="","",IFERROR(INDEX('Hộ gia đình'!$B$2:$B$2000,MATCH(B737,'Hộ gia đình'!$A$2:$A$2000,0)),"Mã hộ không tồn tại"))</f>
        <v/>
      </c>
      <c r="K737" s="14"/>
      <c r="L737" s="14"/>
      <c r="M737" s="6"/>
      <c r="N737" s="6"/>
      <c r="O737" s="6"/>
      <c r="P737" s="6"/>
      <c r="Q737" s="6"/>
      <c r="R737" s="12"/>
    </row>
    <row r="738" customFormat="false" ht="15" hidden="false" customHeight="true" outlineLevel="0" collapsed="false">
      <c r="A738" s="6"/>
      <c r="B738" s="6"/>
      <c r="C738" s="6"/>
      <c r="D738" s="6"/>
      <c r="E738" s="13"/>
      <c r="F738" s="6"/>
      <c r="G738" s="11" t="str">
        <f aca="true">IF(F738="","",YEAR(TODAY())-F738)</f>
        <v/>
      </c>
      <c r="H738" s="11" t="str">
        <f aca="false">IF(C738="","",IF(G738="","Thiếu thông tin",IF(G738&lt;6,"Trẻ em",IF(G738&lt;23,"Học sinh / Sinh viên",IF(G738&lt;60,"Đang đi làm","Nghỉ hưu")))))</f>
        <v/>
      </c>
      <c r="I738" s="6"/>
      <c r="J738" s="11" t="str">
        <f aca="false">IF(B738="","",IFERROR(INDEX('Hộ gia đình'!$B$2:$B$2000,MATCH(B738,'Hộ gia đình'!$A$2:$A$2000,0)),"Mã hộ không tồn tại"))</f>
        <v/>
      </c>
      <c r="K738" s="14"/>
      <c r="L738" s="14"/>
      <c r="M738" s="6"/>
      <c r="N738" s="6"/>
      <c r="O738" s="6"/>
      <c r="P738" s="6"/>
      <c r="Q738" s="6"/>
      <c r="R738" s="12"/>
    </row>
    <row r="739" customFormat="false" ht="15" hidden="false" customHeight="true" outlineLevel="0" collapsed="false">
      <c r="A739" s="6"/>
      <c r="B739" s="6"/>
      <c r="C739" s="6"/>
      <c r="D739" s="6"/>
      <c r="E739" s="13"/>
      <c r="F739" s="6"/>
      <c r="G739" s="11" t="str">
        <f aca="true">IF(F739="","",YEAR(TODAY())-F739)</f>
        <v/>
      </c>
      <c r="H739" s="11" t="str">
        <f aca="false">IF(C739="","",IF(G739="","Thiếu thông tin",IF(G739&lt;6,"Trẻ em",IF(G739&lt;23,"Học sinh / Sinh viên",IF(G739&lt;60,"Đang đi làm","Nghỉ hưu")))))</f>
        <v/>
      </c>
      <c r="I739" s="6"/>
      <c r="J739" s="11" t="str">
        <f aca="false">IF(B739="","",IFERROR(INDEX('Hộ gia đình'!$B$2:$B$2000,MATCH(B739,'Hộ gia đình'!$A$2:$A$2000,0)),"Mã hộ không tồn tại"))</f>
        <v/>
      </c>
      <c r="K739" s="14"/>
      <c r="L739" s="14"/>
      <c r="M739" s="6"/>
      <c r="N739" s="6"/>
      <c r="O739" s="6"/>
      <c r="P739" s="6"/>
      <c r="Q739" s="6"/>
      <c r="R739" s="12"/>
    </row>
    <row r="740" customFormat="false" ht="15" hidden="false" customHeight="true" outlineLevel="0" collapsed="false">
      <c r="A740" s="6"/>
      <c r="B740" s="6"/>
      <c r="C740" s="6"/>
      <c r="D740" s="6"/>
      <c r="E740" s="13"/>
      <c r="F740" s="6"/>
      <c r="G740" s="11" t="str">
        <f aca="true">IF(F740="","",YEAR(TODAY())-F740)</f>
        <v/>
      </c>
      <c r="H740" s="11" t="str">
        <f aca="false">IF(C740="","",IF(G740="","Thiếu thông tin",IF(G740&lt;6,"Trẻ em",IF(G740&lt;23,"Học sinh / Sinh viên",IF(G740&lt;60,"Đang đi làm","Nghỉ hưu")))))</f>
        <v/>
      </c>
      <c r="I740" s="6"/>
      <c r="J740" s="11" t="str">
        <f aca="false">IF(B740="","",IFERROR(INDEX('Hộ gia đình'!$B$2:$B$2000,MATCH(B740,'Hộ gia đình'!$A$2:$A$2000,0)),"Mã hộ không tồn tại"))</f>
        <v/>
      </c>
      <c r="K740" s="14"/>
      <c r="L740" s="14"/>
      <c r="M740" s="6"/>
      <c r="N740" s="6"/>
      <c r="O740" s="6"/>
      <c r="P740" s="6"/>
      <c r="Q740" s="6"/>
      <c r="R740" s="12"/>
    </row>
    <row r="741" customFormat="false" ht="15" hidden="false" customHeight="true" outlineLevel="0" collapsed="false">
      <c r="A741" s="6"/>
      <c r="B741" s="6"/>
      <c r="C741" s="6"/>
      <c r="D741" s="6"/>
      <c r="E741" s="13"/>
      <c r="F741" s="6"/>
      <c r="G741" s="11" t="str">
        <f aca="true">IF(F741="","",YEAR(TODAY())-F741)</f>
        <v/>
      </c>
      <c r="H741" s="11" t="str">
        <f aca="false">IF(C741="","",IF(G741="","Thiếu thông tin",IF(G741&lt;6,"Trẻ em",IF(G741&lt;23,"Học sinh / Sinh viên",IF(G741&lt;60,"Đang đi làm","Nghỉ hưu")))))</f>
        <v/>
      </c>
      <c r="I741" s="6"/>
      <c r="J741" s="11" t="str">
        <f aca="false">IF(B741="","",IFERROR(INDEX('Hộ gia đình'!$B$2:$B$2000,MATCH(B741,'Hộ gia đình'!$A$2:$A$2000,0)),"Mã hộ không tồn tại"))</f>
        <v/>
      </c>
      <c r="K741" s="14"/>
      <c r="L741" s="14"/>
      <c r="M741" s="6"/>
      <c r="N741" s="6"/>
      <c r="O741" s="6"/>
      <c r="P741" s="6"/>
      <c r="Q741" s="6"/>
      <c r="R741" s="12"/>
    </row>
    <row r="742" customFormat="false" ht="15" hidden="false" customHeight="true" outlineLevel="0" collapsed="false">
      <c r="A742" s="6"/>
      <c r="B742" s="6"/>
      <c r="C742" s="6"/>
      <c r="D742" s="6"/>
      <c r="E742" s="13"/>
      <c r="F742" s="6"/>
      <c r="G742" s="11" t="str">
        <f aca="true">IF(F742="","",YEAR(TODAY())-F742)</f>
        <v/>
      </c>
      <c r="H742" s="11" t="str">
        <f aca="false">IF(C742="","",IF(G742="","Thiếu thông tin",IF(G742&lt;6,"Trẻ em",IF(G742&lt;23,"Học sinh / Sinh viên",IF(G742&lt;60,"Đang đi làm","Nghỉ hưu")))))</f>
        <v/>
      </c>
      <c r="I742" s="6"/>
      <c r="J742" s="11" t="str">
        <f aca="false">IF(B742="","",IFERROR(INDEX('Hộ gia đình'!$B$2:$B$2000,MATCH(B742,'Hộ gia đình'!$A$2:$A$2000,0)),"Mã hộ không tồn tại"))</f>
        <v/>
      </c>
      <c r="K742" s="14"/>
      <c r="L742" s="14"/>
      <c r="M742" s="6"/>
      <c r="N742" s="6"/>
      <c r="O742" s="6"/>
      <c r="P742" s="6"/>
      <c r="Q742" s="6"/>
      <c r="R742" s="12"/>
    </row>
    <row r="743" customFormat="false" ht="15" hidden="false" customHeight="true" outlineLevel="0" collapsed="false">
      <c r="A743" s="6"/>
      <c r="B743" s="6"/>
      <c r="C743" s="6"/>
      <c r="D743" s="6"/>
      <c r="E743" s="13"/>
      <c r="F743" s="6"/>
      <c r="G743" s="11" t="str">
        <f aca="true">IF(F743="","",YEAR(TODAY())-F743)</f>
        <v/>
      </c>
      <c r="H743" s="11" t="str">
        <f aca="false">IF(C743="","",IF(G743="","Thiếu thông tin",IF(G743&lt;6,"Trẻ em",IF(G743&lt;23,"Học sinh / Sinh viên",IF(G743&lt;60,"Đang đi làm","Nghỉ hưu")))))</f>
        <v/>
      </c>
      <c r="I743" s="6"/>
      <c r="J743" s="11" t="str">
        <f aca="false">IF(B743="","",IFERROR(INDEX('Hộ gia đình'!$B$2:$B$2000,MATCH(B743,'Hộ gia đình'!$A$2:$A$2000,0)),"Mã hộ không tồn tại"))</f>
        <v/>
      </c>
      <c r="K743" s="14"/>
      <c r="L743" s="14"/>
      <c r="M743" s="6"/>
      <c r="N743" s="6"/>
      <c r="O743" s="6"/>
      <c r="P743" s="6"/>
      <c r="Q743" s="6"/>
      <c r="R743" s="12"/>
    </row>
    <row r="744" customFormat="false" ht="15" hidden="false" customHeight="true" outlineLevel="0" collapsed="false">
      <c r="A744" s="6"/>
      <c r="B744" s="6"/>
      <c r="C744" s="6"/>
      <c r="D744" s="6"/>
      <c r="E744" s="13"/>
      <c r="F744" s="6"/>
      <c r="G744" s="11" t="str">
        <f aca="true">IF(F744="","",YEAR(TODAY())-F744)</f>
        <v/>
      </c>
      <c r="H744" s="11" t="str">
        <f aca="false">IF(C744="","",IF(G744="","Thiếu thông tin",IF(G744&lt;6,"Trẻ em",IF(G744&lt;23,"Học sinh / Sinh viên",IF(G744&lt;60,"Đang đi làm","Nghỉ hưu")))))</f>
        <v/>
      </c>
      <c r="I744" s="6"/>
      <c r="J744" s="11" t="str">
        <f aca="false">IF(B744="","",IFERROR(INDEX('Hộ gia đình'!$B$2:$B$2000,MATCH(B744,'Hộ gia đình'!$A$2:$A$2000,0)),"Mã hộ không tồn tại"))</f>
        <v/>
      </c>
      <c r="K744" s="14"/>
      <c r="L744" s="14"/>
      <c r="M744" s="6"/>
      <c r="N744" s="6"/>
      <c r="O744" s="6"/>
      <c r="P744" s="6"/>
      <c r="Q744" s="6"/>
      <c r="R744" s="12"/>
    </row>
    <row r="745" customFormat="false" ht="15" hidden="false" customHeight="true" outlineLevel="0" collapsed="false">
      <c r="A745" s="6"/>
      <c r="B745" s="6"/>
      <c r="C745" s="6"/>
      <c r="D745" s="6"/>
      <c r="E745" s="13"/>
      <c r="F745" s="6"/>
      <c r="G745" s="11" t="str">
        <f aca="true">IF(F745="","",YEAR(TODAY())-F745)</f>
        <v/>
      </c>
      <c r="H745" s="11" t="str">
        <f aca="false">IF(C745="","",IF(G745="","Thiếu thông tin",IF(G745&lt;6,"Trẻ em",IF(G745&lt;23,"Học sinh / Sinh viên",IF(G745&lt;60,"Đang đi làm","Nghỉ hưu")))))</f>
        <v/>
      </c>
      <c r="I745" s="6"/>
      <c r="J745" s="11" t="str">
        <f aca="false">IF(B745="","",IFERROR(INDEX('Hộ gia đình'!$B$2:$B$2000,MATCH(B745,'Hộ gia đình'!$A$2:$A$2000,0)),"Mã hộ không tồn tại"))</f>
        <v/>
      </c>
      <c r="K745" s="14"/>
      <c r="L745" s="14"/>
      <c r="M745" s="6"/>
      <c r="N745" s="6"/>
      <c r="O745" s="6"/>
      <c r="P745" s="6"/>
      <c r="Q745" s="6"/>
      <c r="R745" s="12"/>
    </row>
    <row r="746" customFormat="false" ht="15" hidden="false" customHeight="true" outlineLevel="0" collapsed="false">
      <c r="A746" s="6"/>
      <c r="B746" s="6"/>
      <c r="C746" s="6"/>
      <c r="D746" s="6"/>
      <c r="E746" s="13"/>
      <c r="F746" s="6"/>
      <c r="G746" s="11" t="str">
        <f aca="true">IF(F746="","",YEAR(TODAY())-F746)</f>
        <v/>
      </c>
      <c r="H746" s="11" t="str">
        <f aca="false">IF(C746="","",IF(G746="","Thiếu thông tin",IF(G746&lt;6,"Trẻ em",IF(G746&lt;23,"Học sinh / Sinh viên",IF(G746&lt;60,"Đang đi làm","Nghỉ hưu")))))</f>
        <v/>
      </c>
      <c r="I746" s="6"/>
      <c r="J746" s="11" t="str">
        <f aca="false">IF(B746="","",IFERROR(INDEX('Hộ gia đình'!$B$2:$B$2000,MATCH(B746,'Hộ gia đình'!$A$2:$A$2000,0)),"Mã hộ không tồn tại"))</f>
        <v/>
      </c>
      <c r="K746" s="14"/>
      <c r="L746" s="14"/>
      <c r="M746" s="6"/>
      <c r="N746" s="6"/>
      <c r="O746" s="6"/>
      <c r="P746" s="6"/>
      <c r="Q746" s="6"/>
      <c r="R746" s="12"/>
    </row>
    <row r="747" customFormat="false" ht="15" hidden="false" customHeight="true" outlineLevel="0" collapsed="false">
      <c r="A747" s="6"/>
      <c r="B747" s="6"/>
      <c r="C747" s="6"/>
      <c r="D747" s="6"/>
      <c r="E747" s="13"/>
      <c r="F747" s="6"/>
      <c r="G747" s="11" t="str">
        <f aca="true">IF(F747="","",YEAR(TODAY())-F747)</f>
        <v/>
      </c>
      <c r="H747" s="11" t="str">
        <f aca="false">IF(C747="","",IF(G747="","Thiếu thông tin",IF(G747&lt;6,"Trẻ em",IF(G747&lt;23,"Học sinh / Sinh viên",IF(G747&lt;60,"Đang đi làm","Nghỉ hưu")))))</f>
        <v/>
      </c>
      <c r="I747" s="6"/>
      <c r="J747" s="11" t="str">
        <f aca="false">IF(B747="","",IFERROR(INDEX('Hộ gia đình'!$B$2:$B$2000,MATCH(B747,'Hộ gia đình'!$A$2:$A$2000,0)),"Mã hộ không tồn tại"))</f>
        <v/>
      </c>
      <c r="K747" s="14"/>
      <c r="L747" s="14"/>
      <c r="M747" s="6"/>
      <c r="N747" s="6"/>
      <c r="O747" s="6"/>
      <c r="P747" s="6"/>
      <c r="Q747" s="6"/>
      <c r="R747" s="12"/>
    </row>
    <row r="748" customFormat="false" ht="15" hidden="false" customHeight="true" outlineLevel="0" collapsed="false">
      <c r="A748" s="6"/>
      <c r="B748" s="6"/>
      <c r="C748" s="6"/>
      <c r="D748" s="6"/>
      <c r="E748" s="13"/>
      <c r="F748" s="6"/>
      <c r="G748" s="11" t="str">
        <f aca="true">IF(F748="","",YEAR(TODAY())-F748)</f>
        <v/>
      </c>
      <c r="H748" s="11" t="str">
        <f aca="false">IF(C748="","",IF(G748="","Thiếu thông tin",IF(G748&lt;6,"Trẻ em",IF(G748&lt;23,"Học sinh / Sinh viên",IF(G748&lt;60,"Đang đi làm","Nghỉ hưu")))))</f>
        <v/>
      </c>
      <c r="I748" s="6"/>
      <c r="J748" s="11" t="str">
        <f aca="false">IF(B748="","",IFERROR(INDEX('Hộ gia đình'!$B$2:$B$2000,MATCH(B748,'Hộ gia đình'!$A$2:$A$2000,0)),"Mã hộ không tồn tại"))</f>
        <v/>
      </c>
      <c r="K748" s="14"/>
      <c r="L748" s="14"/>
      <c r="M748" s="6"/>
      <c r="N748" s="6"/>
      <c r="O748" s="6"/>
      <c r="P748" s="6"/>
      <c r="Q748" s="6"/>
      <c r="R748" s="12"/>
    </row>
    <row r="749" customFormat="false" ht="15" hidden="false" customHeight="true" outlineLevel="0" collapsed="false">
      <c r="A749" s="6"/>
      <c r="B749" s="6"/>
      <c r="C749" s="6"/>
      <c r="D749" s="6"/>
      <c r="E749" s="13"/>
      <c r="F749" s="6"/>
      <c r="G749" s="11" t="str">
        <f aca="true">IF(F749="","",YEAR(TODAY())-F749)</f>
        <v/>
      </c>
      <c r="H749" s="11" t="str">
        <f aca="false">IF(C749="","",IF(G749="","Thiếu thông tin",IF(G749&lt;6,"Trẻ em",IF(G749&lt;23,"Học sinh / Sinh viên",IF(G749&lt;60,"Đang đi làm","Nghỉ hưu")))))</f>
        <v/>
      </c>
      <c r="I749" s="6"/>
      <c r="J749" s="11" t="str">
        <f aca="false">IF(B749="","",IFERROR(INDEX('Hộ gia đình'!$B$2:$B$2000,MATCH(B749,'Hộ gia đình'!$A$2:$A$2000,0)),"Mã hộ không tồn tại"))</f>
        <v/>
      </c>
      <c r="K749" s="14"/>
      <c r="L749" s="14"/>
      <c r="M749" s="6"/>
      <c r="N749" s="6"/>
      <c r="O749" s="6"/>
      <c r="P749" s="6"/>
      <c r="Q749" s="6"/>
      <c r="R749" s="12"/>
    </row>
    <row r="750" customFormat="false" ht="15" hidden="false" customHeight="true" outlineLevel="0" collapsed="false">
      <c r="A750" s="6"/>
      <c r="B750" s="6"/>
      <c r="C750" s="6"/>
      <c r="D750" s="6"/>
      <c r="E750" s="13"/>
      <c r="F750" s="6"/>
      <c r="G750" s="11" t="str">
        <f aca="true">IF(F750="","",YEAR(TODAY())-F750)</f>
        <v/>
      </c>
      <c r="H750" s="11" t="str">
        <f aca="false">IF(C750="","",IF(G750="","Thiếu thông tin",IF(G750&lt;6,"Trẻ em",IF(G750&lt;23,"Học sinh / Sinh viên",IF(G750&lt;60,"Đang đi làm","Nghỉ hưu")))))</f>
        <v/>
      </c>
      <c r="I750" s="6"/>
      <c r="J750" s="11" t="str">
        <f aca="false">IF(B750="","",IFERROR(INDEX('Hộ gia đình'!$B$2:$B$2000,MATCH(B750,'Hộ gia đình'!$A$2:$A$2000,0)),"Mã hộ không tồn tại"))</f>
        <v/>
      </c>
      <c r="K750" s="14"/>
      <c r="L750" s="14"/>
      <c r="M750" s="6"/>
      <c r="N750" s="6"/>
      <c r="O750" s="6"/>
      <c r="P750" s="6"/>
      <c r="Q750" s="6"/>
      <c r="R750" s="12"/>
    </row>
    <row r="751" customFormat="false" ht="15" hidden="false" customHeight="true" outlineLevel="0" collapsed="false">
      <c r="A751" s="6"/>
      <c r="B751" s="6"/>
      <c r="C751" s="6"/>
      <c r="D751" s="6"/>
      <c r="E751" s="13"/>
      <c r="F751" s="6"/>
      <c r="G751" s="11" t="str">
        <f aca="true">IF(F751="","",YEAR(TODAY())-F751)</f>
        <v/>
      </c>
      <c r="H751" s="11" t="str">
        <f aca="false">IF(C751="","",IF(G751="","Thiếu thông tin",IF(G751&lt;6,"Trẻ em",IF(G751&lt;23,"Học sinh / Sinh viên",IF(G751&lt;60,"Đang đi làm","Nghỉ hưu")))))</f>
        <v/>
      </c>
      <c r="I751" s="6"/>
      <c r="J751" s="11" t="str">
        <f aca="false">IF(B751="","",IFERROR(INDEX('Hộ gia đình'!$B$2:$B$2000,MATCH(B751,'Hộ gia đình'!$A$2:$A$2000,0)),"Mã hộ không tồn tại"))</f>
        <v/>
      </c>
      <c r="K751" s="14"/>
      <c r="L751" s="14"/>
      <c r="M751" s="6"/>
      <c r="N751" s="6"/>
      <c r="O751" s="6"/>
      <c r="P751" s="6"/>
      <c r="Q751" s="6"/>
      <c r="R751" s="12"/>
    </row>
    <row r="752" customFormat="false" ht="15" hidden="false" customHeight="true" outlineLevel="0" collapsed="false">
      <c r="A752" s="6"/>
      <c r="B752" s="6"/>
      <c r="C752" s="6"/>
      <c r="D752" s="6"/>
      <c r="E752" s="13"/>
      <c r="F752" s="6"/>
      <c r="G752" s="11" t="str">
        <f aca="true">IF(F752="","",YEAR(TODAY())-F752)</f>
        <v/>
      </c>
      <c r="H752" s="11" t="str">
        <f aca="false">IF(C752="","",IF(G752="","Thiếu thông tin",IF(G752&lt;6,"Trẻ em",IF(G752&lt;23,"Học sinh / Sinh viên",IF(G752&lt;60,"Đang đi làm","Nghỉ hưu")))))</f>
        <v/>
      </c>
      <c r="I752" s="6"/>
      <c r="J752" s="11" t="str">
        <f aca="false">IF(B752="","",IFERROR(INDEX('Hộ gia đình'!$B$2:$B$2000,MATCH(B752,'Hộ gia đình'!$A$2:$A$2000,0)),"Mã hộ không tồn tại"))</f>
        <v/>
      </c>
      <c r="K752" s="14"/>
      <c r="L752" s="14"/>
      <c r="M752" s="6"/>
      <c r="N752" s="6"/>
      <c r="O752" s="6"/>
      <c r="P752" s="6"/>
      <c r="Q752" s="6"/>
      <c r="R752" s="12"/>
    </row>
    <row r="753" customFormat="false" ht="15" hidden="false" customHeight="true" outlineLevel="0" collapsed="false">
      <c r="A753" s="6"/>
      <c r="B753" s="6"/>
      <c r="C753" s="6"/>
      <c r="D753" s="6"/>
      <c r="E753" s="13"/>
      <c r="F753" s="6"/>
      <c r="G753" s="11" t="str">
        <f aca="true">IF(F753="","",YEAR(TODAY())-F753)</f>
        <v/>
      </c>
      <c r="H753" s="11" t="str">
        <f aca="false">IF(C753="","",IF(G753="","Thiếu thông tin",IF(G753&lt;6,"Trẻ em",IF(G753&lt;23,"Học sinh / Sinh viên",IF(G753&lt;60,"Đang đi làm","Nghỉ hưu")))))</f>
        <v/>
      </c>
      <c r="I753" s="6"/>
      <c r="J753" s="11" t="str">
        <f aca="false">IF(B753="","",IFERROR(INDEX('Hộ gia đình'!$B$2:$B$2000,MATCH(B753,'Hộ gia đình'!$A$2:$A$2000,0)),"Mã hộ không tồn tại"))</f>
        <v/>
      </c>
      <c r="K753" s="14"/>
      <c r="L753" s="14"/>
      <c r="M753" s="6"/>
      <c r="N753" s="6"/>
      <c r="O753" s="6"/>
      <c r="P753" s="6"/>
      <c r="Q753" s="6"/>
      <c r="R753" s="12"/>
    </row>
    <row r="754" customFormat="false" ht="15" hidden="false" customHeight="true" outlineLevel="0" collapsed="false">
      <c r="A754" s="6"/>
      <c r="B754" s="6"/>
      <c r="C754" s="6"/>
      <c r="D754" s="6"/>
      <c r="E754" s="13"/>
      <c r="F754" s="6"/>
      <c r="G754" s="11" t="str">
        <f aca="true">IF(F754="","",YEAR(TODAY())-F754)</f>
        <v/>
      </c>
      <c r="H754" s="11" t="str">
        <f aca="false">IF(C754="","",IF(G754="","Thiếu thông tin",IF(G754&lt;6,"Trẻ em",IF(G754&lt;23,"Học sinh / Sinh viên",IF(G754&lt;60,"Đang đi làm","Nghỉ hưu")))))</f>
        <v/>
      </c>
      <c r="I754" s="6"/>
      <c r="J754" s="11" t="str">
        <f aca="false">IF(B754="","",IFERROR(INDEX('Hộ gia đình'!$B$2:$B$2000,MATCH(B754,'Hộ gia đình'!$A$2:$A$2000,0)),"Mã hộ không tồn tại"))</f>
        <v/>
      </c>
      <c r="K754" s="14"/>
      <c r="L754" s="14"/>
      <c r="M754" s="6"/>
      <c r="N754" s="6"/>
      <c r="O754" s="6"/>
      <c r="P754" s="6"/>
      <c r="Q754" s="6"/>
      <c r="R754" s="12"/>
    </row>
    <row r="755" customFormat="false" ht="15" hidden="false" customHeight="true" outlineLevel="0" collapsed="false">
      <c r="A755" s="6"/>
      <c r="B755" s="6"/>
      <c r="C755" s="6"/>
      <c r="D755" s="6"/>
      <c r="E755" s="13"/>
      <c r="F755" s="6"/>
      <c r="G755" s="11" t="str">
        <f aca="true">IF(F755="","",YEAR(TODAY())-F755)</f>
        <v/>
      </c>
      <c r="H755" s="11" t="str">
        <f aca="false">IF(C755="","",IF(G755="","Thiếu thông tin",IF(G755&lt;6,"Trẻ em",IF(G755&lt;23,"Học sinh / Sinh viên",IF(G755&lt;60,"Đang đi làm","Nghỉ hưu")))))</f>
        <v/>
      </c>
      <c r="I755" s="6"/>
      <c r="J755" s="11" t="str">
        <f aca="false">IF(B755="","",IFERROR(INDEX('Hộ gia đình'!$B$2:$B$2000,MATCH(B755,'Hộ gia đình'!$A$2:$A$2000,0)),"Mã hộ không tồn tại"))</f>
        <v/>
      </c>
      <c r="K755" s="14"/>
      <c r="L755" s="14"/>
      <c r="M755" s="6"/>
      <c r="N755" s="6"/>
      <c r="O755" s="6"/>
      <c r="P755" s="6"/>
      <c r="Q755" s="6"/>
      <c r="R755" s="12"/>
    </row>
    <row r="756" customFormat="false" ht="15" hidden="false" customHeight="true" outlineLevel="0" collapsed="false">
      <c r="A756" s="6"/>
      <c r="B756" s="6"/>
      <c r="C756" s="6"/>
      <c r="D756" s="6"/>
      <c r="E756" s="13"/>
      <c r="F756" s="6"/>
      <c r="G756" s="11" t="str">
        <f aca="true">IF(F756="","",YEAR(TODAY())-F756)</f>
        <v/>
      </c>
      <c r="H756" s="11" t="str">
        <f aca="false">IF(C756="","",IF(G756="","Thiếu thông tin",IF(G756&lt;6,"Trẻ em",IF(G756&lt;23,"Học sinh / Sinh viên",IF(G756&lt;60,"Đang đi làm","Nghỉ hưu")))))</f>
        <v/>
      </c>
      <c r="I756" s="6"/>
      <c r="J756" s="11" t="str">
        <f aca="false">IF(B756="","",IFERROR(INDEX('Hộ gia đình'!$B$2:$B$2000,MATCH(B756,'Hộ gia đình'!$A$2:$A$2000,0)),"Mã hộ không tồn tại"))</f>
        <v/>
      </c>
      <c r="K756" s="14"/>
      <c r="L756" s="14"/>
      <c r="M756" s="6"/>
      <c r="N756" s="6"/>
      <c r="O756" s="6"/>
      <c r="P756" s="6"/>
      <c r="Q756" s="6"/>
      <c r="R756" s="12"/>
    </row>
    <row r="757" customFormat="false" ht="15" hidden="false" customHeight="true" outlineLevel="0" collapsed="false">
      <c r="A757" s="6"/>
      <c r="B757" s="6"/>
      <c r="C757" s="6"/>
      <c r="D757" s="6"/>
      <c r="E757" s="13"/>
      <c r="F757" s="6"/>
      <c r="G757" s="11" t="str">
        <f aca="true">IF(F757="","",YEAR(TODAY())-F757)</f>
        <v/>
      </c>
      <c r="H757" s="11" t="str">
        <f aca="false">IF(C757="","",IF(G757="","Thiếu thông tin",IF(G757&lt;6,"Trẻ em",IF(G757&lt;23,"Học sinh / Sinh viên",IF(G757&lt;60,"Đang đi làm","Nghỉ hưu")))))</f>
        <v/>
      </c>
      <c r="I757" s="6"/>
      <c r="J757" s="11" t="str">
        <f aca="false">IF(B757="","",IFERROR(INDEX('Hộ gia đình'!$B$2:$B$2000,MATCH(B757,'Hộ gia đình'!$A$2:$A$2000,0)),"Mã hộ không tồn tại"))</f>
        <v/>
      </c>
      <c r="K757" s="14"/>
      <c r="L757" s="14"/>
      <c r="M757" s="6"/>
      <c r="N757" s="6"/>
      <c r="O757" s="6"/>
      <c r="P757" s="6"/>
      <c r="Q757" s="6"/>
      <c r="R757" s="12"/>
    </row>
    <row r="758" customFormat="false" ht="15" hidden="false" customHeight="true" outlineLevel="0" collapsed="false">
      <c r="A758" s="6"/>
      <c r="B758" s="6"/>
      <c r="C758" s="6"/>
      <c r="D758" s="6"/>
      <c r="E758" s="13"/>
      <c r="F758" s="6"/>
      <c r="G758" s="11" t="str">
        <f aca="true">IF(F758="","",YEAR(TODAY())-F758)</f>
        <v/>
      </c>
      <c r="H758" s="11" t="str">
        <f aca="false">IF(C758="","",IF(G758="","Thiếu thông tin",IF(G758&lt;6,"Trẻ em",IF(G758&lt;23,"Học sinh / Sinh viên",IF(G758&lt;60,"Đang đi làm","Nghỉ hưu")))))</f>
        <v/>
      </c>
      <c r="I758" s="6"/>
      <c r="J758" s="11" t="str">
        <f aca="false">IF(B758="","",IFERROR(INDEX('Hộ gia đình'!$B$2:$B$2000,MATCH(B758,'Hộ gia đình'!$A$2:$A$2000,0)),"Mã hộ không tồn tại"))</f>
        <v/>
      </c>
      <c r="K758" s="14"/>
      <c r="L758" s="14"/>
      <c r="M758" s="6"/>
      <c r="N758" s="6"/>
      <c r="O758" s="6"/>
      <c r="P758" s="6"/>
      <c r="Q758" s="6"/>
      <c r="R758" s="12"/>
    </row>
    <row r="759" customFormat="false" ht="15" hidden="false" customHeight="true" outlineLevel="0" collapsed="false">
      <c r="A759" s="6"/>
      <c r="B759" s="6"/>
      <c r="C759" s="6"/>
      <c r="D759" s="6"/>
      <c r="E759" s="13"/>
      <c r="F759" s="6"/>
      <c r="G759" s="11" t="str">
        <f aca="true">IF(F759="","",YEAR(TODAY())-F759)</f>
        <v/>
      </c>
      <c r="H759" s="11" t="str">
        <f aca="false">IF(C759="","",IF(G759="","Thiếu thông tin",IF(G759&lt;6,"Trẻ em",IF(G759&lt;23,"Học sinh / Sinh viên",IF(G759&lt;60,"Đang đi làm","Nghỉ hưu")))))</f>
        <v/>
      </c>
      <c r="I759" s="6"/>
      <c r="J759" s="11" t="str">
        <f aca="false">IF(B759="","",IFERROR(INDEX('Hộ gia đình'!$B$2:$B$2000,MATCH(B759,'Hộ gia đình'!$A$2:$A$2000,0)),"Mã hộ không tồn tại"))</f>
        <v/>
      </c>
      <c r="K759" s="14"/>
      <c r="L759" s="14"/>
      <c r="M759" s="6"/>
      <c r="N759" s="6"/>
      <c r="O759" s="6"/>
      <c r="P759" s="6"/>
      <c r="Q759" s="6"/>
      <c r="R759" s="12"/>
    </row>
    <row r="760" customFormat="false" ht="15" hidden="false" customHeight="true" outlineLevel="0" collapsed="false">
      <c r="A760" s="6"/>
      <c r="B760" s="6"/>
      <c r="C760" s="6"/>
      <c r="D760" s="6"/>
      <c r="E760" s="13"/>
      <c r="F760" s="6"/>
      <c r="G760" s="11" t="str">
        <f aca="true">IF(F760="","",YEAR(TODAY())-F760)</f>
        <v/>
      </c>
      <c r="H760" s="11" t="str">
        <f aca="false">IF(C760="","",IF(G760="","Thiếu thông tin",IF(G760&lt;6,"Trẻ em",IF(G760&lt;23,"Học sinh / Sinh viên",IF(G760&lt;60,"Đang đi làm","Nghỉ hưu")))))</f>
        <v/>
      </c>
      <c r="I760" s="6"/>
      <c r="J760" s="11" t="str">
        <f aca="false">IF(B760="","",IFERROR(INDEX('Hộ gia đình'!$B$2:$B$2000,MATCH(B760,'Hộ gia đình'!$A$2:$A$2000,0)),"Mã hộ không tồn tại"))</f>
        <v/>
      </c>
      <c r="K760" s="14"/>
      <c r="L760" s="14"/>
      <c r="M760" s="6"/>
      <c r="N760" s="6"/>
      <c r="O760" s="6"/>
      <c r="P760" s="6"/>
      <c r="Q760" s="6"/>
      <c r="R760" s="12"/>
    </row>
    <row r="761" customFormat="false" ht="15" hidden="false" customHeight="true" outlineLevel="0" collapsed="false">
      <c r="A761" s="6"/>
      <c r="B761" s="6"/>
      <c r="C761" s="6"/>
      <c r="D761" s="6"/>
      <c r="E761" s="13"/>
      <c r="F761" s="6"/>
      <c r="G761" s="11" t="str">
        <f aca="true">IF(F761="","",YEAR(TODAY())-F761)</f>
        <v/>
      </c>
      <c r="H761" s="11" t="str">
        <f aca="false">IF(C761="","",IF(G761="","Thiếu thông tin",IF(G761&lt;6,"Trẻ em",IF(G761&lt;23,"Học sinh / Sinh viên",IF(G761&lt;60,"Đang đi làm","Nghỉ hưu")))))</f>
        <v/>
      </c>
      <c r="I761" s="6"/>
      <c r="J761" s="11" t="str">
        <f aca="false">IF(B761="","",IFERROR(INDEX('Hộ gia đình'!$B$2:$B$2000,MATCH(B761,'Hộ gia đình'!$A$2:$A$2000,0)),"Mã hộ không tồn tại"))</f>
        <v/>
      </c>
      <c r="K761" s="14"/>
      <c r="L761" s="14"/>
      <c r="M761" s="6"/>
      <c r="N761" s="6"/>
      <c r="O761" s="6"/>
      <c r="P761" s="6"/>
      <c r="Q761" s="6"/>
      <c r="R761" s="12"/>
    </row>
    <row r="762" customFormat="false" ht="15" hidden="false" customHeight="true" outlineLevel="0" collapsed="false">
      <c r="A762" s="6"/>
      <c r="B762" s="6"/>
      <c r="C762" s="6"/>
      <c r="D762" s="6"/>
      <c r="E762" s="13"/>
      <c r="F762" s="6"/>
      <c r="G762" s="11" t="str">
        <f aca="true">IF(F762="","",YEAR(TODAY())-F762)</f>
        <v/>
      </c>
      <c r="H762" s="11" t="str">
        <f aca="false">IF(C762="","",IF(G762="","Thiếu thông tin",IF(G762&lt;6,"Trẻ em",IF(G762&lt;23,"Học sinh / Sinh viên",IF(G762&lt;60,"Đang đi làm","Nghỉ hưu")))))</f>
        <v/>
      </c>
      <c r="I762" s="6"/>
      <c r="J762" s="11" t="str">
        <f aca="false">IF(B762="","",IFERROR(INDEX('Hộ gia đình'!$B$2:$B$2000,MATCH(B762,'Hộ gia đình'!$A$2:$A$2000,0)),"Mã hộ không tồn tại"))</f>
        <v/>
      </c>
      <c r="K762" s="14"/>
      <c r="L762" s="14"/>
      <c r="M762" s="6"/>
      <c r="N762" s="6"/>
      <c r="O762" s="6"/>
      <c r="P762" s="6"/>
      <c r="Q762" s="6"/>
      <c r="R762" s="12"/>
    </row>
    <row r="763" customFormat="false" ht="15" hidden="false" customHeight="true" outlineLevel="0" collapsed="false">
      <c r="A763" s="6"/>
      <c r="B763" s="6"/>
      <c r="C763" s="6"/>
      <c r="D763" s="6"/>
      <c r="E763" s="13"/>
      <c r="F763" s="6"/>
      <c r="G763" s="11" t="str">
        <f aca="true">IF(F763="","",YEAR(TODAY())-F763)</f>
        <v/>
      </c>
      <c r="H763" s="11" t="str">
        <f aca="false">IF(C763="","",IF(G763="","Thiếu thông tin",IF(G763&lt;6,"Trẻ em",IF(G763&lt;23,"Học sinh / Sinh viên",IF(G763&lt;60,"Đang đi làm","Nghỉ hưu")))))</f>
        <v/>
      </c>
      <c r="I763" s="6"/>
      <c r="J763" s="11" t="str">
        <f aca="false">IF(B763="","",IFERROR(INDEX('Hộ gia đình'!$B$2:$B$2000,MATCH(B763,'Hộ gia đình'!$A$2:$A$2000,0)),"Mã hộ không tồn tại"))</f>
        <v/>
      </c>
      <c r="K763" s="14"/>
      <c r="L763" s="14"/>
      <c r="M763" s="6"/>
      <c r="N763" s="6"/>
      <c r="O763" s="6"/>
      <c r="P763" s="6"/>
      <c r="Q763" s="6"/>
      <c r="R763" s="12"/>
    </row>
    <row r="764" customFormat="false" ht="15" hidden="false" customHeight="true" outlineLevel="0" collapsed="false">
      <c r="A764" s="6"/>
      <c r="B764" s="6"/>
      <c r="C764" s="6"/>
      <c r="D764" s="6"/>
      <c r="E764" s="13"/>
      <c r="F764" s="6"/>
      <c r="G764" s="11" t="str">
        <f aca="true">IF(F764="","",YEAR(TODAY())-F764)</f>
        <v/>
      </c>
      <c r="H764" s="11" t="str">
        <f aca="false">IF(C764="","",IF(G764="","Thiếu thông tin",IF(G764&lt;6,"Trẻ em",IF(G764&lt;23,"Học sinh / Sinh viên",IF(G764&lt;60,"Đang đi làm","Nghỉ hưu")))))</f>
        <v/>
      </c>
      <c r="I764" s="6"/>
      <c r="J764" s="11" t="str">
        <f aca="false">IF(B764="","",IFERROR(INDEX('Hộ gia đình'!$B$2:$B$2000,MATCH(B764,'Hộ gia đình'!$A$2:$A$2000,0)),"Mã hộ không tồn tại"))</f>
        <v/>
      </c>
      <c r="K764" s="14"/>
      <c r="L764" s="14"/>
      <c r="M764" s="6"/>
      <c r="N764" s="6"/>
      <c r="O764" s="6"/>
      <c r="P764" s="6"/>
      <c r="Q764" s="6"/>
      <c r="R764" s="12"/>
    </row>
    <row r="765" customFormat="false" ht="15" hidden="false" customHeight="true" outlineLevel="0" collapsed="false">
      <c r="A765" s="6"/>
      <c r="B765" s="6"/>
      <c r="C765" s="6"/>
      <c r="D765" s="6"/>
      <c r="E765" s="13"/>
      <c r="F765" s="6"/>
      <c r="G765" s="11" t="str">
        <f aca="true">IF(F765="","",YEAR(TODAY())-F765)</f>
        <v/>
      </c>
      <c r="H765" s="11" t="str">
        <f aca="false">IF(C765="","",IF(G765="","Thiếu thông tin",IF(G765&lt;6,"Trẻ em",IF(G765&lt;23,"Học sinh / Sinh viên",IF(G765&lt;60,"Đang đi làm","Nghỉ hưu")))))</f>
        <v/>
      </c>
      <c r="I765" s="6"/>
      <c r="J765" s="11" t="str">
        <f aca="false">IF(B765="","",IFERROR(INDEX('Hộ gia đình'!$B$2:$B$2000,MATCH(B765,'Hộ gia đình'!$A$2:$A$2000,0)),"Mã hộ không tồn tại"))</f>
        <v/>
      </c>
      <c r="K765" s="14"/>
      <c r="L765" s="14"/>
      <c r="M765" s="6"/>
      <c r="N765" s="6"/>
      <c r="O765" s="6"/>
      <c r="P765" s="6"/>
      <c r="Q765" s="6"/>
      <c r="R765" s="12"/>
    </row>
    <row r="766" customFormat="false" ht="15" hidden="false" customHeight="true" outlineLevel="0" collapsed="false">
      <c r="A766" s="6"/>
      <c r="B766" s="6"/>
      <c r="C766" s="6"/>
      <c r="D766" s="6"/>
      <c r="E766" s="13"/>
      <c r="F766" s="6"/>
      <c r="G766" s="11" t="str">
        <f aca="true">IF(F766="","",YEAR(TODAY())-F766)</f>
        <v/>
      </c>
      <c r="H766" s="11" t="str">
        <f aca="false">IF(C766="","",IF(G766="","Thiếu thông tin",IF(G766&lt;6,"Trẻ em",IF(G766&lt;23,"Học sinh / Sinh viên",IF(G766&lt;60,"Đang đi làm","Nghỉ hưu")))))</f>
        <v/>
      </c>
      <c r="I766" s="6"/>
      <c r="J766" s="11" t="str">
        <f aca="false">IF(B766="","",IFERROR(INDEX('Hộ gia đình'!$B$2:$B$2000,MATCH(B766,'Hộ gia đình'!$A$2:$A$2000,0)),"Mã hộ không tồn tại"))</f>
        <v/>
      </c>
      <c r="K766" s="14"/>
      <c r="L766" s="14"/>
      <c r="M766" s="6"/>
      <c r="N766" s="6"/>
      <c r="O766" s="6"/>
      <c r="P766" s="6"/>
      <c r="Q766" s="6"/>
      <c r="R766" s="12"/>
    </row>
    <row r="767" customFormat="false" ht="15" hidden="false" customHeight="true" outlineLevel="0" collapsed="false">
      <c r="A767" s="6"/>
      <c r="B767" s="6"/>
      <c r="C767" s="6"/>
      <c r="D767" s="6"/>
      <c r="E767" s="13"/>
      <c r="F767" s="6"/>
      <c r="G767" s="11" t="str">
        <f aca="true">IF(F767="","",YEAR(TODAY())-F767)</f>
        <v/>
      </c>
      <c r="H767" s="11" t="str">
        <f aca="false">IF(C767="","",IF(G767="","Thiếu thông tin",IF(G767&lt;6,"Trẻ em",IF(G767&lt;23,"Học sinh / Sinh viên",IF(G767&lt;60,"Đang đi làm","Nghỉ hưu")))))</f>
        <v/>
      </c>
      <c r="I767" s="6"/>
      <c r="J767" s="11" t="str">
        <f aca="false">IF(B767="","",IFERROR(INDEX('Hộ gia đình'!$B$2:$B$2000,MATCH(B767,'Hộ gia đình'!$A$2:$A$2000,0)),"Mã hộ không tồn tại"))</f>
        <v/>
      </c>
      <c r="K767" s="14"/>
      <c r="L767" s="14"/>
      <c r="M767" s="6"/>
      <c r="N767" s="6"/>
      <c r="O767" s="6"/>
      <c r="P767" s="6"/>
      <c r="Q767" s="6"/>
      <c r="R767" s="12"/>
    </row>
    <row r="768" customFormat="false" ht="15" hidden="false" customHeight="true" outlineLevel="0" collapsed="false">
      <c r="A768" s="6"/>
      <c r="B768" s="6"/>
      <c r="C768" s="6"/>
      <c r="D768" s="6"/>
      <c r="E768" s="13"/>
      <c r="F768" s="6"/>
      <c r="G768" s="11" t="str">
        <f aca="true">IF(F768="","",YEAR(TODAY())-F768)</f>
        <v/>
      </c>
      <c r="H768" s="11" t="str">
        <f aca="false">IF(C768="","",IF(G768="","Thiếu thông tin",IF(G768&lt;6,"Trẻ em",IF(G768&lt;23,"Học sinh / Sinh viên",IF(G768&lt;60,"Đang đi làm","Nghỉ hưu")))))</f>
        <v/>
      </c>
      <c r="I768" s="6"/>
      <c r="J768" s="11" t="str">
        <f aca="false">IF(B768="","",IFERROR(INDEX('Hộ gia đình'!$B$2:$B$2000,MATCH(B768,'Hộ gia đình'!$A$2:$A$2000,0)),"Mã hộ không tồn tại"))</f>
        <v/>
      </c>
      <c r="K768" s="14"/>
      <c r="L768" s="14"/>
      <c r="M768" s="6"/>
      <c r="N768" s="6"/>
      <c r="O768" s="6"/>
      <c r="P768" s="6"/>
      <c r="Q768" s="6"/>
      <c r="R768" s="12"/>
    </row>
    <row r="769" customFormat="false" ht="15" hidden="false" customHeight="true" outlineLevel="0" collapsed="false">
      <c r="A769" s="6"/>
      <c r="B769" s="6"/>
      <c r="C769" s="6"/>
      <c r="D769" s="6"/>
      <c r="E769" s="13"/>
      <c r="F769" s="6"/>
      <c r="G769" s="11" t="str">
        <f aca="true">IF(F769="","",YEAR(TODAY())-F769)</f>
        <v/>
      </c>
      <c r="H769" s="11" t="str">
        <f aca="false">IF(C769="","",IF(G769="","Thiếu thông tin",IF(G769&lt;6,"Trẻ em",IF(G769&lt;23,"Học sinh / Sinh viên",IF(G769&lt;60,"Đang đi làm","Nghỉ hưu")))))</f>
        <v/>
      </c>
      <c r="I769" s="6"/>
      <c r="J769" s="11" t="str">
        <f aca="false">IF(B769="","",IFERROR(INDEX('Hộ gia đình'!$B$2:$B$2000,MATCH(B769,'Hộ gia đình'!$A$2:$A$2000,0)),"Mã hộ không tồn tại"))</f>
        <v/>
      </c>
      <c r="K769" s="14"/>
      <c r="L769" s="14"/>
      <c r="M769" s="6"/>
      <c r="N769" s="6"/>
      <c r="O769" s="6"/>
      <c r="P769" s="6"/>
      <c r="Q769" s="6"/>
      <c r="R769" s="12"/>
    </row>
    <row r="770" customFormat="false" ht="15" hidden="false" customHeight="true" outlineLevel="0" collapsed="false">
      <c r="A770" s="6"/>
      <c r="B770" s="6"/>
      <c r="C770" s="6"/>
      <c r="D770" s="6"/>
      <c r="E770" s="13"/>
      <c r="F770" s="6"/>
      <c r="G770" s="11" t="str">
        <f aca="true">IF(F770="","",YEAR(TODAY())-F770)</f>
        <v/>
      </c>
      <c r="H770" s="11" t="str">
        <f aca="false">IF(C770="","",IF(G770="","Thiếu thông tin",IF(G770&lt;6,"Trẻ em",IF(G770&lt;23,"Học sinh / Sinh viên",IF(G770&lt;60,"Đang đi làm","Nghỉ hưu")))))</f>
        <v/>
      </c>
      <c r="I770" s="6"/>
      <c r="J770" s="11" t="str">
        <f aca="false">IF(B770="","",IFERROR(INDEX('Hộ gia đình'!$B$2:$B$2000,MATCH(B770,'Hộ gia đình'!$A$2:$A$2000,0)),"Mã hộ không tồn tại"))</f>
        <v/>
      </c>
      <c r="K770" s="14"/>
      <c r="L770" s="14"/>
      <c r="M770" s="6"/>
      <c r="N770" s="6"/>
      <c r="O770" s="6"/>
      <c r="P770" s="6"/>
      <c r="Q770" s="6"/>
      <c r="R770" s="12"/>
    </row>
    <row r="771" customFormat="false" ht="15" hidden="false" customHeight="true" outlineLevel="0" collapsed="false">
      <c r="A771" s="6"/>
      <c r="B771" s="6"/>
      <c r="C771" s="6"/>
      <c r="D771" s="6"/>
      <c r="E771" s="13"/>
      <c r="F771" s="6"/>
      <c r="G771" s="11" t="str">
        <f aca="true">IF(F771="","",YEAR(TODAY())-F771)</f>
        <v/>
      </c>
      <c r="H771" s="11" t="str">
        <f aca="false">IF(C771="","",IF(G771="","Thiếu thông tin",IF(G771&lt;6,"Trẻ em",IF(G771&lt;23,"Học sinh / Sinh viên",IF(G771&lt;60,"Đang đi làm","Nghỉ hưu")))))</f>
        <v/>
      </c>
      <c r="I771" s="6"/>
      <c r="J771" s="11" t="str">
        <f aca="false">IF(B771="","",IFERROR(INDEX('Hộ gia đình'!$B$2:$B$2000,MATCH(B771,'Hộ gia đình'!$A$2:$A$2000,0)),"Mã hộ không tồn tại"))</f>
        <v/>
      </c>
      <c r="K771" s="14"/>
      <c r="L771" s="14"/>
      <c r="M771" s="6"/>
      <c r="N771" s="6"/>
      <c r="O771" s="6"/>
      <c r="P771" s="6"/>
      <c r="Q771" s="6"/>
      <c r="R771" s="12"/>
    </row>
    <row r="772" customFormat="false" ht="15" hidden="false" customHeight="true" outlineLevel="0" collapsed="false">
      <c r="A772" s="6"/>
      <c r="B772" s="6"/>
      <c r="C772" s="6"/>
      <c r="D772" s="6"/>
      <c r="E772" s="13"/>
      <c r="F772" s="6"/>
      <c r="G772" s="11" t="str">
        <f aca="true">IF(F772="","",YEAR(TODAY())-F772)</f>
        <v/>
      </c>
      <c r="H772" s="11" t="str">
        <f aca="false">IF(C772="","",IF(G772="","Thiếu thông tin",IF(G772&lt;6,"Trẻ em",IF(G772&lt;23,"Học sinh / Sinh viên",IF(G772&lt;60,"Đang đi làm","Nghỉ hưu")))))</f>
        <v/>
      </c>
      <c r="I772" s="6"/>
      <c r="J772" s="11" t="str">
        <f aca="false">IF(B772="","",IFERROR(INDEX('Hộ gia đình'!$B$2:$B$2000,MATCH(B772,'Hộ gia đình'!$A$2:$A$2000,0)),"Mã hộ không tồn tại"))</f>
        <v/>
      </c>
      <c r="K772" s="14"/>
      <c r="L772" s="14"/>
      <c r="M772" s="6"/>
      <c r="N772" s="6"/>
      <c r="O772" s="6"/>
      <c r="P772" s="6"/>
      <c r="Q772" s="6"/>
      <c r="R772" s="12"/>
    </row>
    <row r="773" customFormat="false" ht="15" hidden="false" customHeight="true" outlineLevel="0" collapsed="false">
      <c r="A773" s="6"/>
      <c r="B773" s="6"/>
      <c r="C773" s="6"/>
      <c r="D773" s="6"/>
      <c r="E773" s="13"/>
      <c r="F773" s="6"/>
      <c r="G773" s="11" t="str">
        <f aca="true">IF(F773="","",YEAR(TODAY())-F773)</f>
        <v/>
      </c>
      <c r="H773" s="11" t="str">
        <f aca="false">IF(C773="","",IF(G773="","Thiếu thông tin",IF(G773&lt;6,"Trẻ em",IF(G773&lt;23,"Học sinh / Sinh viên",IF(G773&lt;60,"Đang đi làm","Nghỉ hưu")))))</f>
        <v/>
      </c>
      <c r="I773" s="6"/>
      <c r="J773" s="11" t="str">
        <f aca="false">IF(B773="","",IFERROR(INDEX('Hộ gia đình'!$B$2:$B$2000,MATCH(B773,'Hộ gia đình'!$A$2:$A$2000,0)),"Mã hộ không tồn tại"))</f>
        <v/>
      </c>
      <c r="K773" s="14"/>
      <c r="L773" s="14"/>
      <c r="M773" s="6"/>
      <c r="N773" s="6"/>
      <c r="O773" s="6"/>
      <c r="P773" s="6"/>
      <c r="Q773" s="6"/>
      <c r="R773" s="12"/>
    </row>
    <row r="774" customFormat="false" ht="15" hidden="false" customHeight="true" outlineLevel="0" collapsed="false">
      <c r="A774" s="6"/>
      <c r="B774" s="6"/>
      <c r="C774" s="6"/>
      <c r="D774" s="6"/>
      <c r="E774" s="13"/>
      <c r="F774" s="6"/>
      <c r="G774" s="11" t="str">
        <f aca="true">IF(F774="","",YEAR(TODAY())-F774)</f>
        <v/>
      </c>
      <c r="H774" s="11" t="str">
        <f aca="false">IF(C774="","",IF(G774="","Thiếu thông tin",IF(G774&lt;6,"Trẻ em",IF(G774&lt;23,"Học sinh / Sinh viên",IF(G774&lt;60,"Đang đi làm","Nghỉ hưu")))))</f>
        <v/>
      </c>
      <c r="I774" s="6"/>
      <c r="J774" s="11" t="str">
        <f aca="false">IF(B774="","",IFERROR(INDEX('Hộ gia đình'!$B$2:$B$2000,MATCH(B774,'Hộ gia đình'!$A$2:$A$2000,0)),"Mã hộ không tồn tại"))</f>
        <v/>
      </c>
      <c r="K774" s="14"/>
      <c r="L774" s="14"/>
      <c r="M774" s="6"/>
      <c r="N774" s="6"/>
      <c r="O774" s="6"/>
      <c r="P774" s="6"/>
      <c r="Q774" s="6"/>
      <c r="R774" s="12"/>
    </row>
    <row r="775" customFormat="false" ht="15" hidden="false" customHeight="true" outlineLevel="0" collapsed="false">
      <c r="A775" s="6"/>
      <c r="B775" s="6"/>
      <c r="C775" s="6"/>
      <c r="D775" s="6"/>
      <c r="E775" s="13"/>
      <c r="F775" s="6"/>
      <c r="G775" s="11" t="str">
        <f aca="true">IF(F775="","",YEAR(TODAY())-F775)</f>
        <v/>
      </c>
      <c r="H775" s="11" t="str">
        <f aca="false">IF(C775="","",IF(G775="","Thiếu thông tin",IF(G775&lt;6,"Trẻ em",IF(G775&lt;23,"Học sinh / Sinh viên",IF(G775&lt;60,"Đang đi làm","Nghỉ hưu")))))</f>
        <v/>
      </c>
      <c r="I775" s="6"/>
      <c r="J775" s="11" t="str">
        <f aca="false">IF(B775="","",IFERROR(INDEX('Hộ gia đình'!$B$2:$B$2000,MATCH(B775,'Hộ gia đình'!$A$2:$A$2000,0)),"Mã hộ không tồn tại"))</f>
        <v/>
      </c>
      <c r="K775" s="14"/>
      <c r="L775" s="14"/>
      <c r="M775" s="6"/>
      <c r="N775" s="6"/>
      <c r="O775" s="6"/>
      <c r="P775" s="6"/>
      <c r="Q775" s="6"/>
      <c r="R775" s="12"/>
    </row>
    <row r="776" customFormat="false" ht="15" hidden="false" customHeight="true" outlineLevel="0" collapsed="false">
      <c r="A776" s="6"/>
      <c r="B776" s="6"/>
      <c r="C776" s="6"/>
      <c r="D776" s="6"/>
      <c r="E776" s="13"/>
      <c r="F776" s="6"/>
      <c r="G776" s="11" t="str">
        <f aca="true">IF(F776="","",YEAR(TODAY())-F776)</f>
        <v/>
      </c>
      <c r="H776" s="11" t="str">
        <f aca="false">IF(C776="","",IF(G776="","Thiếu thông tin",IF(G776&lt;6,"Trẻ em",IF(G776&lt;23,"Học sinh / Sinh viên",IF(G776&lt;60,"Đang đi làm","Nghỉ hưu")))))</f>
        <v/>
      </c>
      <c r="I776" s="6"/>
      <c r="J776" s="11" t="str">
        <f aca="false">IF(B776="","",IFERROR(INDEX('Hộ gia đình'!$B$2:$B$2000,MATCH(B776,'Hộ gia đình'!$A$2:$A$2000,0)),"Mã hộ không tồn tại"))</f>
        <v/>
      </c>
      <c r="K776" s="14"/>
      <c r="L776" s="14"/>
      <c r="M776" s="6"/>
      <c r="N776" s="6"/>
      <c r="O776" s="6"/>
      <c r="P776" s="6"/>
      <c r="Q776" s="6"/>
      <c r="R776" s="12"/>
    </row>
    <row r="777" customFormat="false" ht="15" hidden="false" customHeight="true" outlineLevel="0" collapsed="false">
      <c r="A777" s="6"/>
      <c r="B777" s="6"/>
      <c r="C777" s="6"/>
      <c r="D777" s="6"/>
      <c r="E777" s="13"/>
      <c r="F777" s="6"/>
      <c r="G777" s="11" t="str">
        <f aca="true">IF(F777="","",YEAR(TODAY())-F777)</f>
        <v/>
      </c>
      <c r="H777" s="11" t="str">
        <f aca="false">IF(C777="","",IF(G777="","Thiếu thông tin",IF(G777&lt;6,"Trẻ em",IF(G777&lt;23,"Học sinh / Sinh viên",IF(G777&lt;60,"Đang đi làm","Nghỉ hưu")))))</f>
        <v/>
      </c>
      <c r="I777" s="6"/>
      <c r="J777" s="11" t="str">
        <f aca="false">IF(B777="","",IFERROR(INDEX('Hộ gia đình'!$B$2:$B$2000,MATCH(B777,'Hộ gia đình'!$A$2:$A$2000,0)),"Mã hộ không tồn tại"))</f>
        <v/>
      </c>
      <c r="K777" s="14"/>
      <c r="L777" s="14"/>
      <c r="M777" s="6"/>
      <c r="N777" s="6"/>
      <c r="O777" s="6"/>
      <c r="P777" s="6"/>
      <c r="Q777" s="6"/>
      <c r="R777" s="12"/>
    </row>
    <row r="778" customFormat="false" ht="15" hidden="false" customHeight="true" outlineLevel="0" collapsed="false">
      <c r="A778" s="6"/>
      <c r="B778" s="6"/>
      <c r="C778" s="6"/>
      <c r="D778" s="6"/>
      <c r="E778" s="13"/>
      <c r="F778" s="6"/>
      <c r="G778" s="11" t="str">
        <f aca="true">IF(F778="","",YEAR(TODAY())-F778)</f>
        <v/>
      </c>
      <c r="H778" s="11" t="str">
        <f aca="false">IF(C778="","",IF(G778="","Thiếu thông tin",IF(G778&lt;6,"Trẻ em",IF(G778&lt;23,"Học sinh / Sinh viên",IF(G778&lt;60,"Đang đi làm","Nghỉ hưu")))))</f>
        <v/>
      </c>
      <c r="I778" s="6"/>
      <c r="J778" s="11" t="str">
        <f aca="false">IF(B778="","",IFERROR(INDEX('Hộ gia đình'!$B$2:$B$2000,MATCH(B778,'Hộ gia đình'!$A$2:$A$2000,0)),"Mã hộ không tồn tại"))</f>
        <v/>
      </c>
      <c r="K778" s="14"/>
      <c r="L778" s="14"/>
      <c r="M778" s="6"/>
      <c r="N778" s="6"/>
      <c r="O778" s="6"/>
      <c r="P778" s="6"/>
      <c r="Q778" s="6"/>
      <c r="R778" s="12"/>
    </row>
    <row r="779" customFormat="false" ht="15" hidden="false" customHeight="true" outlineLevel="0" collapsed="false">
      <c r="A779" s="6"/>
      <c r="B779" s="6"/>
      <c r="C779" s="6"/>
      <c r="D779" s="6"/>
      <c r="E779" s="13"/>
      <c r="F779" s="6"/>
      <c r="G779" s="11" t="str">
        <f aca="true">IF(F779="","",YEAR(TODAY())-F779)</f>
        <v/>
      </c>
      <c r="H779" s="11" t="str">
        <f aca="false">IF(C779="","",IF(G779="","Thiếu thông tin",IF(G779&lt;6,"Trẻ em",IF(G779&lt;23,"Học sinh / Sinh viên",IF(G779&lt;60,"Đang đi làm","Nghỉ hưu")))))</f>
        <v/>
      </c>
      <c r="I779" s="6"/>
      <c r="J779" s="11" t="str">
        <f aca="false">IF(B779="","",IFERROR(INDEX('Hộ gia đình'!$B$2:$B$2000,MATCH(B779,'Hộ gia đình'!$A$2:$A$2000,0)),"Mã hộ không tồn tại"))</f>
        <v/>
      </c>
      <c r="K779" s="14"/>
      <c r="L779" s="14"/>
      <c r="M779" s="6"/>
      <c r="N779" s="6"/>
      <c r="O779" s="6"/>
      <c r="P779" s="6"/>
      <c r="Q779" s="6"/>
      <c r="R779" s="12"/>
    </row>
    <row r="780" customFormat="false" ht="15" hidden="false" customHeight="true" outlineLevel="0" collapsed="false">
      <c r="A780" s="6"/>
      <c r="B780" s="6"/>
      <c r="C780" s="6"/>
      <c r="D780" s="6"/>
      <c r="E780" s="13"/>
      <c r="F780" s="6"/>
      <c r="G780" s="11" t="str">
        <f aca="true">IF(F780="","",YEAR(TODAY())-F780)</f>
        <v/>
      </c>
      <c r="H780" s="11" t="str">
        <f aca="false">IF(C780="","",IF(G780="","Thiếu thông tin",IF(G780&lt;6,"Trẻ em",IF(G780&lt;23,"Học sinh / Sinh viên",IF(G780&lt;60,"Đang đi làm","Nghỉ hưu")))))</f>
        <v/>
      </c>
      <c r="I780" s="6"/>
      <c r="J780" s="11" t="str">
        <f aca="false">IF(B780="","",IFERROR(INDEX('Hộ gia đình'!$B$2:$B$2000,MATCH(B780,'Hộ gia đình'!$A$2:$A$2000,0)),"Mã hộ không tồn tại"))</f>
        <v/>
      </c>
      <c r="K780" s="14"/>
      <c r="L780" s="14"/>
      <c r="M780" s="6"/>
      <c r="N780" s="6"/>
      <c r="O780" s="6"/>
      <c r="P780" s="6"/>
      <c r="Q780" s="6"/>
      <c r="R780" s="12"/>
    </row>
    <row r="781" customFormat="false" ht="15" hidden="false" customHeight="true" outlineLevel="0" collapsed="false">
      <c r="A781" s="6"/>
      <c r="B781" s="6"/>
      <c r="C781" s="6"/>
      <c r="D781" s="6"/>
      <c r="E781" s="13"/>
      <c r="F781" s="6"/>
      <c r="G781" s="11" t="str">
        <f aca="true">IF(F781="","",YEAR(TODAY())-F781)</f>
        <v/>
      </c>
      <c r="H781" s="11" t="str">
        <f aca="false">IF(C781="","",IF(G781="","Thiếu thông tin",IF(G781&lt;6,"Trẻ em",IF(G781&lt;23,"Học sinh / Sinh viên",IF(G781&lt;60,"Đang đi làm","Nghỉ hưu")))))</f>
        <v/>
      </c>
      <c r="I781" s="6"/>
      <c r="J781" s="11" t="str">
        <f aca="false">IF(B781="","",IFERROR(INDEX('Hộ gia đình'!$B$2:$B$2000,MATCH(B781,'Hộ gia đình'!$A$2:$A$2000,0)),"Mã hộ không tồn tại"))</f>
        <v/>
      </c>
      <c r="K781" s="14"/>
      <c r="L781" s="14"/>
      <c r="M781" s="6"/>
      <c r="N781" s="6"/>
      <c r="O781" s="6"/>
      <c r="P781" s="6"/>
      <c r="Q781" s="6"/>
      <c r="R781" s="12"/>
    </row>
    <row r="782" customFormat="false" ht="15" hidden="false" customHeight="true" outlineLevel="0" collapsed="false">
      <c r="A782" s="6"/>
      <c r="B782" s="6"/>
      <c r="C782" s="6"/>
      <c r="D782" s="6"/>
      <c r="E782" s="13"/>
      <c r="F782" s="6"/>
      <c r="G782" s="11" t="str">
        <f aca="true">IF(F782="","",YEAR(TODAY())-F782)</f>
        <v/>
      </c>
      <c r="H782" s="11" t="str">
        <f aca="false">IF(C782="","",IF(G782="","Thiếu thông tin",IF(G782&lt;6,"Trẻ em",IF(G782&lt;23,"Học sinh / Sinh viên",IF(G782&lt;60,"Đang đi làm","Nghỉ hưu")))))</f>
        <v/>
      </c>
      <c r="I782" s="6"/>
      <c r="J782" s="11" t="str">
        <f aca="false">IF(B782="","",IFERROR(INDEX('Hộ gia đình'!$B$2:$B$2000,MATCH(B782,'Hộ gia đình'!$A$2:$A$2000,0)),"Mã hộ không tồn tại"))</f>
        <v/>
      </c>
      <c r="K782" s="14"/>
      <c r="L782" s="14"/>
      <c r="M782" s="6"/>
      <c r="N782" s="6"/>
      <c r="O782" s="6"/>
      <c r="P782" s="6"/>
      <c r="Q782" s="6"/>
      <c r="R782" s="12"/>
    </row>
    <row r="783" customFormat="false" ht="15" hidden="false" customHeight="true" outlineLevel="0" collapsed="false">
      <c r="A783" s="6"/>
      <c r="B783" s="6"/>
      <c r="C783" s="6"/>
      <c r="D783" s="6"/>
      <c r="E783" s="13"/>
      <c r="F783" s="6"/>
      <c r="G783" s="11" t="str">
        <f aca="true">IF(F783="","",YEAR(TODAY())-F783)</f>
        <v/>
      </c>
      <c r="H783" s="11" t="str">
        <f aca="false">IF(C783="","",IF(G783="","Thiếu thông tin",IF(G783&lt;6,"Trẻ em",IF(G783&lt;23,"Học sinh / Sinh viên",IF(G783&lt;60,"Đang đi làm","Nghỉ hưu")))))</f>
        <v/>
      </c>
      <c r="I783" s="6"/>
      <c r="J783" s="11" t="str">
        <f aca="false">IF(B783="","",IFERROR(INDEX('Hộ gia đình'!$B$2:$B$2000,MATCH(B783,'Hộ gia đình'!$A$2:$A$2000,0)),"Mã hộ không tồn tại"))</f>
        <v/>
      </c>
      <c r="K783" s="14"/>
      <c r="L783" s="14"/>
      <c r="M783" s="6"/>
      <c r="N783" s="6"/>
      <c r="O783" s="6"/>
      <c r="P783" s="6"/>
      <c r="Q783" s="6"/>
      <c r="R783" s="12"/>
    </row>
    <row r="784" customFormat="false" ht="15" hidden="false" customHeight="true" outlineLevel="0" collapsed="false">
      <c r="A784" s="6"/>
      <c r="B784" s="6"/>
      <c r="C784" s="6"/>
      <c r="D784" s="6"/>
      <c r="E784" s="13"/>
      <c r="F784" s="6"/>
      <c r="G784" s="11" t="str">
        <f aca="true">IF(F784="","",YEAR(TODAY())-F784)</f>
        <v/>
      </c>
      <c r="H784" s="11" t="str">
        <f aca="false">IF(C784="","",IF(G784="","Thiếu thông tin",IF(G784&lt;6,"Trẻ em",IF(G784&lt;23,"Học sinh / Sinh viên",IF(G784&lt;60,"Đang đi làm","Nghỉ hưu")))))</f>
        <v/>
      </c>
      <c r="I784" s="6"/>
      <c r="J784" s="11" t="str">
        <f aca="false">IF(B784="","",IFERROR(INDEX('Hộ gia đình'!$B$2:$B$2000,MATCH(B784,'Hộ gia đình'!$A$2:$A$2000,0)),"Mã hộ không tồn tại"))</f>
        <v/>
      </c>
      <c r="K784" s="14"/>
      <c r="L784" s="14"/>
      <c r="M784" s="6"/>
      <c r="N784" s="6"/>
      <c r="O784" s="6"/>
      <c r="P784" s="6"/>
      <c r="Q784" s="6"/>
      <c r="R784" s="12"/>
    </row>
    <row r="785" customFormat="false" ht="15" hidden="false" customHeight="true" outlineLevel="0" collapsed="false">
      <c r="A785" s="6"/>
      <c r="B785" s="6"/>
      <c r="C785" s="6"/>
      <c r="D785" s="6"/>
      <c r="E785" s="13"/>
      <c r="F785" s="6"/>
      <c r="G785" s="11" t="str">
        <f aca="true">IF(F785="","",YEAR(TODAY())-F785)</f>
        <v/>
      </c>
      <c r="H785" s="11" t="str">
        <f aca="false">IF(C785="","",IF(G785="","Thiếu thông tin",IF(G785&lt;6,"Trẻ em",IF(G785&lt;23,"Học sinh / Sinh viên",IF(G785&lt;60,"Đang đi làm","Nghỉ hưu")))))</f>
        <v/>
      </c>
      <c r="I785" s="6"/>
      <c r="J785" s="11" t="str">
        <f aca="false">IF(B785="","",IFERROR(INDEX('Hộ gia đình'!$B$2:$B$2000,MATCH(B785,'Hộ gia đình'!$A$2:$A$2000,0)),"Mã hộ không tồn tại"))</f>
        <v/>
      </c>
      <c r="K785" s="14"/>
      <c r="L785" s="14"/>
      <c r="M785" s="6"/>
      <c r="N785" s="6"/>
      <c r="O785" s="6"/>
      <c r="P785" s="6"/>
      <c r="Q785" s="6"/>
      <c r="R785" s="12"/>
    </row>
    <row r="786" customFormat="false" ht="15" hidden="false" customHeight="true" outlineLevel="0" collapsed="false">
      <c r="A786" s="6"/>
      <c r="B786" s="6"/>
      <c r="C786" s="6"/>
      <c r="D786" s="6"/>
      <c r="E786" s="13"/>
      <c r="F786" s="6"/>
      <c r="G786" s="11" t="str">
        <f aca="true">IF(F786="","",YEAR(TODAY())-F786)</f>
        <v/>
      </c>
      <c r="H786" s="11" t="str">
        <f aca="false">IF(C786="","",IF(G786="","Thiếu thông tin",IF(G786&lt;6,"Trẻ em",IF(G786&lt;23,"Học sinh / Sinh viên",IF(G786&lt;60,"Đang đi làm","Nghỉ hưu")))))</f>
        <v/>
      </c>
      <c r="I786" s="6"/>
      <c r="J786" s="11" t="str">
        <f aca="false">IF(B786="","",IFERROR(INDEX('Hộ gia đình'!$B$2:$B$2000,MATCH(B786,'Hộ gia đình'!$A$2:$A$2000,0)),"Mã hộ không tồn tại"))</f>
        <v/>
      </c>
      <c r="K786" s="14"/>
      <c r="L786" s="14"/>
      <c r="M786" s="6"/>
      <c r="N786" s="6"/>
      <c r="O786" s="6"/>
      <c r="P786" s="6"/>
      <c r="Q786" s="6"/>
      <c r="R786" s="12"/>
    </row>
    <row r="787" customFormat="false" ht="15" hidden="false" customHeight="true" outlineLevel="0" collapsed="false">
      <c r="A787" s="6"/>
      <c r="B787" s="6"/>
      <c r="C787" s="6"/>
      <c r="D787" s="6"/>
      <c r="E787" s="13"/>
      <c r="F787" s="6"/>
      <c r="G787" s="11" t="str">
        <f aca="true">IF(F787="","",YEAR(TODAY())-F787)</f>
        <v/>
      </c>
      <c r="H787" s="11" t="str">
        <f aca="false">IF(C787="","",IF(G787="","Thiếu thông tin",IF(G787&lt;6,"Trẻ em",IF(G787&lt;23,"Học sinh / Sinh viên",IF(G787&lt;60,"Đang đi làm","Nghỉ hưu")))))</f>
        <v/>
      </c>
      <c r="I787" s="6"/>
      <c r="J787" s="11" t="str">
        <f aca="false">IF(B787="","",IFERROR(INDEX('Hộ gia đình'!$B$2:$B$2000,MATCH(B787,'Hộ gia đình'!$A$2:$A$2000,0)),"Mã hộ không tồn tại"))</f>
        <v/>
      </c>
      <c r="K787" s="14"/>
      <c r="L787" s="14"/>
      <c r="M787" s="6"/>
      <c r="N787" s="6"/>
      <c r="O787" s="6"/>
      <c r="P787" s="6"/>
      <c r="Q787" s="6"/>
      <c r="R787" s="12"/>
    </row>
    <row r="788" customFormat="false" ht="15" hidden="false" customHeight="true" outlineLevel="0" collapsed="false">
      <c r="A788" s="6"/>
      <c r="B788" s="6"/>
      <c r="C788" s="6"/>
      <c r="D788" s="6"/>
      <c r="E788" s="13"/>
      <c r="F788" s="6"/>
      <c r="G788" s="11" t="str">
        <f aca="true">IF(F788="","",YEAR(TODAY())-F788)</f>
        <v/>
      </c>
      <c r="H788" s="11" t="str">
        <f aca="false">IF(C788="","",IF(G788="","Thiếu thông tin",IF(G788&lt;6,"Trẻ em",IF(G788&lt;23,"Học sinh / Sinh viên",IF(G788&lt;60,"Đang đi làm","Nghỉ hưu")))))</f>
        <v/>
      </c>
      <c r="I788" s="6"/>
      <c r="J788" s="11" t="str">
        <f aca="false">IF(B788="","",IFERROR(INDEX('Hộ gia đình'!$B$2:$B$2000,MATCH(B788,'Hộ gia đình'!$A$2:$A$2000,0)),"Mã hộ không tồn tại"))</f>
        <v/>
      </c>
      <c r="K788" s="14"/>
      <c r="L788" s="14"/>
      <c r="M788" s="6"/>
      <c r="N788" s="6"/>
      <c r="O788" s="6"/>
      <c r="P788" s="6"/>
      <c r="Q788" s="6"/>
      <c r="R788" s="12"/>
    </row>
    <row r="789" customFormat="false" ht="15" hidden="false" customHeight="true" outlineLevel="0" collapsed="false">
      <c r="A789" s="6"/>
      <c r="B789" s="6"/>
      <c r="C789" s="6"/>
      <c r="D789" s="6"/>
      <c r="E789" s="13"/>
      <c r="F789" s="6"/>
      <c r="G789" s="11" t="str">
        <f aca="true">IF(F789="","",YEAR(TODAY())-F789)</f>
        <v/>
      </c>
      <c r="H789" s="11" t="str">
        <f aca="false">IF(C789="","",IF(G789="","Thiếu thông tin",IF(G789&lt;6,"Trẻ em",IF(G789&lt;23,"Học sinh / Sinh viên",IF(G789&lt;60,"Đang đi làm","Nghỉ hưu")))))</f>
        <v/>
      </c>
      <c r="I789" s="6"/>
      <c r="J789" s="11" t="str">
        <f aca="false">IF(B789="","",IFERROR(INDEX('Hộ gia đình'!$B$2:$B$2000,MATCH(B789,'Hộ gia đình'!$A$2:$A$2000,0)),"Mã hộ không tồn tại"))</f>
        <v/>
      </c>
      <c r="K789" s="14"/>
      <c r="L789" s="14"/>
      <c r="M789" s="6"/>
      <c r="N789" s="6"/>
      <c r="O789" s="6"/>
      <c r="P789" s="6"/>
      <c r="Q789" s="6"/>
      <c r="R789" s="12"/>
    </row>
    <row r="790" customFormat="false" ht="15" hidden="false" customHeight="true" outlineLevel="0" collapsed="false">
      <c r="A790" s="6"/>
      <c r="B790" s="6"/>
      <c r="C790" s="6"/>
      <c r="D790" s="6"/>
      <c r="E790" s="13"/>
      <c r="F790" s="6"/>
      <c r="G790" s="11" t="str">
        <f aca="true">IF(F790="","",YEAR(TODAY())-F790)</f>
        <v/>
      </c>
      <c r="H790" s="11" t="str">
        <f aca="false">IF(C790="","",IF(G790="","Thiếu thông tin",IF(G790&lt;6,"Trẻ em",IF(G790&lt;23,"Học sinh / Sinh viên",IF(G790&lt;60,"Đang đi làm","Nghỉ hưu")))))</f>
        <v/>
      </c>
      <c r="I790" s="6"/>
      <c r="J790" s="11" t="str">
        <f aca="false">IF(B790="","",IFERROR(INDEX('Hộ gia đình'!$B$2:$B$2000,MATCH(B790,'Hộ gia đình'!$A$2:$A$2000,0)),"Mã hộ không tồn tại"))</f>
        <v/>
      </c>
      <c r="K790" s="14"/>
      <c r="L790" s="14"/>
      <c r="M790" s="6"/>
      <c r="N790" s="6"/>
      <c r="O790" s="6"/>
      <c r="P790" s="6"/>
      <c r="Q790" s="6"/>
      <c r="R790" s="12"/>
    </row>
    <row r="791" customFormat="false" ht="15" hidden="false" customHeight="true" outlineLevel="0" collapsed="false">
      <c r="A791" s="6"/>
      <c r="B791" s="6"/>
      <c r="C791" s="6"/>
      <c r="D791" s="6"/>
      <c r="E791" s="13"/>
      <c r="F791" s="6"/>
      <c r="G791" s="11" t="str">
        <f aca="true">IF(F791="","",YEAR(TODAY())-F791)</f>
        <v/>
      </c>
      <c r="H791" s="11" t="str">
        <f aca="false">IF(C791="","",IF(G791="","Thiếu thông tin",IF(G791&lt;6,"Trẻ em",IF(G791&lt;23,"Học sinh / Sinh viên",IF(G791&lt;60,"Đang đi làm","Nghỉ hưu")))))</f>
        <v/>
      </c>
      <c r="I791" s="6"/>
      <c r="J791" s="11" t="str">
        <f aca="false">IF(B791="","",IFERROR(INDEX('Hộ gia đình'!$B$2:$B$2000,MATCH(B791,'Hộ gia đình'!$A$2:$A$2000,0)),"Mã hộ không tồn tại"))</f>
        <v/>
      </c>
      <c r="K791" s="14"/>
      <c r="L791" s="14"/>
      <c r="M791" s="6"/>
      <c r="N791" s="6"/>
      <c r="O791" s="6"/>
      <c r="P791" s="6"/>
      <c r="Q791" s="6"/>
      <c r="R791" s="12"/>
    </row>
    <row r="792" customFormat="false" ht="15" hidden="false" customHeight="true" outlineLevel="0" collapsed="false">
      <c r="A792" s="6"/>
      <c r="B792" s="6"/>
      <c r="C792" s="6"/>
      <c r="D792" s="6"/>
      <c r="E792" s="13"/>
      <c r="F792" s="6"/>
      <c r="G792" s="11" t="str">
        <f aca="true">IF(F792="","",YEAR(TODAY())-F792)</f>
        <v/>
      </c>
      <c r="H792" s="11" t="str">
        <f aca="false">IF(C792="","",IF(G792="","Thiếu thông tin",IF(G792&lt;6,"Trẻ em",IF(G792&lt;23,"Học sinh / Sinh viên",IF(G792&lt;60,"Đang đi làm","Nghỉ hưu")))))</f>
        <v/>
      </c>
      <c r="I792" s="6"/>
      <c r="J792" s="11" t="str">
        <f aca="false">IF(B792="","",IFERROR(INDEX('Hộ gia đình'!$B$2:$B$2000,MATCH(B792,'Hộ gia đình'!$A$2:$A$2000,0)),"Mã hộ không tồn tại"))</f>
        <v/>
      </c>
      <c r="K792" s="14"/>
      <c r="L792" s="14"/>
      <c r="M792" s="6"/>
      <c r="N792" s="6"/>
      <c r="O792" s="6"/>
      <c r="P792" s="6"/>
      <c r="Q792" s="6"/>
      <c r="R792" s="12"/>
    </row>
    <row r="793" customFormat="false" ht="15" hidden="false" customHeight="true" outlineLevel="0" collapsed="false">
      <c r="A793" s="6"/>
      <c r="B793" s="6"/>
      <c r="C793" s="6"/>
      <c r="D793" s="6"/>
      <c r="E793" s="13"/>
      <c r="F793" s="6"/>
      <c r="G793" s="11" t="str">
        <f aca="true">IF(F793="","",YEAR(TODAY())-F793)</f>
        <v/>
      </c>
      <c r="H793" s="11" t="str">
        <f aca="false">IF(C793="","",IF(G793="","Thiếu thông tin",IF(G793&lt;6,"Trẻ em",IF(G793&lt;23,"Học sinh / Sinh viên",IF(G793&lt;60,"Đang đi làm","Nghỉ hưu")))))</f>
        <v/>
      </c>
      <c r="I793" s="6"/>
      <c r="J793" s="11" t="str">
        <f aca="false">IF(B793="","",IFERROR(INDEX('Hộ gia đình'!$B$2:$B$2000,MATCH(B793,'Hộ gia đình'!$A$2:$A$2000,0)),"Mã hộ không tồn tại"))</f>
        <v/>
      </c>
      <c r="K793" s="14"/>
      <c r="L793" s="14"/>
      <c r="M793" s="6"/>
      <c r="N793" s="6"/>
      <c r="O793" s="6"/>
      <c r="P793" s="6"/>
      <c r="Q793" s="6"/>
      <c r="R793" s="12"/>
    </row>
    <row r="794" customFormat="false" ht="15" hidden="false" customHeight="true" outlineLevel="0" collapsed="false">
      <c r="A794" s="6"/>
      <c r="B794" s="6"/>
      <c r="C794" s="6"/>
      <c r="D794" s="6"/>
      <c r="E794" s="13"/>
      <c r="F794" s="6"/>
      <c r="G794" s="11" t="str">
        <f aca="true">IF(F794="","",YEAR(TODAY())-F794)</f>
        <v/>
      </c>
      <c r="H794" s="11" t="str">
        <f aca="false">IF(C794="","",IF(G794="","Thiếu thông tin",IF(G794&lt;6,"Trẻ em",IF(G794&lt;23,"Học sinh / Sinh viên",IF(G794&lt;60,"Đang đi làm","Nghỉ hưu")))))</f>
        <v/>
      </c>
      <c r="I794" s="6"/>
      <c r="J794" s="11" t="str">
        <f aca="false">IF(B794="","",IFERROR(INDEX('Hộ gia đình'!$B$2:$B$2000,MATCH(B794,'Hộ gia đình'!$A$2:$A$2000,0)),"Mã hộ không tồn tại"))</f>
        <v/>
      </c>
      <c r="K794" s="14"/>
      <c r="L794" s="14"/>
      <c r="M794" s="6"/>
      <c r="N794" s="6"/>
      <c r="O794" s="6"/>
      <c r="P794" s="6"/>
      <c r="Q794" s="6"/>
      <c r="R794" s="12"/>
    </row>
    <row r="795" customFormat="false" ht="15" hidden="false" customHeight="true" outlineLevel="0" collapsed="false">
      <c r="A795" s="6"/>
      <c r="B795" s="6"/>
      <c r="C795" s="6"/>
      <c r="D795" s="6"/>
      <c r="E795" s="13"/>
      <c r="F795" s="6"/>
      <c r="G795" s="11" t="str">
        <f aca="true">IF(F795="","",YEAR(TODAY())-F795)</f>
        <v/>
      </c>
      <c r="H795" s="11" t="str">
        <f aca="false">IF(C795="","",IF(G795="","Thiếu thông tin",IF(G795&lt;6,"Trẻ em",IF(G795&lt;23,"Học sinh / Sinh viên",IF(G795&lt;60,"Đang đi làm","Nghỉ hưu")))))</f>
        <v/>
      </c>
      <c r="I795" s="6"/>
      <c r="J795" s="11" t="str">
        <f aca="false">IF(B795="","",IFERROR(INDEX('Hộ gia đình'!$B$2:$B$2000,MATCH(B795,'Hộ gia đình'!$A$2:$A$2000,0)),"Mã hộ không tồn tại"))</f>
        <v/>
      </c>
      <c r="K795" s="14"/>
      <c r="L795" s="14"/>
      <c r="M795" s="6"/>
      <c r="N795" s="6"/>
      <c r="O795" s="6"/>
      <c r="P795" s="6"/>
      <c r="Q795" s="6"/>
      <c r="R795" s="12"/>
    </row>
    <row r="796" customFormat="false" ht="15" hidden="false" customHeight="true" outlineLevel="0" collapsed="false">
      <c r="A796" s="6"/>
      <c r="B796" s="6"/>
      <c r="C796" s="6"/>
      <c r="D796" s="6"/>
      <c r="E796" s="13"/>
      <c r="F796" s="6"/>
      <c r="G796" s="11" t="str">
        <f aca="true">IF(F796="","",YEAR(TODAY())-F796)</f>
        <v/>
      </c>
      <c r="H796" s="11" t="str">
        <f aca="false">IF(C796="","",IF(G796="","Thiếu thông tin",IF(G796&lt;6,"Trẻ em",IF(G796&lt;23,"Học sinh / Sinh viên",IF(G796&lt;60,"Đang đi làm","Nghỉ hưu")))))</f>
        <v/>
      </c>
      <c r="I796" s="6"/>
      <c r="J796" s="11" t="str">
        <f aca="false">IF(B796="","",IFERROR(INDEX('Hộ gia đình'!$B$2:$B$2000,MATCH(B796,'Hộ gia đình'!$A$2:$A$2000,0)),"Mã hộ không tồn tại"))</f>
        <v/>
      </c>
      <c r="K796" s="14"/>
      <c r="L796" s="14"/>
      <c r="M796" s="6"/>
      <c r="N796" s="6"/>
      <c r="O796" s="6"/>
      <c r="P796" s="6"/>
      <c r="Q796" s="6"/>
      <c r="R796" s="12"/>
    </row>
    <row r="797" customFormat="false" ht="15" hidden="false" customHeight="true" outlineLevel="0" collapsed="false">
      <c r="A797" s="6"/>
      <c r="B797" s="6"/>
      <c r="C797" s="6"/>
      <c r="D797" s="6"/>
      <c r="E797" s="13"/>
      <c r="F797" s="6"/>
      <c r="G797" s="11" t="str">
        <f aca="true">IF(F797="","",YEAR(TODAY())-F797)</f>
        <v/>
      </c>
      <c r="H797" s="11" t="str">
        <f aca="false">IF(C797="","",IF(G797="","Thiếu thông tin",IF(G797&lt;6,"Trẻ em",IF(G797&lt;23,"Học sinh / Sinh viên",IF(G797&lt;60,"Đang đi làm","Nghỉ hưu")))))</f>
        <v/>
      </c>
      <c r="I797" s="6"/>
      <c r="J797" s="11" t="str">
        <f aca="false">IF(B797="","",IFERROR(INDEX('Hộ gia đình'!$B$2:$B$2000,MATCH(B797,'Hộ gia đình'!$A$2:$A$2000,0)),"Mã hộ không tồn tại"))</f>
        <v/>
      </c>
      <c r="K797" s="14"/>
      <c r="L797" s="14"/>
      <c r="M797" s="6"/>
      <c r="N797" s="6"/>
      <c r="O797" s="6"/>
      <c r="P797" s="6"/>
      <c r="Q797" s="6"/>
      <c r="R797" s="12"/>
    </row>
    <row r="798" customFormat="false" ht="15" hidden="false" customHeight="true" outlineLevel="0" collapsed="false">
      <c r="A798" s="6"/>
      <c r="B798" s="6"/>
      <c r="C798" s="6"/>
      <c r="D798" s="6"/>
      <c r="E798" s="13"/>
      <c r="F798" s="6"/>
      <c r="G798" s="11" t="str">
        <f aca="true">IF(F798="","",YEAR(TODAY())-F798)</f>
        <v/>
      </c>
      <c r="H798" s="11" t="str">
        <f aca="false">IF(C798="","",IF(G798="","Thiếu thông tin",IF(G798&lt;6,"Trẻ em",IF(G798&lt;23,"Học sinh / Sinh viên",IF(G798&lt;60,"Đang đi làm","Nghỉ hưu")))))</f>
        <v/>
      </c>
      <c r="I798" s="6"/>
      <c r="J798" s="11" t="str">
        <f aca="false">IF(B798="","",IFERROR(INDEX('Hộ gia đình'!$B$2:$B$2000,MATCH(B798,'Hộ gia đình'!$A$2:$A$2000,0)),"Mã hộ không tồn tại"))</f>
        <v/>
      </c>
      <c r="K798" s="14"/>
      <c r="L798" s="14"/>
      <c r="M798" s="6"/>
      <c r="N798" s="6"/>
      <c r="O798" s="6"/>
      <c r="P798" s="6"/>
      <c r="Q798" s="6"/>
      <c r="R798" s="12"/>
    </row>
    <row r="799" customFormat="false" ht="15" hidden="false" customHeight="true" outlineLevel="0" collapsed="false">
      <c r="A799" s="6"/>
      <c r="B799" s="6"/>
      <c r="C799" s="6"/>
      <c r="D799" s="6"/>
      <c r="E799" s="13"/>
      <c r="F799" s="6"/>
      <c r="G799" s="11" t="str">
        <f aca="true">IF(F799="","",YEAR(TODAY())-F799)</f>
        <v/>
      </c>
      <c r="H799" s="11" t="str">
        <f aca="false">IF(C799="","",IF(G799="","Thiếu thông tin",IF(G799&lt;6,"Trẻ em",IF(G799&lt;23,"Học sinh / Sinh viên",IF(G799&lt;60,"Đang đi làm","Nghỉ hưu")))))</f>
        <v/>
      </c>
      <c r="I799" s="6"/>
      <c r="J799" s="11" t="str">
        <f aca="false">IF(B799="","",IFERROR(INDEX('Hộ gia đình'!$B$2:$B$2000,MATCH(B799,'Hộ gia đình'!$A$2:$A$2000,0)),"Mã hộ không tồn tại"))</f>
        <v/>
      </c>
      <c r="K799" s="14"/>
      <c r="L799" s="14"/>
      <c r="M799" s="6"/>
      <c r="N799" s="6"/>
      <c r="O799" s="6"/>
      <c r="P799" s="6"/>
      <c r="Q799" s="6"/>
      <c r="R799" s="12"/>
    </row>
    <row r="800" customFormat="false" ht="15" hidden="false" customHeight="true" outlineLevel="0" collapsed="false">
      <c r="A800" s="6"/>
      <c r="B800" s="6"/>
      <c r="C800" s="6"/>
      <c r="D800" s="6"/>
      <c r="E800" s="13"/>
      <c r="F800" s="6"/>
      <c r="G800" s="11" t="str">
        <f aca="true">IF(F800="","",YEAR(TODAY())-F800)</f>
        <v/>
      </c>
      <c r="H800" s="11" t="str">
        <f aca="false">IF(C800="","",IF(G800="","Thiếu thông tin",IF(G800&lt;6,"Trẻ em",IF(G800&lt;23,"Học sinh / Sinh viên",IF(G800&lt;60,"Đang đi làm","Nghỉ hưu")))))</f>
        <v/>
      </c>
      <c r="I800" s="6"/>
      <c r="J800" s="11" t="str">
        <f aca="false">IF(B800="","",IFERROR(INDEX('Hộ gia đình'!$B$2:$B$2000,MATCH(B800,'Hộ gia đình'!$A$2:$A$2000,0)),"Mã hộ không tồn tại"))</f>
        <v/>
      </c>
      <c r="K800" s="14"/>
      <c r="L800" s="14"/>
      <c r="M800" s="6"/>
      <c r="N800" s="6"/>
      <c r="O800" s="6"/>
      <c r="P800" s="6"/>
      <c r="Q800" s="6"/>
      <c r="R800" s="12"/>
    </row>
    <row r="801" customFormat="false" ht="15" hidden="false" customHeight="true" outlineLevel="0" collapsed="false">
      <c r="A801" s="6"/>
      <c r="B801" s="6"/>
      <c r="C801" s="6"/>
      <c r="D801" s="6"/>
      <c r="E801" s="13"/>
      <c r="F801" s="6"/>
      <c r="G801" s="11" t="str">
        <f aca="true">IF(F801="","",YEAR(TODAY())-F801)</f>
        <v/>
      </c>
      <c r="H801" s="11" t="str">
        <f aca="false">IF(C801="","",IF(G801="","Thiếu thông tin",IF(G801&lt;6,"Trẻ em",IF(G801&lt;23,"Học sinh / Sinh viên",IF(G801&lt;60,"Đang đi làm","Nghỉ hưu")))))</f>
        <v/>
      </c>
      <c r="I801" s="6"/>
      <c r="J801" s="11" t="str">
        <f aca="false">IF(B801="","",IFERROR(INDEX('Hộ gia đình'!$B$2:$B$2000,MATCH(B801,'Hộ gia đình'!$A$2:$A$2000,0)),"Mã hộ không tồn tại"))</f>
        <v/>
      </c>
      <c r="K801" s="14"/>
      <c r="L801" s="14"/>
      <c r="M801" s="6"/>
      <c r="N801" s="6"/>
      <c r="O801" s="6"/>
      <c r="P801" s="6"/>
      <c r="Q801" s="6"/>
      <c r="R801" s="12"/>
    </row>
    <row r="802" customFormat="false" ht="15" hidden="false" customHeight="true" outlineLevel="0" collapsed="false">
      <c r="A802" s="6"/>
      <c r="B802" s="6"/>
      <c r="C802" s="6"/>
      <c r="D802" s="6"/>
      <c r="E802" s="13"/>
      <c r="F802" s="6"/>
      <c r="G802" s="11" t="str">
        <f aca="true">IF(F802="","",YEAR(TODAY())-F802)</f>
        <v/>
      </c>
      <c r="H802" s="11" t="str">
        <f aca="false">IF(C802="","",IF(G802="","Thiếu thông tin",IF(G802&lt;6,"Trẻ em",IF(G802&lt;23,"Học sinh / Sinh viên",IF(G802&lt;60,"Đang đi làm","Nghỉ hưu")))))</f>
        <v/>
      </c>
      <c r="I802" s="6"/>
      <c r="J802" s="11" t="str">
        <f aca="false">IF(B802="","",IFERROR(INDEX('Hộ gia đình'!$B$2:$B$2000,MATCH(B802,'Hộ gia đình'!$A$2:$A$2000,0)),"Mã hộ không tồn tại"))</f>
        <v/>
      </c>
      <c r="K802" s="14"/>
      <c r="L802" s="14"/>
      <c r="M802" s="6"/>
      <c r="N802" s="6"/>
      <c r="O802" s="6"/>
      <c r="P802" s="6"/>
      <c r="Q802" s="6"/>
      <c r="R802" s="12"/>
    </row>
    <row r="803" customFormat="false" ht="15" hidden="false" customHeight="true" outlineLevel="0" collapsed="false">
      <c r="A803" s="6"/>
      <c r="B803" s="6"/>
      <c r="C803" s="6"/>
      <c r="D803" s="6"/>
      <c r="E803" s="13"/>
      <c r="F803" s="6"/>
      <c r="G803" s="11" t="str">
        <f aca="true">IF(F803="","",YEAR(TODAY())-F803)</f>
        <v/>
      </c>
      <c r="H803" s="11" t="str">
        <f aca="false">IF(C803="","",IF(G803="","Thiếu thông tin",IF(G803&lt;6,"Trẻ em",IF(G803&lt;23,"Học sinh / Sinh viên",IF(G803&lt;60,"Đang đi làm","Nghỉ hưu")))))</f>
        <v/>
      </c>
      <c r="I803" s="6"/>
      <c r="J803" s="11" t="str">
        <f aca="false">IF(B803="","",IFERROR(INDEX('Hộ gia đình'!$B$2:$B$2000,MATCH(B803,'Hộ gia đình'!$A$2:$A$2000,0)),"Mã hộ không tồn tại"))</f>
        <v/>
      </c>
      <c r="K803" s="14"/>
      <c r="L803" s="14"/>
      <c r="M803" s="6"/>
      <c r="N803" s="6"/>
      <c r="O803" s="6"/>
      <c r="P803" s="6"/>
      <c r="Q803" s="6"/>
      <c r="R803" s="12"/>
    </row>
    <row r="804" customFormat="false" ht="15" hidden="false" customHeight="true" outlineLevel="0" collapsed="false">
      <c r="A804" s="6"/>
      <c r="B804" s="6"/>
      <c r="C804" s="6"/>
      <c r="D804" s="6"/>
      <c r="E804" s="13"/>
      <c r="F804" s="6"/>
      <c r="G804" s="11" t="str">
        <f aca="true">IF(F804="","",YEAR(TODAY())-F804)</f>
        <v/>
      </c>
      <c r="H804" s="11" t="str">
        <f aca="false">IF(C804="","",IF(G804="","Thiếu thông tin",IF(G804&lt;6,"Trẻ em",IF(G804&lt;23,"Học sinh / Sinh viên",IF(G804&lt;60,"Đang đi làm","Nghỉ hưu")))))</f>
        <v/>
      </c>
      <c r="I804" s="6"/>
      <c r="J804" s="11" t="str">
        <f aca="false">IF(B804="","",IFERROR(INDEX('Hộ gia đình'!$B$2:$B$2000,MATCH(B804,'Hộ gia đình'!$A$2:$A$2000,0)),"Mã hộ không tồn tại"))</f>
        <v/>
      </c>
      <c r="K804" s="14"/>
      <c r="L804" s="14"/>
      <c r="M804" s="6"/>
      <c r="N804" s="6"/>
      <c r="O804" s="6"/>
      <c r="P804" s="6"/>
      <c r="Q804" s="6"/>
      <c r="R804" s="12"/>
    </row>
    <row r="805" customFormat="false" ht="15" hidden="false" customHeight="true" outlineLevel="0" collapsed="false">
      <c r="A805" s="6"/>
      <c r="B805" s="6"/>
      <c r="C805" s="6"/>
      <c r="D805" s="6"/>
      <c r="E805" s="13"/>
      <c r="F805" s="6"/>
      <c r="G805" s="11" t="str">
        <f aca="true">IF(F805="","",YEAR(TODAY())-F805)</f>
        <v/>
      </c>
      <c r="H805" s="11" t="str">
        <f aca="false">IF(C805="","",IF(G805="","Thiếu thông tin",IF(G805&lt;6,"Trẻ em",IF(G805&lt;23,"Học sinh / Sinh viên",IF(G805&lt;60,"Đang đi làm","Nghỉ hưu")))))</f>
        <v/>
      </c>
      <c r="I805" s="6"/>
      <c r="J805" s="11" t="str">
        <f aca="false">IF(B805="","",IFERROR(INDEX('Hộ gia đình'!$B$2:$B$2000,MATCH(B805,'Hộ gia đình'!$A$2:$A$2000,0)),"Mã hộ không tồn tại"))</f>
        <v/>
      </c>
      <c r="K805" s="14"/>
      <c r="L805" s="14"/>
      <c r="M805" s="6"/>
      <c r="N805" s="6"/>
      <c r="O805" s="6"/>
      <c r="P805" s="6"/>
      <c r="Q805" s="6"/>
      <c r="R805" s="12"/>
    </row>
    <row r="806" customFormat="false" ht="15" hidden="false" customHeight="true" outlineLevel="0" collapsed="false">
      <c r="A806" s="6"/>
      <c r="B806" s="6"/>
      <c r="C806" s="6"/>
      <c r="D806" s="6"/>
      <c r="E806" s="13"/>
      <c r="F806" s="6"/>
      <c r="G806" s="11" t="str">
        <f aca="true">IF(F806="","",YEAR(TODAY())-F806)</f>
        <v/>
      </c>
      <c r="H806" s="11" t="str">
        <f aca="false">IF(C806="","",IF(G806="","Thiếu thông tin",IF(G806&lt;6,"Trẻ em",IF(G806&lt;23,"Học sinh / Sinh viên",IF(G806&lt;60,"Đang đi làm","Nghỉ hưu")))))</f>
        <v/>
      </c>
      <c r="I806" s="6"/>
      <c r="J806" s="11" t="str">
        <f aca="false">IF(B806="","",IFERROR(INDEX('Hộ gia đình'!$B$2:$B$2000,MATCH(B806,'Hộ gia đình'!$A$2:$A$2000,0)),"Mã hộ không tồn tại"))</f>
        <v/>
      </c>
      <c r="K806" s="14"/>
      <c r="L806" s="14"/>
      <c r="M806" s="6"/>
      <c r="N806" s="6"/>
      <c r="O806" s="6"/>
      <c r="P806" s="6"/>
      <c r="Q806" s="6"/>
      <c r="R806" s="12"/>
    </row>
    <row r="807" customFormat="false" ht="15" hidden="false" customHeight="true" outlineLevel="0" collapsed="false">
      <c r="A807" s="6"/>
      <c r="B807" s="6"/>
      <c r="C807" s="6"/>
      <c r="D807" s="6"/>
      <c r="E807" s="13"/>
      <c r="F807" s="6"/>
      <c r="G807" s="11" t="str">
        <f aca="true">IF(F807="","",YEAR(TODAY())-F807)</f>
        <v/>
      </c>
      <c r="H807" s="11" t="str">
        <f aca="false">IF(C807="","",IF(G807="","Thiếu thông tin",IF(G807&lt;6,"Trẻ em",IF(G807&lt;23,"Học sinh / Sinh viên",IF(G807&lt;60,"Đang đi làm","Nghỉ hưu")))))</f>
        <v/>
      </c>
      <c r="I807" s="6"/>
      <c r="J807" s="11" t="str">
        <f aca="false">IF(B807="","",IFERROR(INDEX('Hộ gia đình'!$B$2:$B$2000,MATCH(B807,'Hộ gia đình'!$A$2:$A$2000,0)),"Mã hộ không tồn tại"))</f>
        <v/>
      </c>
      <c r="K807" s="14"/>
      <c r="L807" s="14"/>
      <c r="M807" s="6"/>
      <c r="N807" s="6"/>
      <c r="O807" s="6"/>
      <c r="P807" s="6"/>
      <c r="Q807" s="6"/>
      <c r="R807" s="12"/>
    </row>
    <row r="808" customFormat="false" ht="15" hidden="false" customHeight="true" outlineLevel="0" collapsed="false">
      <c r="A808" s="6"/>
      <c r="B808" s="6"/>
      <c r="C808" s="6"/>
      <c r="D808" s="6"/>
      <c r="E808" s="13"/>
      <c r="F808" s="6"/>
      <c r="G808" s="11" t="str">
        <f aca="true">IF(F808="","",YEAR(TODAY())-F808)</f>
        <v/>
      </c>
      <c r="H808" s="11" t="str">
        <f aca="false">IF(C808="","",IF(G808="","Thiếu thông tin",IF(G808&lt;6,"Trẻ em",IF(G808&lt;23,"Học sinh / Sinh viên",IF(G808&lt;60,"Đang đi làm","Nghỉ hưu")))))</f>
        <v/>
      </c>
      <c r="I808" s="6"/>
      <c r="J808" s="11" t="str">
        <f aca="false">IF(B808="","",IFERROR(INDEX('Hộ gia đình'!$B$2:$B$2000,MATCH(B808,'Hộ gia đình'!$A$2:$A$2000,0)),"Mã hộ không tồn tại"))</f>
        <v/>
      </c>
      <c r="K808" s="14"/>
      <c r="L808" s="14"/>
      <c r="M808" s="6"/>
      <c r="N808" s="6"/>
      <c r="O808" s="6"/>
      <c r="P808" s="6"/>
      <c r="Q808" s="6"/>
      <c r="R808" s="12"/>
    </row>
    <row r="809" customFormat="false" ht="15" hidden="false" customHeight="true" outlineLevel="0" collapsed="false">
      <c r="A809" s="6"/>
      <c r="B809" s="6"/>
      <c r="C809" s="6"/>
      <c r="D809" s="6"/>
      <c r="E809" s="13"/>
      <c r="F809" s="6"/>
      <c r="G809" s="11" t="str">
        <f aca="true">IF(F809="","",YEAR(TODAY())-F809)</f>
        <v/>
      </c>
      <c r="H809" s="11" t="str">
        <f aca="false">IF(C809="","",IF(G809="","Thiếu thông tin",IF(G809&lt;6,"Trẻ em",IF(G809&lt;23,"Học sinh / Sinh viên",IF(G809&lt;60,"Đang đi làm","Nghỉ hưu")))))</f>
        <v/>
      </c>
      <c r="I809" s="6"/>
      <c r="J809" s="11" t="str">
        <f aca="false">IF(B809="","",IFERROR(INDEX('Hộ gia đình'!$B$2:$B$2000,MATCH(B809,'Hộ gia đình'!$A$2:$A$2000,0)),"Mã hộ không tồn tại"))</f>
        <v/>
      </c>
      <c r="K809" s="14"/>
      <c r="L809" s="14"/>
      <c r="M809" s="6"/>
      <c r="N809" s="6"/>
      <c r="O809" s="6"/>
      <c r="P809" s="6"/>
      <c r="Q809" s="6"/>
      <c r="R809" s="12"/>
    </row>
    <row r="810" customFormat="false" ht="15" hidden="false" customHeight="true" outlineLevel="0" collapsed="false">
      <c r="A810" s="6"/>
      <c r="B810" s="6"/>
      <c r="C810" s="6"/>
      <c r="D810" s="6"/>
      <c r="E810" s="13"/>
      <c r="F810" s="6"/>
      <c r="G810" s="11" t="str">
        <f aca="true">IF(F810="","",YEAR(TODAY())-F810)</f>
        <v/>
      </c>
      <c r="H810" s="11" t="str">
        <f aca="false">IF(C810="","",IF(G810="","Thiếu thông tin",IF(G810&lt;6,"Trẻ em",IF(G810&lt;23,"Học sinh / Sinh viên",IF(G810&lt;60,"Đang đi làm","Nghỉ hưu")))))</f>
        <v/>
      </c>
      <c r="I810" s="6"/>
      <c r="J810" s="11" t="str">
        <f aca="false">IF(B810="","",IFERROR(INDEX('Hộ gia đình'!$B$2:$B$2000,MATCH(B810,'Hộ gia đình'!$A$2:$A$2000,0)),"Mã hộ không tồn tại"))</f>
        <v/>
      </c>
      <c r="K810" s="14"/>
      <c r="L810" s="14"/>
      <c r="M810" s="6"/>
      <c r="N810" s="6"/>
      <c r="O810" s="6"/>
      <c r="P810" s="6"/>
      <c r="Q810" s="6"/>
      <c r="R810" s="12"/>
    </row>
    <row r="811" customFormat="false" ht="15" hidden="false" customHeight="true" outlineLevel="0" collapsed="false">
      <c r="A811" s="6"/>
      <c r="B811" s="6"/>
      <c r="C811" s="6"/>
      <c r="D811" s="6"/>
      <c r="E811" s="13"/>
      <c r="F811" s="6"/>
      <c r="G811" s="11" t="str">
        <f aca="true">IF(F811="","",YEAR(TODAY())-F811)</f>
        <v/>
      </c>
      <c r="H811" s="11" t="str">
        <f aca="false">IF(C811="","",IF(G811="","Thiếu thông tin",IF(G811&lt;6,"Trẻ em",IF(G811&lt;23,"Học sinh / Sinh viên",IF(G811&lt;60,"Đang đi làm","Nghỉ hưu")))))</f>
        <v/>
      </c>
      <c r="I811" s="6"/>
      <c r="J811" s="11" t="str">
        <f aca="false">IF(B811="","",IFERROR(INDEX('Hộ gia đình'!$B$2:$B$2000,MATCH(B811,'Hộ gia đình'!$A$2:$A$2000,0)),"Mã hộ không tồn tại"))</f>
        <v/>
      </c>
      <c r="K811" s="14"/>
      <c r="L811" s="14"/>
      <c r="M811" s="6"/>
      <c r="N811" s="6"/>
      <c r="O811" s="6"/>
      <c r="P811" s="6"/>
      <c r="Q811" s="6"/>
      <c r="R811" s="12"/>
    </row>
    <row r="812" customFormat="false" ht="15" hidden="false" customHeight="true" outlineLevel="0" collapsed="false">
      <c r="A812" s="6"/>
      <c r="B812" s="6"/>
      <c r="C812" s="6"/>
      <c r="D812" s="6"/>
      <c r="E812" s="13"/>
      <c r="F812" s="6"/>
      <c r="G812" s="11" t="str">
        <f aca="true">IF(F812="","",YEAR(TODAY())-F812)</f>
        <v/>
      </c>
      <c r="H812" s="11" t="str">
        <f aca="false">IF(C812="","",IF(G812="","Thiếu thông tin",IF(G812&lt;6,"Trẻ em",IF(G812&lt;23,"Học sinh / Sinh viên",IF(G812&lt;60,"Đang đi làm","Nghỉ hưu")))))</f>
        <v/>
      </c>
      <c r="I812" s="6"/>
      <c r="J812" s="11" t="str">
        <f aca="false">IF(B812="","",IFERROR(INDEX('Hộ gia đình'!$B$2:$B$2000,MATCH(B812,'Hộ gia đình'!$A$2:$A$2000,0)),"Mã hộ không tồn tại"))</f>
        <v/>
      </c>
      <c r="K812" s="14"/>
      <c r="L812" s="14"/>
      <c r="M812" s="6"/>
      <c r="N812" s="6"/>
      <c r="O812" s="6"/>
      <c r="P812" s="6"/>
      <c r="Q812" s="6"/>
      <c r="R812" s="12"/>
    </row>
    <row r="813" customFormat="false" ht="15" hidden="false" customHeight="true" outlineLevel="0" collapsed="false">
      <c r="A813" s="6"/>
      <c r="B813" s="6"/>
      <c r="C813" s="6"/>
      <c r="D813" s="6"/>
      <c r="E813" s="13"/>
      <c r="F813" s="6"/>
      <c r="G813" s="11" t="str">
        <f aca="true">IF(F813="","",YEAR(TODAY())-F813)</f>
        <v/>
      </c>
      <c r="H813" s="11" t="str">
        <f aca="false">IF(C813="","",IF(G813="","Thiếu thông tin",IF(G813&lt;6,"Trẻ em",IF(G813&lt;23,"Học sinh / Sinh viên",IF(G813&lt;60,"Đang đi làm","Nghỉ hưu")))))</f>
        <v/>
      </c>
      <c r="I813" s="6"/>
      <c r="J813" s="11" t="str">
        <f aca="false">IF(B813="","",IFERROR(INDEX('Hộ gia đình'!$B$2:$B$2000,MATCH(B813,'Hộ gia đình'!$A$2:$A$2000,0)),"Mã hộ không tồn tại"))</f>
        <v/>
      </c>
      <c r="K813" s="14"/>
      <c r="L813" s="14"/>
      <c r="M813" s="6"/>
      <c r="N813" s="6"/>
      <c r="O813" s="6"/>
      <c r="P813" s="6"/>
      <c r="Q813" s="6"/>
      <c r="R813" s="12"/>
    </row>
    <row r="814" customFormat="false" ht="15" hidden="false" customHeight="true" outlineLevel="0" collapsed="false">
      <c r="A814" s="6"/>
      <c r="B814" s="6"/>
      <c r="C814" s="6"/>
      <c r="D814" s="6"/>
      <c r="E814" s="13"/>
      <c r="F814" s="6"/>
      <c r="G814" s="11" t="str">
        <f aca="true">IF(F814="","",YEAR(TODAY())-F814)</f>
        <v/>
      </c>
      <c r="H814" s="11" t="str">
        <f aca="false">IF(C814="","",IF(G814="","Thiếu thông tin",IF(G814&lt;6,"Trẻ em",IF(G814&lt;23,"Học sinh / Sinh viên",IF(G814&lt;60,"Đang đi làm","Nghỉ hưu")))))</f>
        <v/>
      </c>
      <c r="I814" s="6"/>
      <c r="J814" s="11" t="str">
        <f aca="false">IF(B814="","",IFERROR(INDEX('Hộ gia đình'!$B$2:$B$2000,MATCH(B814,'Hộ gia đình'!$A$2:$A$2000,0)),"Mã hộ không tồn tại"))</f>
        <v/>
      </c>
      <c r="K814" s="14"/>
      <c r="L814" s="14"/>
      <c r="M814" s="6"/>
      <c r="N814" s="6"/>
      <c r="O814" s="6"/>
      <c r="P814" s="6"/>
      <c r="Q814" s="6"/>
      <c r="R814" s="12"/>
    </row>
    <row r="815" customFormat="false" ht="15" hidden="false" customHeight="true" outlineLevel="0" collapsed="false">
      <c r="A815" s="6"/>
      <c r="B815" s="6"/>
      <c r="C815" s="6"/>
      <c r="D815" s="6"/>
      <c r="E815" s="13"/>
      <c r="F815" s="6"/>
      <c r="G815" s="11" t="str">
        <f aca="true">IF(F815="","",YEAR(TODAY())-F815)</f>
        <v/>
      </c>
      <c r="H815" s="11" t="str">
        <f aca="false">IF(C815="","",IF(G815="","Thiếu thông tin",IF(G815&lt;6,"Trẻ em",IF(G815&lt;23,"Học sinh / Sinh viên",IF(G815&lt;60,"Đang đi làm","Nghỉ hưu")))))</f>
        <v/>
      </c>
      <c r="I815" s="6"/>
      <c r="J815" s="11" t="str">
        <f aca="false">IF(B815="","",IFERROR(INDEX('Hộ gia đình'!$B$2:$B$2000,MATCH(B815,'Hộ gia đình'!$A$2:$A$2000,0)),"Mã hộ không tồn tại"))</f>
        <v/>
      </c>
      <c r="K815" s="14"/>
      <c r="L815" s="14"/>
      <c r="M815" s="6"/>
      <c r="N815" s="6"/>
      <c r="O815" s="6"/>
      <c r="P815" s="6"/>
      <c r="Q815" s="6"/>
      <c r="R815" s="12"/>
    </row>
    <row r="816" customFormat="false" ht="15" hidden="false" customHeight="true" outlineLevel="0" collapsed="false">
      <c r="A816" s="6"/>
      <c r="B816" s="6"/>
      <c r="C816" s="6"/>
      <c r="D816" s="6"/>
      <c r="E816" s="13"/>
      <c r="F816" s="6"/>
      <c r="G816" s="11" t="str">
        <f aca="true">IF(F816="","",YEAR(TODAY())-F816)</f>
        <v/>
      </c>
      <c r="H816" s="11" t="str">
        <f aca="false">IF(C816="","",IF(G816="","Thiếu thông tin",IF(G816&lt;6,"Trẻ em",IF(G816&lt;23,"Học sinh / Sinh viên",IF(G816&lt;60,"Đang đi làm","Nghỉ hưu")))))</f>
        <v/>
      </c>
      <c r="I816" s="6"/>
      <c r="J816" s="11" t="str">
        <f aca="false">IF(B816="","",IFERROR(INDEX('Hộ gia đình'!$B$2:$B$2000,MATCH(B816,'Hộ gia đình'!$A$2:$A$2000,0)),"Mã hộ không tồn tại"))</f>
        <v/>
      </c>
      <c r="K816" s="14"/>
      <c r="L816" s="14"/>
      <c r="M816" s="6"/>
      <c r="N816" s="6"/>
      <c r="O816" s="6"/>
      <c r="P816" s="6"/>
      <c r="Q816" s="6"/>
      <c r="R816" s="12"/>
    </row>
    <row r="817" customFormat="false" ht="15" hidden="false" customHeight="true" outlineLevel="0" collapsed="false">
      <c r="A817" s="6"/>
      <c r="B817" s="6"/>
      <c r="C817" s="6"/>
      <c r="D817" s="6"/>
      <c r="E817" s="13"/>
      <c r="F817" s="6"/>
      <c r="G817" s="11" t="str">
        <f aca="true">IF(F817="","",YEAR(TODAY())-F817)</f>
        <v/>
      </c>
      <c r="H817" s="11" t="str">
        <f aca="false">IF(C817="","",IF(G817="","Thiếu thông tin",IF(G817&lt;6,"Trẻ em",IF(G817&lt;23,"Học sinh / Sinh viên",IF(G817&lt;60,"Đang đi làm","Nghỉ hưu")))))</f>
        <v/>
      </c>
      <c r="I817" s="6"/>
      <c r="J817" s="11" t="str">
        <f aca="false">IF(B817="","",IFERROR(INDEX('Hộ gia đình'!$B$2:$B$2000,MATCH(B817,'Hộ gia đình'!$A$2:$A$2000,0)),"Mã hộ không tồn tại"))</f>
        <v/>
      </c>
      <c r="K817" s="14"/>
      <c r="L817" s="14"/>
      <c r="M817" s="6"/>
      <c r="N817" s="6"/>
      <c r="O817" s="6"/>
      <c r="P817" s="6"/>
      <c r="Q817" s="6"/>
      <c r="R817" s="12"/>
    </row>
    <row r="818" customFormat="false" ht="15" hidden="false" customHeight="true" outlineLevel="0" collapsed="false">
      <c r="A818" s="6"/>
      <c r="B818" s="6"/>
      <c r="C818" s="6"/>
      <c r="D818" s="6"/>
      <c r="E818" s="13"/>
      <c r="F818" s="6"/>
      <c r="G818" s="11" t="str">
        <f aca="true">IF(F818="","",YEAR(TODAY())-F818)</f>
        <v/>
      </c>
      <c r="H818" s="11" t="str">
        <f aca="false">IF(C818="","",IF(G818="","Thiếu thông tin",IF(G818&lt;6,"Trẻ em",IF(G818&lt;23,"Học sinh / Sinh viên",IF(G818&lt;60,"Đang đi làm","Nghỉ hưu")))))</f>
        <v/>
      </c>
      <c r="I818" s="6"/>
      <c r="J818" s="11" t="str">
        <f aca="false">IF(B818="","",IFERROR(INDEX('Hộ gia đình'!$B$2:$B$2000,MATCH(B818,'Hộ gia đình'!$A$2:$A$2000,0)),"Mã hộ không tồn tại"))</f>
        <v/>
      </c>
      <c r="K818" s="14"/>
      <c r="L818" s="14"/>
      <c r="M818" s="6"/>
      <c r="N818" s="6"/>
      <c r="O818" s="6"/>
      <c r="P818" s="6"/>
      <c r="Q818" s="6"/>
      <c r="R818" s="12"/>
    </row>
    <row r="819" customFormat="false" ht="15" hidden="false" customHeight="true" outlineLevel="0" collapsed="false">
      <c r="A819" s="6"/>
      <c r="B819" s="6"/>
      <c r="C819" s="6"/>
      <c r="D819" s="6"/>
      <c r="E819" s="13"/>
      <c r="F819" s="6"/>
      <c r="G819" s="11" t="str">
        <f aca="true">IF(F819="","",YEAR(TODAY())-F819)</f>
        <v/>
      </c>
      <c r="H819" s="11" t="str">
        <f aca="false">IF(C819="","",IF(G819="","Thiếu thông tin",IF(G819&lt;6,"Trẻ em",IF(G819&lt;23,"Học sinh / Sinh viên",IF(G819&lt;60,"Đang đi làm","Nghỉ hưu")))))</f>
        <v/>
      </c>
      <c r="I819" s="6"/>
      <c r="J819" s="11" t="str">
        <f aca="false">IF(B819="","",IFERROR(INDEX('Hộ gia đình'!$B$2:$B$2000,MATCH(B819,'Hộ gia đình'!$A$2:$A$2000,0)),"Mã hộ không tồn tại"))</f>
        <v/>
      </c>
      <c r="K819" s="14"/>
      <c r="L819" s="14"/>
      <c r="M819" s="6"/>
      <c r="N819" s="6"/>
      <c r="O819" s="6"/>
      <c r="P819" s="6"/>
      <c r="Q819" s="6"/>
      <c r="R819" s="12"/>
    </row>
    <row r="820" customFormat="false" ht="15" hidden="false" customHeight="true" outlineLevel="0" collapsed="false">
      <c r="A820" s="6"/>
      <c r="B820" s="6"/>
      <c r="C820" s="6"/>
      <c r="D820" s="6"/>
      <c r="E820" s="13"/>
      <c r="F820" s="6"/>
      <c r="G820" s="11" t="str">
        <f aca="true">IF(F820="","",YEAR(TODAY())-F820)</f>
        <v/>
      </c>
      <c r="H820" s="11" t="str">
        <f aca="false">IF(C820="","",IF(G820="","Thiếu thông tin",IF(G820&lt;6,"Trẻ em",IF(G820&lt;23,"Học sinh / Sinh viên",IF(G820&lt;60,"Đang đi làm","Nghỉ hưu")))))</f>
        <v/>
      </c>
      <c r="I820" s="6"/>
      <c r="J820" s="11" t="str">
        <f aca="false">IF(B820="","",IFERROR(INDEX('Hộ gia đình'!$B$2:$B$2000,MATCH(B820,'Hộ gia đình'!$A$2:$A$2000,0)),"Mã hộ không tồn tại"))</f>
        <v/>
      </c>
      <c r="K820" s="14"/>
      <c r="L820" s="14"/>
      <c r="M820" s="6"/>
      <c r="N820" s="6"/>
      <c r="O820" s="6"/>
      <c r="P820" s="6"/>
      <c r="Q820" s="6"/>
      <c r="R820" s="12"/>
    </row>
    <row r="821" customFormat="false" ht="15" hidden="false" customHeight="true" outlineLevel="0" collapsed="false">
      <c r="A821" s="6"/>
      <c r="B821" s="6"/>
      <c r="C821" s="6"/>
      <c r="D821" s="6"/>
      <c r="E821" s="13"/>
      <c r="F821" s="6"/>
      <c r="G821" s="11" t="str">
        <f aca="true">IF(F821="","",YEAR(TODAY())-F821)</f>
        <v/>
      </c>
      <c r="H821" s="11" t="str">
        <f aca="false">IF(C821="","",IF(G821="","Thiếu thông tin",IF(G821&lt;6,"Trẻ em",IF(G821&lt;23,"Học sinh / Sinh viên",IF(G821&lt;60,"Đang đi làm","Nghỉ hưu")))))</f>
        <v/>
      </c>
      <c r="I821" s="6"/>
      <c r="J821" s="11" t="str">
        <f aca="false">IF(B821="","",IFERROR(INDEX('Hộ gia đình'!$B$2:$B$2000,MATCH(B821,'Hộ gia đình'!$A$2:$A$2000,0)),"Mã hộ không tồn tại"))</f>
        <v/>
      </c>
      <c r="K821" s="14"/>
      <c r="L821" s="14"/>
      <c r="M821" s="6"/>
      <c r="N821" s="6"/>
      <c r="O821" s="6"/>
      <c r="P821" s="6"/>
      <c r="Q821" s="6"/>
      <c r="R821" s="12"/>
    </row>
    <row r="822" customFormat="false" ht="15" hidden="false" customHeight="true" outlineLevel="0" collapsed="false">
      <c r="A822" s="6"/>
      <c r="B822" s="6"/>
      <c r="C822" s="6"/>
      <c r="D822" s="6"/>
      <c r="E822" s="13"/>
      <c r="F822" s="6"/>
      <c r="G822" s="11" t="str">
        <f aca="true">IF(F822="","",YEAR(TODAY())-F822)</f>
        <v/>
      </c>
      <c r="H822" s="11" t="str">
        <f aca="false">IF(C822="","",IF(G822="","Thiếu thông tin",IF(G822&lt;6,"Trẻ em",IF(G822&lt;23,"Học sinh / Sinh viên",IF(G822&lt;60,"Đang đi làm","Nghỉ hưu")))))</f>
        <v/>
      </c>
      <c r="I822" s="6"/>
      <c r="J822" s="11" t="str">
        <f aca="false">IF(B822="","",IFERROR(INDEX('Hộ gia đình'!$B$2:$B$2000,MATCH(B822,'Hộ gia đình'!$A$2:$A$2000,0)),"Mã hộ không tồn tại"))</f>
        <v/>
      </c>
      <c r="K822" s="14"/>
      <c r="L822" s="14"/>
      <c r="M822" s="6"/>
      <c r="N822" s="6"/>
      <c r="O822" s="6"/>
      <c r="P822" s="6"/>
      <c r="Q822" s="6"/>
      <c r="R822" s="12"/>
    </row>
    <row r="823" customFormat="false" ht="15" hidden="false" customHeight="true" outlineLevel="0" collapsed="false">
      <c r="A823" s="6"/>
      <c r="B823" s="6"/>
      <c r="C823" s="6"/>
      <c r="D823" s="6"/>
      <c r="E823" s="13"/>
      <c r="F823" s="6"/>
      <c r="G823" s="11" t="str">
        <f aca="true">IF(F823="","",YEAR(TODAY())-F823)</f>
        <v/>
      </c>
      <c r="H823" s="11" t="str">
        <f aca="false">IF(C823="","",IF(G823="","Thiếu thông tin",IF(G823&lt;6,"Trẻ em",IF(G823&lt;23,"Học sinh / Sinh viên",IF(G823&lt;60,"Đang đi làm","Nghỉ hưu")))))</f>
        <v/>
      </c>
      <c r="I823" s="6"/>
      <c r="J823" s="11" t="str">
        <f aca="false">IF(B823="","",IFERROR(INDEX('Hộ gia đình'!$B$2:$B$2000,MATCH(B823,'Hộ gia đình'!$A$2:$A$2000,0)),"Mã hộ không tồn tại"))</f>
        <v/>
      </c>
      <c r="K823" s="14"/>
      <c r="L823" s="14"/>
      <c r="M823" s="6"/>
      <c r="N823" s="6"/>
      <c r="O823" s="6"/>
      <c r="P823" s="6"/>
      <c r="Q823" s="6"/>
      <c r="R823" s="12"/>
    </row>
    <row r="824" customFormat="false" ht="15" hidden="false" customHeight="true" outlineLevel="0" collapsed="false">
      <c r="A824" s="6"/>
      <c r="B824" s="6"/>
      <c r="C824" s="6"/>
      <c r="D824" s="6"/>
      <c r="E824" s="13"/>
      <c r="F824" s="6"/>
      <c r="G824" s="11" t="str">
        <f aca="true">IF(F824="","",YEAR(TODAY())-F824)</f>
        <v/>
      </c>
      <c r="H824" s="11" t="str">
        <f aca="false">IF(C824="","",IF(G824="","Thiếu thông tin",IF(G824&lt;6,"Trẻ em",IF(G824&lt;23,"Học sinh / Sinh viên",IF(G824&lt;60,"Đang đi làm","Nghỉ hưu")))))</f>
        <v/>
      </c>
      <c r="I824" s="6"/>
      <c r="J824" s="11" t="str">
        <f aca="false">IF(B824="","",IFERROR(INDEX('Hộ gia đình'!$B$2:$B$2000,MATCH(B824,'Hộ gia đình'!$A$2:$A$2000,0)),"Mã hộ không tồn tại"))</f>
        <v/>
      </c>
      <c r="K824" s="14"/>
      <c r="L824" s="14"/>
      <c r="M824" s="6"/>
      <c r="N824" s="6"/>
      <c r="O824" s="6"/>
      <c r="P824" s="6"/>
      <c r="Q824" s="6"/>
      <c r="R824" s="12"/>
    </row>
    <row r="825" customFormat="false" ht="15" hidden="false" customHeight="true" outlineLevel="0" collapsed="false">
      <c r="A825" s="6"/>
      <c r="B825" s="6"/>
      <c r="C825" s="6"/>
      <c r="D825" s="6"/>
      <c r="E825" s="13"/>
      <c r="F825" s="6"/>
      <c r="G825" s="11" t="str">
        <f aca="true">IF(F825="","",YEAR(TODAY())-F825)</f>
        <v/>
      </c>
      <c r="H825" s="11" t="str">
        <f aca="false">IF(C825="","",IF(G825="","Thiếu thông tin",IF(G825&lt;6,"Trẻ em",IF(G825&lt;23,"Học sinh / Sinh viên",IF(G825&lt;60,"Đang đi làm","Nghỉ hưu")))))</f>
        <v/>
      </c>
      <c r="I825" s="6"/>
      <c r="J825" s="11" t="str">
        <f aca="false">IF(B825="","",IFERROR(INDEX('Hộ gia đình'!$B$2:$B$2000,MATCH(B825,'Hộ gia đình'!$A$2:$A$2000,0)),"Mã hộ không tồn tại"))</f>
        <v/>
      </c>
      <c r="K825" s="14"/>
      <c r="L825" s="14"/>
      <c r="M825" s="6"/>
      <c r="N825" s="6"/>
      <c r="O825" s="6"/>
      <c r="P825" s="6"/>
      <c r="Q825" s="6"/>
      <c r="R825" s="12"/>
    </row>
    <row r="826" customFormat="false" ht="15" hidden="false" customHeight="true" outlineLevel="0" collapsed="false">
      <c r="A826" s="6"/>
      <c r="B826" s="6"/>
      <c r="C826" s="6"/>
      <c r="D826" s="6"/>
      <c r="E826" s="13"/>
      <c r="F826" s="6"/>
      <c r="G826" s="11" t="str">
        <f aca="true">IF(F826="","",YEAR(TODAY())-F826)</f>
        <v/>
      </c>
      <c r="H826" s="11" t="str">
        <f aca="false">IF(C826="","",IF(G826="","Thiếu thông tin",IF(G826&lt;6,"Trẻ em",IF(G826&lt;23,"Học sinh / Sinh viên",IF(G826&lt;60,"Đang đi làm","Nghỉ hưu")))))</f>
        <v/>
      </c>
      <c r="I826" s="6"/>
      <c r="J826" s="11" t="str">
        <f aca="false">IF(B826="","",IFERROR(INDEX('Hộ gia đình'!$B$2:$B$2000,MATCH(B826,'Hộ gia đình'!$A$2:$A$2000,0)),"Mã hộ không tồn tại"))</f>
        <v/>
      </c>
      <c r="K826" s="14"/>
      <c r="L826" s="14"/>
      <c r="M826" s="6"/>
      <c r="N826" s="6"/>
      <c r="O826" s="6"/>
      <c r="P826" s="6"/>
      <c r="Q826" s="6"/>
      <c r="R826" s="12"/>
    </row>
    <row r="827" customFormat="false" ht="15" hidden="false" customHeight="true" outlineLevel="0" collapsed="false">
      <c r="A827" s="6"/>
      <c r="B827" s="6"/>
      <c r="C827" s="6"/>
      <c r="D827" s="6"/>
      <c r="E827" s="13"/>
      <c r="F827" s="6"/>
      <c r="G827" s="11" t="str">
        <f aca="true">IF(F827="","",YEAR(TODAY())-F827)</f>
        <v/>
      </c>
      <c r="H827" s="11" t="str">
        <f aca="false">IF(C827="","",IF(G827="","Thiếu thông tin",IF(G827&lt;6,"Trẻ em",IF(G827&lt;23,"Học sinh / Sinh viên",IF(G827&lt;60,"Đang đi làm","Nghỉ hưu")))))</f>
        <v/>
      </c>
      <c r="I827" s="6"/>
      <c r="J827" s="11" t="str">
        <f aca="false">IF(B827="","",IFERROR(INDEX('Hộ gia đình'!$B$2:$B$2000,MATCH(B827,'Hộ gia đình'!$A$2:$A$2000,0)),"Mã hộ không tồn tại"))</f>
        <v/>
      </c>
      <c r="K827" s="14"/>
      <c r="L827" s="14"/>
      <c r="M827" s="6"/>
      <c r="N827" s="6"/>
      <c r="O827" s="6"/>
      <c r="P827" s="6"/>
      <c r="Q827" s="6"/>
      <c r="R827" s="12"/>
    </row>
    <row r="828" customFormat="false" ht="15" hidden="false" customHeight="true" outlineLevel="0" collapsed="false">
      <c r="A828" s="6"/>
      <c r="B828" s="6"/>
      <c r="C828" s="6"/>
      <c r="D828" s="6"/>
      <c r="E828" s="13"/>
      <c r="F828" s="6"/>
      <c r="G828" s="11" t="str">
        <f aca="true">IF(F828="","",YEAR(TODAY())-F828)</f>
        <v/>
      </c>
      <c r="H828" s="11" t="str">
        <f aca="false">IF(C828="","",IF(G828="","Thiếu thông tin",IF(G828&lt;6,"Trẻ em",IF(G828&lt;23,"Học sinh / Sinh viên",IF(G828&lt;60,"Đang đi làm","Nghỉ hưu")))))</f>
        <v/>
      </c>
      <c r="I828" s="6"/>
      <c r="J828" s="11" t="str">
        <f aca="false">IF(B828="","",IFERROR(INDEX('Hộ gia đình'!$B$2:$B$2000,MATCH(B828,'Hộ gia đình'!$A$2:$A$2000,0)),"Mã hộ không tồn tại"))</f>
        <v/>
      </c>
      <c r="K828" s="14"/>
      <c r="L828" s="14"/>
      <c r="M828" s="6"/>
      <c r="N828" s="6"/>
      <c r="O828" s="6"/>
      <c r="P828" s="6"/>
      <c r="Q828" s="6"/>
      <c r="R828" s="12"/>
    </row>
    <row r="829" customFormat="false" ht="15" hidden="false" customHeight="true" outlineLevel="0" collapsed="false">
      <c r="A829" s="6"/>
      <c r="B829" s="6"/>
      <c r="C829" s="6"/>
      <c r="D829" s="6"/>
      <c r="E829" s="13"/>
      <c r="F829" s="6"/>
      <c r="G829" s="11" t="str">
        <f aca="true">IF(F829="","",YEAR(TODAY())-F829)</f>
        <v/>
      </c>
      <c r="H829" s="11" t="str">
        <f aca="false">IF(C829="","",IF(G829="","Thiếu thông tin",IF(G829&lt;6,"Trẻ em",IF(G829&lt;23,"Học sinh / Sinh viên",IF(G829&lt;60,"Đang đi làm","Nghỉ hưu")))))</f>
        <v/>
      </c>
      <c r="I829" s="6"/>
      <c r="J829" s="11" t="str">
        <f aca="false">IF(B829="","",IFERROR(INDEX('Hộ gia đình'!$B$2:$B$2000,MATCH(B829,'Hộ gia đình'!$A$2:$A$2000,0)),"Mã hộ không tồn tại"))</f>
        <v/>
      </c>
      <c r="K829" s="14"/>
      <c r="L829" s="14"/>
      <c r="M829" s="6"/>
      <c r="N829" s="6"/>
      <c r="O829" s="6"/>
      <c r="P829" s="6"/>
      <c r="Q829" s="6"/>
      <c r="R829" s="12"/>
    </row>
    <row r="830" customFormat="false" ht="15" hidden="false" customHeight="true" outlineLevel="0" collapsed="false">
      <c r="A830" s="6"/>
      <c r="B830" s="6"/>
      <c r="C830" s="6"/>
      <c r="D830" s="6"/>
      <c r="E830" s="13"/>
      <c r="F830" s="6"/>
      <c r="G830" s="11" t="str">
        <f aca="true">IF(F830="","",YEAR(TODAY())-F830)</f>
        <v/>
      </c>
      <c r="H830" s="11" t="str">
        <f aca="false">IF(C830="","",IF(G830="","Thiếu thông tin",IF(G830&lt;6,"Trẻ em",IF(G830&lt;23,"Học sinh / Sinh viên",IF(G830&lt;60,"Đang đi làm","Nghỉ hưu")))))</f>
        <v/>
      </c>
      <c r="I830" s="6"/>
      <c r="J830" s="11" t="str">
        <f aca="false">IF(B830="","",IFERROR(INDEX('Hộ gia đình'!$B$2:$B$2000,MATCH(B830,'Hộ gia đình'!$A$2:$A$2000,0)),"Mã hộ không tồn tại"))</f>
        <v/>
      </c>
      <c r="K830" s="14"/>
      <c r="L830" s="14"/>
      <c r="M830" s="6"/>
      <c r="N830" s="6"/>
      <c r="O830" s="6"/>
      <c r="P830" s="6"/>
      <c r="Q830" s="6"/>
      <c r="R830" s="12"/>
    </row>
    <row r="831" customFormat="false" ht="15" hidden="false" customHeight="true" outlineLevel="0" collapsed="false">
      <c r="A831" s="6"/>
      <c r="B831" s="6"/>
      <c r="C831" s="6"/>
      <c r="D831" s="6"/>
      <c r="E831" s="13"/>
      <c r="F831" s="6"/>
      <c r="G831" s="11" t="str">
        <f aca="true">IF(F831="","",YEAR(TODAY())-F831)</f>
        <v/>
      </c>
      <c r="H831" s="11" t="str">
        <f aca="false">IF(C831="","",IF(G831="","Thiếu thông tin",IF(G831&lt;6,"Trẻ em",IF(G831&lt;23,"Học sinh / Sinh viên",IF(G831&lt;60,"Đang đi làm","Nghỉ hưu")))))</f>
        <v/>
      </c>
      <c r="I831" s="6"/>
      <c r="J831" s="11" t="str">
        <f aca="false">IF(B831="","",IFERROR(INDEX('Hộ gia đình'!$B$2:$B$2000,MATCH(B831,'Hộ gia đình'!$A$2:$A$2000,0)),"Mã hộ không tồn tại"))</f>
        <v/>
      </c>
      <c r="K831" s="14"/>
      <c r="L831" s="14"/>
      <c r="M831" s="6"/>
      <c r="N831" s="6"/>
      <c r="O831" s="6"/>
      <c r="P831" s="6"/>
      <c r="Q831" s="6"/>
      <c r="R831" s="12"/>
    </row>
    <row r="832" customFormat="false" ht="15" hidden="false" customHeight="true" outlineLevel="0" collapsed="false">
      <c r="A832" s="6"/>
      <c r="B832" s="6"/>
      <c r="C832" s="6"/>
      <c r="D832" s="6"/>
      <c r="E832" s="13"/>
      <c r="F832" s="6"/>
      <c r="G832" s="11" t="str">
        <f aca="true">IF(F832="","",YEAR(TODAY())-F832)</f>
        <v/>
      </c>
      <c r="H832" s="11" t="str">
        <f aca="false">IF(C832="","",IF(G832="","Thiếu thông tin",IF(G832&lt;6,"Trẻ em",IF(G832&lt;23,"Học sinh / Sinh viên",IF(G832&lt;60,"Đang đi làm","Nghỉ hưu")))))</f>
        <v/>
      </c>
      <c r="I832" s="6"/>
      <c r="J832" s="11" t="str">
        <f aca="false">IF(B832="","",IFERROR(INDEX('Hộ gia đình'!$B$2:$B$2000,MATCH(B832,'Hộ gia đình'!$A$2:$A$2000,0)),"Mã hộ không tồn tại"))</f>
        <v/>
      </c>
      <c r="K832" s="14"/>
      <c r="L832" s="14"/>
      <c r="M832" s="6"/>
      <c r="N832" s="6"/>
      <c r="O832" s="6"/>
      <c r="P832" s="6"/>
      <c r="Q832" s="6"/>
      <c r="R832" s="12"/>
    </row>
    <row r="833" customFormat="false" ht="15" hidden="false" customHeight="true" outlineLevel="0" collapsed="false">
      <c r="A833" s="6"/>
      <c r="B833" s="6"/>
      <c r="C833" s="6"/>
      <c r="D833" s="6"/>
      <c r="E833" s="13"/>
      <c r="F833" s="6"/>
      <c r="G833" s="11" t="str">
        <f aca="true">IF(F833="","",YEAR(TODAY())-F833)</f>
        <v/>
      </c>
      <c r="H833" s="11" t="str">
        <f aca="false">IF(C833="","",IF(G833="","Thiếu thông tin",IF(G833&lt;6,"Trẻ em",IF(G833&lt;23,"Học sinh / Sinh viên",IF(G833&lt;60,"Đang đi làm","Nghỉ hưu")))))</f>
        <v/>
      </c>
      <c r="I833" s="6"/>
      <c r="J833" s="11" t="str">
        <f aca="false">IF(B833="","",IFERROR(INDEX('Hộ gia đình'!$B$2:$B$2000,MATCH(B833,'Hộ gia đình'!$A$2:$A$2000,0)),"Mã hộ không tồn tại"))</f>
        <v/>
      </c>
      <c r="K833" s="14"/>
      <c r="L833" s="14"/>
      <c r="M833" s="6"/>
      <c r="N833" s="6"/>
      <c r="O833" s="6"/>
      <c r="P833" s="6"/>
      <c r="Q833" s="6"/>
      <c r="R833" s="12"/>
    </row>
    <row r="834" customFormat="false" ht="15" hidden="false" customHeight="true" outlineLevel="0" collapsed="false">
      <c r="A834" s="6"/>
      <c r="B834" s="6"/>
      <c r="C834" s="6"/>
      <c r="D834" s="6"/>
      <c r="E834" s="13"/>
      <c r="F834" s="6"/>
      <c r="G834" s="11" t="str">
        <f aca="true">IF(F834="","",YEAR(TODAY())-F834)</f>
        <v/>
      </c>
      <c r="H834" s="11" t="str">
        <f aca="false">IF(C834="","",IF(G834="","Thiếu thông tin",IF(G834&lt;6,"Trẻ em",IF(G834&lt;23,"Học sinh / Sinh viên",IF(G834&lt;60,"Đang đi làm","Nghỉ hưu")))))</f>
        <v/>
      </c>
      <c r="I834" s="6"/>
      <c r="J834" s="11" t="str">
        <f aca="false">IF(B834="","",IFERROR(INDEX('Hộ gia đình'!$B$2:$B$2000,MATCH(B834,'Hộ gia đình'!$A$2:$A$2000,0)),"Mã hộ không tồn tại"))</f>
        <v/>
      </c>
      <c r="K834" s="14"/>
      <c r="L834" s="14"/>
      <c r="M834" s="6"/>
      <c r="N834" s="6"/>
      <c r="O834" s="6"/>
      <c r="P834" s="6"/>
      <c r="Q834" s="6"/>
      <c r="R834" s="12"/>
    </row>
    <row r="835" customFormat="false" ht="15" hidden="false" customHeight="true" outlineLevel="0" collapsed="false">
      <c r="A835" s="6"/>
      <c r="B835" s="6"/>
      <c r="C835" s="6"/>
      <c r="D835" s="6"/>
      <c r="E835" s="13"/>
      <c r="F835" s="6"/>
      <c r="G835" s="11" t="str">
        <f aca="true">IF(F835="","",YEAR(TODAY())-F835)</f>
        <v/>
      </c>
      <c r="H835" s="11" t="str">
        <f aca="false">IF(C835="","",IF(G835="","Thiếu thông tin",IF(G835&lt;6,"Trẻ em",IF(G835&lt;23,"Học sinh / Sinh viên",IF(G835&lt;60,"Đang đi làm","Nghỉ hưu")))))</f>
        <v/>
      </c>
      <c r="I835" s="6"/>
      <c r="J835" s="11" t="str">
        <f aca="false">IF(B835="","",IFERROR(INDEX('Hộ gia đình'!$B$2:$B$2000,MATCH(B835,'Hộ gia đình'!$A$2:$A$2000,0)),"Mã hộ không tồn tại"))</f>
        <v/>
      </c>
      <c r="K835" s="14"/>
      <c r="L835" s="14"/>
      <c r="M835" s="6"/>
      <c r="N835" s="6"/>
      <c r="O835" s="6"/>
      <c r="P835" s="6"/>
      <c r="Q835" s="6"/>
      <c r="R835" s="12"/>
    </row>
    <row r="836" customFormat="false" ht="15" hidden="false" customHeight="true" outlineLevel="0" collapsed="false">
      <c r="A836" s="6"/>
      <c r="B836" s="6"/>
      <c r="C836" s="6"/>
      <c r="D836" s="6"/>
      <c r="E836" s="13"/>
      <c r="F836" s="6"/>
      <c r="G836" s="11" t="str">
        <f aca="true">IF(F836="","",YEAR(TODAY())-F836)</f>
        <v/>
      </c>
      <c r="H836" s="11" t="str">
        <f aca="false">IF(C836="","",IF(G836="","Thiếu thông tin",IF(G836&lt;6,"Trẻ em",IF(G836&lt;23,"Học sinh / Sinh viên",IF(G836&lt;60,"Đang đi làm","Nghỉ hưu")))))</f>
        <v/>
      </c>
      <c r="I836" s="6"/>
      <c r="J836" s="11" t="str">
        <f aca="false">IF(B836="","",IFERROR(INDEX('Hộ gia đình'!$B$2:$B$2000,MATCH(B836,'Hộ gia đình'!$A$2:$A$2000,0)),"Mã hộ không tồn tại"))</f>
        <v/>
      </c>
      <c r="K836" s="14"/>
      <c r="L836" s="14"/>
      <c r="M836" s="6"/>
      <c r="N836" s="6"/>
      <c r="O836" s="6"/>
      <c r="P836" s="6"/>
      <c r="Q836" s="6"/>
      <c r="R836" s="12"/>
    </row>
    <row r="837" customFormat="false" ht="15" hidden="false" customHeight="true" outlineLevel="0" collapsed="false">
      <c r="A837" s="6"/>
      <c r="B837" s="6"/>
      <c r="C837" s="6"/>
      <c r="D837" s="6"/>
      <c r="E837" s="13"/>
      <c r="F837" s="6"/>
      <c r="G837" s="11" t="str">
        <f aca="true">IF(F837="","",YEAR(TODAY())-F837)</f>
        <v/>
      </c>
      <c r="H837" s="11" t="str">
        <f aca="false">IF(C837="","",IF(G837="","Thiếu thông tin",IF(G837&lt;6,"Trẻ em",IF(G837&lt;23,"Học sinh / Sinh viên",IF(G837&lt;60,"Đang đi làm","Nghỉ hưu")))))</f>
        <v/>
      </c>
      <c r="I837" s="6"/>
      <c r="J837" s="11" t="str">
        <f aca="false">IF(B837="","",IFERROR(INDEX('Hộ gia đình'!$B$2:$B$2000,MATCH(B837,'Hộ gia đình'!$A$2:$A$2000,0)),"Mã hộ không tồn tại"))</f>
        <v/>
      </c>
      <c r="K837" s="14"/>
      <c r="L837" s="14"/>
      <c r="M837" s="6"/>
      <c r="N837" s="6"/>
      <c r="O837" s="6"/>
      <c r="P837" s="6"/>
      <c r="Q837" s="6"/>
      <c r="R837" s="12"/>
    </row>
    <row r="838" customFormat="false" ht="15" hidden="false" customHeight="true" outlineLevel="0" collapsed="false">
      <c r="A838" s="6"/>
      <c r="B838" s="6"/>
      <c r="C838" s="6"/>
      <c r="D838" s="6"/>
      <c r="E838" s="13"/>
      <c r="F838" s="6"/>
      <c r="G838" s="11" t="str">
        <f aca="true">IF(F838="","",YEAR(TODAY())-F838)</f>
        <v/>
      </c>
      <c r="H838" s="11" t="str">
        <f aca="false">IF(C838="","",IF(G838="","Thiếu thông tin",IF(G838&lt;6,"Trẻ em",IF(G838&lt;23,"Học sinh / Sinh viên",IF(G838&lt;60,"Đang đi làm","Nghỉ hưu")))))</f>
        <v/>
      </c>
      <c r="I838" s="6"/>
      <c r="J838" s="11" t="str">
        <f aca="false">IF(B838="","",IFERROR(INDEX('Hộ gia đình'!$B$2:$B$2000,MATCH(B838,'Hộ gia đình'!$A$2:$A$2000,0)),"Mã hộ không tồn tại"))</f>
        <v/>
      </c>
      <c r="K838" s="14"/>
      <c r="L838" s="14"/>
      <c r="M838" s="6"/>
      <c r="N838" s="6"/>
      <c r="O838" s="6"/>
      <c r="P838" s="6"/>
      <c r="Q838" s="6"/>
      <c r="R838" s="12"/>
    </row>
    <row r="839" customFormat="false" ht="15" hidden="false" customHeight="true" outlineLevel="0" collapsed="false">
      <c r="A839" s="6"/>
      <c r="B839" s="6"/>
      <c r="C839" s="6"/>
      <c r="D839" s="6"/>
      <c r="E839" s="13"/>
      <c r="F839" s="6"/>
      <c r="G839" s="11" t="str">
        <f aca="true">IF(F839="","",YEAR(TODAY())-F839)</f>
        <v/>
      </c>
      <c r="H839" s="11" t="str">
        <f aca="false">IF(C839="","",IF(G839="","Thiếu thông tin",IF(G839&lt;6,"Trẻ em",IF(G839&lt;23,"Học sinh / Sinh viên",IF(G839&lt;60,"Đang đi làm","Nghỉ hưu")))))</f>
        <v/>
      </c>
      <c r="I839" s="6"/>
      <c r="J839" s="11" t="str">
        <f aca="false">IF(B839="","",IFERROR(INDEX('Hộ gia đình'!$B$2:$B$2000,MATCH(B839,'Hộ gia đình'!$A$2:$A$2000,0)),"Mã hộ không tồn tại"))</f>
        <v/>
      </c>
      <c r="K839" s="14"/>
      <c r="L839" s="14"/>
      <c r="M839" s="6"/>
      <c r="N839" s="6"/>
      <c r="O839" s="6"/>
      <c r="P839" s="6"/>
      <c r="Q839" s="6"/>
      <c r="R839" s="12"/>
    </row>
    <row r="840" customFormat="false" ht="15" hidden="false" customHeight="true" outlineLevel="0" collapsed="false">
      <c r="A840" s="6"/>
      <c r="B840" s="6"/>
      <c r="C840" s="6"/>
      <c r="D840" s="6"/>
      <c r="E840" s="13"/>
      <c r="F840" s="6"/>
      <c r="G840" s="11" t="str">
        <f aca="true">IF(F840="","",YEAR(TODAY())-F840)</f>
        <v/>
      </c>
      <c r="H840" s="11" t="str">
        <f aca="false">IF(C840="","",IF(G840="","Thiếu thông tin",IF(G840&lt;6,"Trẻ em",IF(G840&lt;23,"Học sinh / Sinh viên",IF(G840&lt;60,"Đang đi làm","Nghỉ hưu")))))</f>
        <v/>
      </c>
      <c r="I840" s="6"/>
      <c r="J840" s="11" t="str">
        <f aca="false">IF(B840="","",IFERROR(INDEX('Hộ gia đình'!$B$2:$B$2000,MATCH(B840,'Hộ gia đình'!$A$2:$A$2000,0)),"Mã hộ không tồn tại"))</f>
        <v/>
      </c>
      <c r="K840" s="14"/>
      <c r="L840" s="14"/>
      <c r="M840" s="6"/>
      <c r="N840" s="6"/>
      <c r="O840" s="6"/>
      <c r="P840" s="6"/>
      <c r="Q840" s="6"/>
      <c r="R840" s="12"/>
    </row>
    <row r="841" customFormat="false" ht="15" hidden="false" customHeight="true" outlineLevel="0" collapsed="false">
      <c r="A841" s="6"/>
      <c r="B841" s="6"/>
      <c r="C841" s="6"/>
      <c r="D841" s="6"/>
      <c r="E841" s="13"/>
      <c r="F841" s="6"/>
      <c r="G841" s="11" t="str">
        <f aca="true">IF(F841="","",YEAR(TODAY())-F841)</f>
        <v/>
      </c>
      <c r="H841" s="11" t="str">
        <f aca="false">IF(C841="","",IF(G841="","Thiếu thông tin",IF(G841&lt;6,"Trẻ em",IF(G841&lt;23,"Học sinh / Sinh viên",IF(G841&lt;60,"Đang đi làm","Nghỉ hưu")))))</f>
        <v/>
      </c>
      <c r="I841" s="6"/>
      <c r="J841" s="11" t="str">
        <f aca="false">IF(B841="","",IFERROR(INDEX('Hộ gia đình'!$B$2:$B$2000,MATCH(B841,'Hộ gia đình'!$A$2:$A$2000,0)),"Mã hộ không tồn tại"))</f>
        <v/>
      </c>
      <c r="K841" s="14"/>
      <c r="L841" s="14"/>
      <c r="M841" s="6"/>
      <c r="N841" s="6"/>
      <c r="O841" s="6"/>
      <c r="P841" s="6"/>
      <c r="Q841" s="6"/>
      <c r="R841" s="12"/>
    </row>
    <row r="842" customFormat="false" ht="15" hidden="false" customHeight="true" outlineLevel="0" collapsed="false">
      <c r="A842" s="6"/>
      <c r="B842" s="6"/>
      <c r="C842" s="6"/>
      <c r="D842" s="6"/>
      <c r="E842" s="13"/>
      <c r="F842" s="6"/>
      <c r="G842" s="11" t="str">
        <f aca="true">IF(F842="","",YEAR(TODAY())-F842)</f>
        <v/>
      </c>
      <c r="H842" s="11" t="str">
        <f aca="false">IF(C842="","",IF(G842="","Thiếu thông tin",IF(G842&lt;6,"Trẻ em",IF(G842&lt;23,"Học sinh / Sinh viên",IF(G842&lt;60,"Đang đi làm","Nghỉ hưu")))))</f>
        <v/>
      </c>
      <c r="I842" s="6"/>
      <c r="J842" s="11" t="str">
        <f aca="false">IF(B842="","",IFERROR(INDEX('Hộ gia đình'!$B$2:$B$2000,MATCH(B842,'Hộ gia đình'!$A$2:$A$2000,0)),"Mã hộ không tồn tại"))</f>
        <v/>
      </c>
      <c r="K842" s="14"/>
      <c r="L842" s="14"/>
      <c r="M842" s="6"/>
      <c r="N842" s="6"/>
      <c r="O842" s="6"/>
      <c r="P842" s="6"/>
      <c r="Q842" s="6"/>
      <c r="R842" s="12"/>
    </row>
    <row r="843" customFormat="false" ht="15" hidden="false" customHeight="true" outlineLevel="0" collapsed="false">
      <c r="A843" s="6"/>
      <c r="B843" s="6"/>
      <c r="C843" s="6"/>
      <c r="D843" s="6"/>
      <c r="E843" s="13"/>
      <c r="F843" s="6"/>
      <c r="G843" s="11" t="str">
        <f aca="true">IF(F843="","",YEAR(TODAY())-F843)</f>
        <v/>
      </c>
      <c r="H843" s="11" t="str">
        <f aca="false">IF(C843="","",IF(G843="","Thiếu thông tin",IF(G843&lt;6,"Trẻ em",IF(G843&lt;23,"Học sinh / Sinh viên",IF(G843&lt;60,"Đang đi làm","Nghỉ hưu")))))</f>
        <v/>
      </c>
      <c r="I843" s="6"/>
      <c r="J843" s="11" t="str">
        <f aca="false">IF(B843="","",IFERROR(INDEX('Hộ gia đình'!$B$2:$B$2000,MATCH(B843,'Hộ gia đình'!$A$2:$A$2000,0)),"Mã hộ không tồn tại"))</f>
        <v/>
      </c>
      <c r="K843" s="14"/>
      <c r="L843" s="14"/>
      <c r="M843" s="6"/>
      <c r="N843" s="6"/>
      <c r="O843" s="6"/>
      <c r="P843" s="6"/>
      <c r="Q843" s="6"/>
      <c r="R843" s="12"/>
    </row>
    <row r="844" customFormat="false" ht="15" hidden="false" customHeight="true" outlineLevel="0" collapsed="false">
      <c r="A844" s="6"/>
      <c r="B844" s="6"/>
      <c r="C844" s="6"/>
      <c r="D844" s="6"/>
      <c r="E844" s="13"/>
      <c r="F844" s="6"/>
      <c r="G844" s="11" t="str">
        <f aca="true">IF(F844="","",YEAR(TODAY())-F844)</f>
        <v/>
      </c>
      <c r="H844" s="11" t="str">
        <f aca="false">IF(C844="","",IF(G844="","Thiếu thông tin",IF(G844&lt;6,"Trẻ em",IF(G844&lt;23,"Học sinh / Sinh viên",IF(G844&lt;60,"Đang đi làm","Nghỉ hưu")))))</f>
        <v/>
      </c>
      <c r="I844" s="6"/>
      <c r="J844" s="11" t="str">
        <f aca="false">IF(B844="","",IFERROR(INDEX('Hộ gia đình'!$B$2:$B$2000,MATCH(B844,'Hộ gia đình'!$A$2:$A$2000,0)),"Mã hộ không tồn tại"))</f>
        <v/>
      </c>
      <c r="K844" s="14"/>
      <c r="L844" s="14"/>
      <c r="M844" s="6"/>
      <c r="N844" s="6"/>
      <c r="O844" s="6"/>
      <c r="P844" s="6"/>
      <c r="Q844" s="6"/>
      <c r="R844" s="12"/>
    </row>
    <row r="845" customFormat="false" ht="15" hidden="false" customHeight="true" outlineLevel="0" collapsed="false">
      <c r="A845" s="6"/>
      <c r="B845" s="6"/>
      <c r="C845" s="6"/>
      <c r="D845" s="6"/>
      <c r="E845" s="13"/>
      <c r="F845" s="6"/>
      <c r="G845" s="11" t="str">
        <f aca="true">IF(F845="","",YEAR(TODAY())-F845)</f>
        <v/>
      </c>
      <c r="H845" s="11" t="str">
        <f aca="false">IF(C845="","",IF(G845="","Thiếu thông tin",IF(G845&lt;6,"Trẻ em",IF(G845&lt;23,"Học sinh / Sinh viên",IF(G845&lt;60,"Đang đi làm","Nghỉ hưu")))))</f>
        <v/>
      </c>
      <c r="I845" s="6"/>
      <c r="J845" s="11" t="str">
        <f aca="false">IF(B845="","",IFERROR(INDEX('Hộ gia đình'!$B$2:$B$2000,MATCH(B845,'Hộ gia đình'!$A$2:$A$2000,0)),"Mã hộ không tồn tại"))</f>
        <v/>
      </c>
      <c r="K845" s="14"/>
      <c r="L845" s="14"/>
      <c r="M845" s="6"/>
      <c r="N845" s="6"/>
      <c r="O845" s="6"/>
      <c r="P845" s="6"/>
      <c r="Q845" s="6"/>
      <c r="R845" s="12"/>
    </row>
    <row r="846" customFormat="false" ht="15" hidden="false" customHeight="true" outlineLevel="0" collapsed="false">
      <c r="A846" s="6"/>
      <c r="B846" s="6"/>
      <c r="C846" s="6"/>
      <c r="D846" s="6"/>
      <c r="E846" s="13"/>
      <c r="F846" s="6"/>
      <c r="G846" s="11" t="str">
        <f aca="true">IF(F846="","",YEAR(TODAY())-F846)</f>
        <v/>
      </c>
      <c r="H846" s="11" t="str">
        <f aca="false">IF(C846="","",IF(G846="","Thiếu thông tin",IF(G846&lt;6,"Trẻ em",IF(G846&lt;23,"Học sinh / Sinh viên",IF(G846&lt;60,"Đang đi làm","Nghỉ hưu")))))</f>
        <v/>
      </c>
      <c r="I846" s="6"/>
      <c r="J846" s="11" t="str">
        <f aca="false">IF(B846="","",IFERROR(INDEX('Hộ gia đình'!$B$2:$B$2000,MATCH(B846,'Hộ gia đình'!$A$2:$A$2000,0)),"Mã hộ không tồn tại"))</f>
        <v/>
      </c>
      <c r="K846" s="14"/>
      <c r="L846" s="14"/>
      <c r="M846" s="6"/>
      <c r="N846" s="6"/>
      <c r="O846" s="6"/>
      <c r="P846" s="6"/>
      <c r="Q846" s="6"/>
      <c r="R846" s="12"/>
    </row>
    <row r="847" customFormat="false" ht="15" hidden="false" customHeight="true" outlineLevel="0" collapsed="false">
      <c r="A847" s="6"/>
      <c r="B847" s="6"/>
      <c r="C847" s="6"/>
      <c r="D847" s="6"/>
      <c r="E847" s="13"/>
      <c r="F847" s="6"/>
      <c r="G847" s="11" t="str">
        <f aca="true">IF(F847="","",YEAR(TODAY())-F847)</f>
        <v/>
      </c>
      <c r="H847" s="11" t="str">
        <f aca="false">IF(C847="","",IF(G847="","Thiếu thông tin",IF(G847&lt;6,"Trẻ em",IF(G847&lt;23,"Học sinh / Sinh viên",IF(G847&lt;60,"Đang đi làm","Nghỉ hưu")))))</f>
        <v/>
      </c>
      <c r="I847" s="6"/>
      <c r="J847" s="11" t="str">
        <f aca="false">IF(B847="","",IFERROR(INDEX('Hộ gia đình'!$B$2:$B$2000,MATCH(B847,'Hộ gia đình'!$A$2:$A$2000,0)),"Mã hộ không tồn tại"))</f>
        <v/>
      </c>
      <c r="K847" s="14"/>
      <c r="L847" s="14"/>
      <c r="M847" s="6"/>
      <c r="N847" s="6"/>
      <c r="O847" s="6"/>
      <c r="P847" s="6"/>
      <c r="Q847" s="6"/>
      <c r="R847" s="12"/>
    </row>
    <row r="848" customFormat="false" ht="15" hidden="false" customHeight="true" outlineLevel="0" collapsed="false">
      <c r="A848" s="6"/>
      <c r="B848" s="6"/>
      <c r="C848" s="6"/>
      <c r="D848" s="6"/>
      <c r="E848" s="13"/>
      <c r="F848" s="6"/>
      <c r="G848" s="11" t="str">
        <f aca="true">IF(F848="","",YEAR(TODAY())-F848)</f>
        <v/>
      </c>
      <c r="H848" s="11" t="str">
        <f aca="false">IF(C848="","",IF(G848="","Thiếu thông tin",IF(G848&lt;6,"Trẻ em",IF(G848&lt;23,"Học sinh / Sinh viên",IF(G848&lt;60,"Đang đi làm","Nghỉ hưu")))))</f>
        <v/>
      </c>
      <c r="I848" s="6"/>
      <c r="J848" s="11" t="str">
        <f aca="false">IF(B848="","",IFERROR(INDEX('Hộ gia đình'!$B$2:$B$2000,MATCH(B848,'Hộ gia đình'!$A$2:$A$2000,0)),"Mã hộ không tồn tại"))</f>
        <v/>
      </c>
      <c r="K848" s="14"/>
      <c r="L848" s="14"/>
      <c r="M848" s="6"/>
      <c r="N848" s="6"/>
      <c r="O848" s="6"/>
      <c r="P848" s="6"/>
      <c r="Q848" s="6"/>
      <c r="R848" s="12"/>
    </row>
    <row r="849" customFormat="false" ht="15" hidden="false" customHeight="true" outlineLevel="0" collapsed="false">
      <c r="A849" s="6"/>
      <c r="B849" s="6"/>
      <c r="C849" s="6"/>
      <c r="D849" s="6"/>
      <c r="E849" s="13"/>
      <c r="F849" s="6"/>
      <c r="G849" s="11" t="str">
        <f aca="true">IF(F849="","",YEAR(TODAY())-F849)</f>
        <v/>
      </c>
      <c r="H849" s="11" t="str">
        <f aca="false">IF(C849="","",IF(G849="","Thiếu thông tin",IF(G849&lt;6,"Trẻ em",IF(G849&lt;23,"Học sinh / Sinh viên",IF(G849&lt;60,"Đang đi làm","Nghỉ hưu")))))</f>
        <v/>
      </c>
      <c r="I849" s="6"/>
      <c r="J849" s="11" t="str">
        <f aca="false">IF(B849="","",IFERROR(INDEX('Hộ gia đình'!$B$2:$B$2000,MATCH(B849,'Hộ gia đình'!$A$2:$A$2000,0)),"Mã hộ không tồn tại"))</f>
        <v/>
      </c>
      <c r="K849" s="14"/>
      <c r="L849" s="14"/>
      <c r="M849" s="6"/>
      <c r="N849" s="6"/>
      <c r="O849" s="6"/>
      <c r="P849" s="6"/>
      <c r="Q849" s="6"/>
      <c r="R849" s="12"/>
    </row>
    <row r="850" customFormat="false" ht="15" hidden="false" customHeight="true" outlineLevel="0" collapsed="false">
      <c r="A850" s="6"/>
      <c r="B850" s="6"/>
      <c r="C850" s="6"/>
      <c r="D850" s="6"/>
      <c r="E850" s="13"/>
      <c r="F850" s="6"/>
      <c r="G850" s="11" t="str">
        <f aca="true">IF(F850="","",YEAR(TODAY())-F850)</f>
        <v/>
      </c>
      <c r="H850" s="11" t="str">
        <f aca="false">IF(C850="","",IF(G850="","Thiếu thông tin",IF(G850&lt;6,"Trẻ em",IF(G850&lt;23,"Học sinh / Sinh viên",IF(G850&lt;60,"Đang đi làm","Nghỉ hưu")))))</f>
        <v/>
      </c>
      <c r="I850" s="6"/>
      <c r="J850" s="11" t="str">
        <f aca="false">IF(B850="","",IFERROR(INDEX('Hộ gia đình'!$B$2:$B$2000,MATCH(B850,'Hộ gia đình'!$A$2:$A$2000,0)),"Mã hộ không tồn tại"))</f>
        <v/>
      </c>
      <c r="K850" s="14"/>
      <c r="L850" s="14"/>
      <c r="M850" s="6"/>
      <c r="N850" s="6"/>
      <c r="O850" s="6"/>
      <c r="P850" s="6"/>
      <c r="Q850" s="6"/>
      <c r="R850" s="12"/>
    </row>
    <row r="851" customFormat="false" ht="15" hidden="false" customHeight="true" outlineLevel="0" collapsed="false">
      <c r="A851" s="6"/>
      <c r="B851" s="6"/>
      <c r="C851" s="6"/>
      <c r="D851" s="6"/>
      <c r="E851" s="13"/>
      <c r="F851" s="6"/>
      <c r="G851" s="11" t="str">
        <f aca="true">IF(F851="","",YEAR(TODAY())-F851)</f>
        <v/>
      </c>
      <c r="H851" s="11" t="str">
        <f aca="false">IF(C851="","",IF(G851="","Thiếu thông tin",IF(G851&lt;6,"Trẻ em",IF(G851&lt;23,"Học sinh / Sinh viên",IF(G851&lt;60,"Đang đi làm","Nghỉ hưu")))))</f>
        <v/>
      </c>
      <c r="I851" s="6"/>
      <c r="J851" s="11" t="str">
        <f aca="false">IF(B851="","",IFERROR(INDEX('Hộ gia đình'!$B$2:$B$2000,MATCH(B851,'Hộ gia đình'!$A$2:$A$2000,0)),"Mã hộ không tồn tại"))</f>
        <v/>
      </c>
      <c r="K851" s="14"/>
      <c r="L851" s="14"/>
      <c r="M851" s="6"/>
      <c r="N851" s="6"/>
      <c r="O851" s="6"/>
      <c r="P851" s="6"/>
      <c r="Q851" s="6"/>
      <c r="R851" s="12"/>
    </row>
    <row r="852" customFormat="false" ht="15" hidden="false" customHeight="true" outlineLevel="0" collapsed="false">
      <c r="A852" s="6"/>
      <c r="B852" s="6"/>
      <c r="C852" s="6"/>
      <c r="D852" s="6"/>
      <c r="E852" s="13"/>
      <c r="F852" s="6"/>
      <c r="G852" s="11" t="str">
        <f aca="true">IF(F852="","",YEAR(TODAY())-F852)</f>
        <v/>
      </c>
      <c r="H852" s="11" t="str">
        <f aca="false">IF(C852="","",IF(G852="","Thiếu thông tin",IF(G852&lt;6,"Trẻ em",IF(G852&lt;23,"Học sinh / Sinh viên",IF(G852&lt;60,"Đang đi làm","Nghỉ hưu")))))</f>
        <v/>
      </c>
      <c r="I852" s="6"/>
      <c r="J852" s="11" t="str">
        <f aca="false">IF(B852="","",IFERROR(INDEX('Hộ gia đình'!$B$2:$B$2000,MATCH(B852,'Hộ gia đình'!$A$2:$A$2000,0)),"Mã hộ không tồn tại"))</f>
        <v/>
      </c>
      <c r="K852" s="14"/>
      <c r="L852" s="14"/>
      <c r="M852" s="6"/>
      <c r="N852" s="6"/>
      <c r="O852" s="6"/>
      <c r="P852" s="6"/>
      <c r="Q852" s="6"/>
      <c r="R852" s="12"/>
    </row>
    <row r="853" customFormat="false" ht="15" hidden="false" customHeight="true" outlineLevel="0" collapsed="false">
      <c r="A853" s="6"/>
      <c r="B853" s="6"/>
      <c r="C853" s="6"/>
      <c r="D853" s="6"/>
      <c r="E853" s="13"/>
      <c r="F853" s="6"/>
      <c r="G853" s="11" t="str">
        <f aca="true">IF(F853="","",YEAR(TODAY())-F853)</f>
        <v/>
      </c>
      <c r="H853" s="11" t="str">
        <f aca="false">IF(C853="","",IF(G853="","Thiếu thông tin",IF(G853&lt;6,"Trẻ em",IF(G853&lt;23,"Học sinh / Sinh viên",IF(G853&lt;60,"Đang đi làm","Nghỉ hưu")))))</f>
        <v/>
      </c>
      <c r="I853" s="6"/>
      <c r="J853" s="11" t="str">
        <f aca="false">IF(B853="","",IFERROR(INDEX('Hộ gia đình'!$B$2:$B$2000,MATCH(B853,'Hộ gia đình'!$A$2:$A$2000,0)),"Mã hộ không tồn tại"))</f>
        <v/>
      </c>
      <c r="K853" s="14"/>
      <c r="L853" s="14"/>
      <c r="M853" s="6"/>
      <c r="N853" s="6"/>
      <c r="O853" s="6"/>
      <c r="P853" s="6"/>
      <c r="Q853" s="6"/>
      <c r="R853" s="12"/>
    </row>
    <row r="854" customFormat="false" ht="15" hidden="false" customHeight="true" outlineLevel="0" collapsed="false">
      <c r="A854" s="6"/>
      <c r="B854" s="6"/>
      <c r="C854" s="6"/>
      <c r="D854" s="6"/>
      <c r="E854" s="13"/>
      <c r="F854" s="6"/>
      <c r="G854" s="11" t="str">
        <f aca="true">IF(F854="","",YEAR(TODAY())-F854)</f>
        <v/>
      </c>
      <c r="H854" s="11" t="str">
        <f aca="false">IF(C854="","",IF(G854="","Thiếu thông tin",IF(G854&lt;6,"Trẻ em",IF(G854&lt;23,"Học sinh / Sinh viên",IF(G854&lt;60,"Đang đi làm","Nghỉ hưu")))))</f>
        <v/>
      </c>
      <c r="I854" s="6"/>
      <c r="J854" s="11" t="str">
        <f aca="false">IF(B854="","",IFERROR(INDEX('Hộ gia đình'!$B$2:$B$2000,MATCH(B854,'Hộ gia đình'!$A$2:$A$2000,0)),"Mã hộ không tồn tại"))</f>
        <v/>
      </c>
      <c r="K854" s="14"/>
      <c r="L854" s="14"/>
      <c r="M854" s="6"/>
      <c r="N854" s="6"/>
      <c r="O854" s="6"/>
      <c r="P854" s="6"/>
      <c r="Q854" s="6"/>
      <c r="R854" s="12"/>
    </row>
    <row r="855" customFormat="false" ht="15" hidden="false" customHeight="true" outlineLevel="0" collapsed="false">
      <c r="A855" s="6"/>
      <c r="B855" s="6"/>
      <c r="C855" s="6"/>
      <c r="D855" s="6"/>
      <c r="E855" s="13"/>
      <c r="F855" s="6"/>
      <c r="G855" s="11" t="str">
        <f aca="true">IF(F855="","",YEAR(TODAY())-F855)</f>
        <v/>
      </c>
      <c r="H855" s="11" t="str">
        <f aca="false">IF(C855="","",IF(G855="","Thiếu thông tin",IF(G855&lt;6,"Trẻ em",IF(G855&lt;23,"Học sinh / Sinh viên",IF(G855&lt;60,"Đang đi làm","Nghỉ hưu")))))</f>
        <v/>
      </c>
      <c r="I855" s="6"/>
      <c r="J855" s="11" t="str">
        <f aca="false">IF(B855="","",IFERROR(INDEX('Hộ gia đình'!$B$2:$B$2000,MATCH(B855,'Hộ gia đình'!$A$2:$A$2000,0)),"Mã hộ không tồn tại"))</f>
        <v/>
      </c>
      <c r="K855" s="14"/>
      <c r="L855" s="14"/>
      <c r="M855" s="6"/>
      <c r="N855" s="6"/>
      <c r="O855" s="6"/>
      <c r="P855" s="6"/>
      <c r="Q855" s="6"/>
      <c r="R855" s="12"/>
    </row>
    <row r="856" customFormat="false" ht="15" hidden="false" customHeight="true" outlineLevel="0" collapsed="false">
      <c r="A856" s="6"/>
      <c r="B856" s="6"/>
      <c r="C856" s="6"/>
      <c r="D856" s="6"/>
      <c r="E856" s="13"/>
      <c r="F856" s="6"/>
      <c r="G856" s="11" t="str">
        <f aca="true">IF(F856="","",YEAR(TODAY())-F856)</f>
        <v/>
      </c>
      <c r="H856" s="11" t="str">
        <f aca="false">IF(C856="","",IF(G856="","Thiếu thông tin",IF(G856&lt;6,"Trẻ em",IF(G856&lt;23,"Học sinh / Sinh viên",IF(G856&lt;60,"Đang đi làm","Nghỉ hưu")))))</f>
        <v/>
      </c>
      <c r="I856" s="6"/>
      <c r="J856" s="11" t="str">
        <f aca="false">IF(B856="","",IFERROR(INDEX('Hộ gia đình'!$B$2:$B$2000,MATCH(B856,'Hộ gia đình'!$A$2:$A$2000,0)),"Mã hộ không tồn tại"))</f>
        <v/>
      </c>
      <c r="K856" s="14"/>
      <c r="L856" s="14"/>
      <c r="M856" s="6"/>
      <c r="N856" s="6"/>
      <c r="O856" s="6"/>
      <c r="P856" s="6"/>
      <c r="Q856" s="6"/>
      <c r="R856" s="12"/>
    </row>
    <row r="857" customFormat="false" ht="15" hidden="false" customHeight="true" outlineLevel="0" collapsed="false">
      <c r="A857" s="6"/>
      <c r="B857" s="6"/>
      <c r="C857" s="6"/>
      <c r="D857" s="6"/>
      <c r="E857" s="13"/>
      <c r="F857" s="6"/>
      <c r="G857" s="11" t="str">
        <f aca="true">IF(F857="","",YEAR(TODAY())-F857)</f>
        <v/>
      </c>
      <c r="H857" s="11" t="str">
        <f aca="false">IF(C857="","",IF(G857="","Thiếu thông tin",IF(G857&lt;6,"Trẻ em",IF(G857&lt;23,"Học sinh / Sinh viên",IF(G857&lt;60,"Đang đi làm","Nghỉ hưu")))))</f>
        <v/>
      </c>
      <c r="I857" s="6"/>
      <c r="J857" s="11" t="str">
        <f aca="false">IF(B857="","",IFERROR(INDEX('Hộ gia đình'!$B$2:$B$2000,MATCH(B857,'Hộ gia đình'!$A$2:$A$2000,0)),"Mã hộ không tồn tại"))</f>
        <v/>
      </c>
      <c r="K857" s="14"/>
      <c r="L857" s="14"/>
      <c r="M857" s="6"/>
      <c r="N857" s="6"/>
      <c r="O857" s="6"/>
      <c r="P857" s="6"/>
      <c r="Q857" s="6"/>
      <c r="R857" s="12"/>
    </row>
    <row r="858" customFormat="false" ht="15" hidden="false" customHeight="true" outlineLevel="0" collapsed="false">
      <c r="A858" s="6"/>
      <c r="B858" s="6"/>
      <c r="C858" s="6"/>
      <c r="D858" s="6"/>
      <c r="E858" s="13"/>
      <c r="F858" s="6"/>
      <c r="G858" s="11" t="str">
        <f aca="true">IF(F858="","",YEAR(TODAY())-F858)</f>
        <v/>
      </c>
      <c r="H858" s="11" t="str">
        <f aca="false">IF(C858="","",IF(G858="","Thiếu thông tin",IF(G858&lt;6,"Trẻ em",IF(G858&lt;23,"Học sinh / Sinh viên",IF(G858&lt;60,"Đang đi làm","Nghỉ hưu")))))</f>
        <v/>
      </c>
      <c r="I858" s="6"/>
      <c r="J858" s="11" t="str">
        <f aca="false">IF(B858="","",IFERROR(INDEX('Hộ gia đình'!$B$2:$B$2000,MATCH(B858,'Hộ gia đình'!$A$2:$A$2000,0)),"Mã hộ không tồn tại"))</f>
        <v/>
      </c>
      <c r="K858" s="14"/>
      <c r="L858" s="14"/>
      <c r="M858" s="6"/>
      <c r="N858" s="6"/>
      <c r="O858" s="6"/>
      <c r="P858" s="6"/>
      <c r="Q858" s="6"/>
      <c r="R858" s="12"/>
    </row>
    <row r="859" customFormat="false" ht="15" hidden="false" customHeight="true" outlineLevel="0" collapsed="false">
      <c r="A859" s="6"/>
      <c r="B859" s="6"/>
      <c r="C859" s="6"/>
      <c r="D859" s="6"/>
      <c r="E859" s="13"/>
      <c r="F859" s="6"/>
      <c r="G859" s="11" t="str">
        <f aca="true">IF(F859="","",YEAR(TODAY())-F859)</f>
        <v/>
      </c>
      <c r="H859" s="11" t="str">
        <f aca="false">IF(C859="","",IF(G859="","Thiếu thông tin",IF(G859&lt;6,"Trẻ em",IF(G859&lt;23,"Học sinh / Sinh viên",IF(G859&lt;60,"Đang đi làm","Nghỉ hưu")))))</f>
        <v/>
      </c>
      <c r="I859" s="6"/>
      <c r="J859" s="11" t="str">
        <f aca="false">IF(B859="","",IFERROR(INDEX('Hộ gia đình'!$B$2:$B$2000,MATCH(B859,'Hộ gia đình'!$A$2:$A$2000,0)),"Mã hộ không tồn tại"))</f>
        <v/>
      </c>
      <c r="K859" s="14"/>
      <c r="L859" s="14"/>
      <c r="M859" s="6"/>
      <c r="N859" s="6"/>
      <c r="O859" s="6"/>
      <c r="P859" s="6"/>
      <c r="Q859" s="6"/>
      <c r="R859" s="12"/>
    </row>
    <row r="860" customFormat="false" ht="15" hidden="false" customHeight="true" outlineLevel="0" collapsed="false">
      <c r="A860" s="6"/>
      <c r="B860" s="6"/>
      <c r="C860" s="6"/>
      <c r="D860" s="6"/>
      <c r="E860" s="13"/>
      <c r="F860" s="6"/>
      <c r="G860" s="11" t="str">
        <f aca="true">IF(F860="","",YEAR(TODAY())-F860)</f>
        <v/>
      </c>
      <c r="H860" s="11" t="str">
        <f aca="false">IF(C860="","",IF(G860="","Thiếu thông tin",IF(G860&lt;6,"Trẻ em",IF(G860&lt;23,"Học sinh / Sinh viên",IF(G860&lt;60,"Đang đi làm","Nghỉ hưu")))))</f>
        <v/>
      </c>
      <c r="I860" s="6"/>
      <c r="J860" s="11" t="str">
        <f aca="false">IF(B860="","",IFERROR(INDEX('Hộ gia đình'!$B$2:$B$2000,MATCH(B860,'Hộ gia đình'!$A$2:$A$2000,0)),"Mã hộ không tồn tại"))</f>
        <v/>
      </c>
      <c r="K860" s="14"/>
      <c r="L860" s="14"/>
      <c r="M860" s="6"/>
      <c r="N860" s="6"/>
      <c r="O860" s="6"/>
      <c r="P860" s="6"/>
      <c r="Q860" s="6"/>
      <c r="R860" s="12"/>
    </row>
    <row r="861" customFormat="false" ht="15" hidden="false" customHeight="true" outlineLevel="0" collapsed="false">
      <c r="A861" s="6"/>
      <c r="B861" s="6"/>
      <c r="C861" s="6"/>
      <c r="D861" s="6"/>
      <c r="E861" s="13"/>
      <c r="F861" s="6"/>
      <c r="G861" s="11" t="str">
        <f aca="true">IF(F861="","",YEAR(TODAY())-F861)</f>
        <v/>
      </c>
      <c r="H861" s="11" t="str">
        <f aca="false">IF(C861="","",IF(G861="","Thiếu thông tin",IF(G861&lt;6,"Trẻ em",IF(G861&lt;23,"Học sinh / Sinh viên",IF(G861&lt;60,"Đang đi làm","Nghỉ hưu")))))</f>
        <v/>
      </c>
      <c r="I861" s="6"/>
      <c r="J861" s="11" t="str">
        <f aca="false">IF(B861="","",IFERROR(INDEX('Hộ gia đình'!$B$2:$B$2000,MATCH(B861,'Hộ gia đình'!$A$2:$A$2000,0)),"Mã hộ không tồn tại"))</f>
        <v/>
      </c>
      <c r="K861" s="14"/>
      <c r="L861" s="14"/>
      <c r="M861" s="6"/>
      <c r="N861" s="6"/>
      <c r="O861" s="6"/>
      <c r="P861" s="6"/>
      <c r="Q861" s="6"/>
      <c r="R861" s="12"/>
    </row>
    <row r="862" customFormat="false" ht="15" hidden="false" customHeight="true" outlineLevel="0" collapsed="false">
      <c r="A862" s="6"/>
      <c r="B862" s="6"/>
      <c r="C862" s="6"/>
      <c r="D862" s="6"/>
      <c r="E862" s="13"/>
      <c r="F862" s="6"/>
      <c r="G862" s="11" t="str">
        <f aca="true">IF(F862="","",YEAR(TODAY())-F862)</f>
        <v/>
      </c>
      <c r="H862" s="11" t="str">
        <f aca="false">IF(C862="","",IF(G862="","Thiếu thông tin",IF(G862&lt;6,"Trẻ em",IF(G862&lt;23,"Học sinh / Sinh viên",IF(G862&lt;60,"Đang đi làm","Nghỉ hưu")))))</f>
        <v/>
      </c>
      <c r="I862" s="6"/>
      <c r="J862" s="11" t="str">
        <f aca="false">IF(B862="","",IFERROR(INDEX('Hộ gia đình'!$B$2:$B$2000,MATCH(B862,'Hộ gia đình'!$A$2:$A$2000,0)),"Mã hộ không tồn tại"))</f>
        <v/>
      </c>
      <c r="K862" s="14"/>
      <c r="L862" s="14"/>
      <c r="M862" s="6"/>
      <c r="N862" s="6"/>
      <c r="O862" s="6"/>
      <c r="P862" s="6"/>
      <c r="Q862" s="6"/>
      <c r="R862" s="12"/>
    </row>
    <row r="863" customFormat="false" ht="15" hidden="false" customHeight="true" outlineLevel="0" collapsed="false">
      <c r="A863" s="6"/>
      <c r="B863" s="6"/>
      <c r="C863" s="6"/>
      <c r="D863" s="6"/>
      <c r="E863" s="13"/>
      <c r="F863" s="6"/>
      <c r="G863" s="11" t="str">
        <f aca="true">IF(F863="","",YEAR(TODAY())-F863)</f>
        <v/>
      </c>
      <c r="H863" s="11" t="str">
        <f aca="false">IF(C863="","",IF(G863="","Thiếu thông tin",IF(G863&lt;6,"Trẻ em",IF(G863&lt;23,"Học sinh / Sinh viên",IF(G863&lt;60,"Đang đi làm","Nghỉ hưu")))))</f>
        <v/>
      </c>
      <c r="I863" s="6"/>
      <c r="J863" s="11" t="str">
        <f aca="false">IF(B863="","",IFERROR(INDEX('Hộ gia đình'!$B$2:$B$2000,MATCH(B863,'Hộ gia đình'!$A$2:$A$2000,0)),"Mã hộ không tồn tại"))</f>
        <v/>
      </c>
      <c r="K863" s="14"/>
      <c r="L863" s="14"/>
      <c r="M863" s="6"/>
      <c r="N863" s="6"/>
      <c r="O863" s="6"/>
      <c r="P863" s="6"/>
      <c r="Q863" s="6"/>
      <c r="R863" s="12"/>
    </row>
    <row r="864" customFormat="false" ht="15" hidden="false" customHeight="true" outlineLevel="0" collapsed="false">
      <c r="A864" s="6"/>
      <c r="B864" s="6"/>
      <c r="C864" s="6"/>
      <c r="D864" s="6"/>
      <c r="E864" s="13"/>
      <c r="F864" s="6"/>
      <c r="G864" s="11" t="str">
        <f aca="true">IF(F864="","",YEAR(TODAY())-F864)</f>
        <v/>
      </c>
      <c r="H864" s="11" t="str">
        <f aca="false">IF(C864="","",IF(G864="","Thiếu thông tin",IF(G864&lt;6,"Trẻ em",IF(G864&lt;23,"Học sinh / Sinh viên",IF(G864&lt;60,"Đang đi làm","Nghỉ hưu")))))</f>
        <v/>
      </c>
      <c r="I864" s="6"/>
      <c r="J864" s="11" t="str">
        <f aca="false">IF(B864="","",IFERROR(INDEX('Hộ gia đình'!$B$2:$B$2000,MATCH(B864,'Hộ gia đình'!$A$2:$A$2000,0)),"Mã hộ không tồn tại"))</f>
        <v/>
      </c>
      <c r="K864" s="14"/>
      <c r="L864" s="14"/>
      <c r="M864" s="6"/>
      <c r="N864" s="6"/>
      <c r="O864" s="6"/>
      <c r="P864" s="6"/>
      <c r="Q864" s="6"/>
      <c r="R864" s="12"/>
    </row>
    <row r="865" customFormat="false" ht="15" hidden="false" customHeight="true" outlineLevel="0" collapsed="false">
      <c r="A865" s="6"/>
      <c r="B865" s="6"/>
      <c r="C865" s="6"/>
      <c r="D865" s="6"/>
      <c r="E865" s="13"/>
      <c r="F865" s="6"/>
      <c r="G865" s="11" t="str">
        <f aca="true">IF(F865="","",YEAR(TODAY())-F865)</f>
        <v/>
      </c>
      <c r="H865" s="11" t="str">
        <f aca="false">IF(C865="","",IF(G865="","Thiếu thông tin",IF(G865&lt;6,"Trẻ em",IF(G865&lt;23,"Học sinh / Sinh viên",IF(G865&lt;60,"Đang đi làm","Nghỉ hưu")))))</f>
        <v/>
      </c>
      <c r="I865" s="6"/>
      <c r="J865" s="11" t="str">
        <f aca="false">IF(B865="","",IFERROR(INDEX('Hộ gia đình'!$B$2:$B$2000,MATCH(B865,'Hộ gia đình'!$A$2:$A$2000,0)),"Mã hộ không tồn tại"))</f>
        <v/>
      </c>
      <c r="K865" s="14"/>
      <c r="L865" s="14"/>
      <c r="M865" s="6"/>
      <c r="N865" s="6"/>
      <c r="O865" s="6"/>
      <c r="P865" s="6"/>
      <c r="Q865" s="6"/>
      <c r="R865" s="12"/>
    </row>
    <row r="866" customFormat="false" ht="15" hidden="false" customHeight="true" outlineLevel="0" collapsed="false">
      <c r="A866" s="6"/>
      <c r="B866" s="6"/>
      <c r="C866" s="6"/>
      <c r="D866" s="6"/>
      <c r="E866" s="13"/>
      <c r="F866" s="6"/>
      <c r="G866" s="11" t="str">
        <f aca="true">IF(F866="","",YEAR(TODAY())-F866)</f>
        <v/>
      </c>
      <c r="H866" s="11" t="str">
        <f aca="false">IF(C866="","",IF(G866="","Thiếu thông tin",IF(G866&lt;6,"Trẻ em",IF(G866&lt;23,"Học sinh / Sinh viên",IF(G866&lt;60,"Đang đi làm","Nghỉ hưu")))))</f>
        <v/>
      </c>
      <c r="I866" s="6"/>
      <c r="J866" s="11" t="str">
        <f aca="false">IF(B866="","",IFERROR(INDEX('Hộ gia đình'!$B$2:$B$2000,MATCH(B866,'Hộ gia đình'!$A$2:$A$2000,0)),"Mã hộ không tồn tại"))</f>
        <v/>
      </c>
      <c r="K866" s="14"/>
      <c r="L866" s="14"/>
      <c r="M866" s="6"/>
      <c r="N866" s="6"/>
      <c r="O866" s="6"/>
      <c r="P866" s="6"/>
      <c r="Q866" s="6"/>
      <c r="R866" s="12"/>
    </row>
    <row r="867" customFormat="false" ht="15" hidden="false" customHeight="true" outlineLevel="0" collapsed="false">
      <c r="A867" s="6"/>
      <c r="B867" s="6"/>
      <c r="C867" s="6"/>
      <c r="D867" s="6"/>
      <c r="E867" s="13"/>
      <c r="F867" s="6"/>
      <c r="G867" s="11" t="str">
        <f aca="true">IF(F867="","",YEAR(TODAY())-F867)</f>
        <v/>
      </c>
      <c r="H867" s="11" t="str">
        <f aca="false">IF(C867="","",IF(G867="","Thiếu thông tin",IF(G867&lt;6,"Trẻ em",IF(G867&lt;23,"Học sinh / Sinh viên",IF(G867&lt;60,"Đang đi làm","Nghỉ hưu")))))</f>
        <v/>
      </c>
      <c r="I867" s="6"/>
      <c r="J867" s="11" t="str">
        <f aca="false">IF(B867="","",IFERROR(INDEX('Hộ gia đình'!$B$2:$B$2000,MATCH(B867,'Hộ gia đình'!$A$2:$A$2000,0)),"Mã hộ không tồn tại"))</f>
        <v/>
      </c>
      <c r="K867" s="14"/>
      <c r="L867" s="14"/>
      <c r="M867" s="6"/>
      <c r="N867" s="6"/>
      <c r="O867" s="6"/>
      <c r="P867" s="6"/>
      <c r="Q867" s="6"/>
      <c r="R867" s="12"/>
    </row>
    <row r="868" customFormat="false" ht="15" hidden="false" customHeight="true" outlineLevel="0" collapsed="false">
      <c r="A868" s="6"/>
      <c r="B868" s="6"/>
      <c r="C868" s="6"/>
      <c r="D868" s="6"/>
      <c r="E868" s="13"/>
      <c r="F868" s="6"/>
      <c r="G868" s="11" t="str">
        <f aca="true">IF(F868="","",YEAR(TODAY())-F868)</f>
        <v/>
      </c>
      <c r="H868" s="11" t="str">
        <f aca="false">IF(C868="","",IF(G868="","Thiếu thông tin",IF(G868&lt;6,"Trẻ em",IF(G868&lt;23,"Học sinh / Sinh viên",IF(G868&lt;60,"Đang đi làm","Nghỉ hưu")))))</f>
        <v/>
      </c>
      <c r="I868" s="6"/>
      <c r="J868" s="11" t="str">
        <f aca="false">IF(B868="","",IFERROR(INDEX('Hộ gia đình'!$B$2:$B$2000,MATCH(B868,'Hộ gia đình'!$A$2:$A$2000,0)),"Mã hộ không tồn tại"))</f>
        <v/>
      </c>
      <c r="K868" s="14"/>
      <c r="L868" s="14"/>
      <c r="M868" s="6"/>
      <c r="N868" s="6"/>
      <c r="O868" s="6"/>
      <c r="P868" s="6"/>
      <c r="Q868" s="6"/>
      <c r="R868" s="12"/>
    </row>
    <row r="869" customFormat="false" ht="15" hidden="false" customHeight="true" outlineLevel="0" collapsed="false">
      <c r="A869" s="6"/>
      <c r="B869" s="6"/>
      <c r="C869" s="6"/>
      <c r="D869" s="6"/>
      <c r="E869" s="13"/>
      <c r="F869" s="6"/>
      <c r="G869" s="11" t="str">
        <f aca="true">IF(F869="","",YEAR(TODAY())-F869)</f>
        <v/>
      </c>
      <c r="H869" s="11" t="str">
        <f aca="false">IF(C869="","",IF(G869="","Thiếu thông tin",IF(G869&lt;6,"Trẻ em",IF(G869&lt;23,"Học sinh / Sinh viên",IF(G869&lt;60,"Đang đi làm","Nghỉ hưu")))))</f>
        <v/>
      </c>
      <c r="I869" s="6"/>
      <c r="J869" s="11" t="str">
        <f aca="false">IF(B869="","",IFERROR(INDEX('Hộ gia đình'!$B$2:$B$2000,MATCH(B869,'Hộ gia đình'!$A$2:$A$2000,0)),"Mã hộ không tồn tại"))</f>
        <v/>
      </c>
      <c r="K869" s="14"/>
      <c r="L869" s="14"/>
      <c r="M869" s="6"/>
      <c r="N869" s="6"/>
      <c r="O869" s="6"/>
      <c r="P869" s="6"/>
      <c r="Q869" s="6"/>
      <c r="R869" s="12"/>
    </row>
    <row r="870" customFormat="false" ht="15" hidden="false" customHeight="true" outlineLevel="0" collapsed="false">
      <c r="A870" s="6"/>
      <c r="B870" s="6"/>
      <c r="C870" s="6"/>
      <c r="D870" s="6"/>
      <c r="E870" s="13"/>
      <c r="F870" s="6"/>
      <c r="G870" s="11" t="str">
        <f aca="true">IF(F870="","",YEAR(TODAY())-F870)</f>
        <v/>
      </c>
      <c r="H870" s="11" t="str">
        <f aca="false">IF(C870="","",IF(G870="","Thiếu thông tin",IF(G870&lt;6,"Trẻ em",IF(G870&lt;23,"Học sinh / Sinh viên",IF(G870&lt;60,"Đang đi làm","Nghỉ hưu")))))</f>
        <v/>
      </c>
      <c r="I870" s="6"/>
      <c r="J870" s="11" t="str">
        <f aca="false">IF(B870="","",IFERROR(INDEX('Hộ gia đình'!$B$2:$B$2000,MATCH(B870,'Hộ gia đình'!$A$2:$A$2000,0)),"Mã hộ không tồn tại"))</f>
        <v/>
      </c>
      <c r="K870" s="14"/>
      <c r="L870" s="14"/>
      <c r="M870" s="6"/>
      <c r="N870" s="6"/>
      <c r="O870" s="6"/>
      <c r="P870" s="6"/>
      <c r="Q870" s="6"/>
      <c r="R870" s="12"/>
    </row>
    <row r="871" customFormat="false" ht="15" hidden="false" customHeight="true" outlineLevel="0" collapsed="false">
      <c r="A871" s="6"/>
      <c r="B871" s="6"/>
      <c r="C871" s="6"/>
      <c r="D871" s="6"/>
      <c r="E871" s="13"/>
      <c r="F871" s="6"/>
      <c r="G871" s="11" t="str">
        <f aca="true">IF(F871="","",YEAR(TODAY())-F871)</f>
        <v/>
      </c>
      <c r="H871" s="11" t="str">
        <f aca="false">IF(C871="","",IF(G871="","Thiếu thông tin",IF(G871&lt;6,"Trẻ em",IF(G871&lt;23,"Học sinh / Sinh viên",IF(G871&lt;60,"Đang đi làm","Nghỉ hưu")))))</f>
        <v/>
      </c>
      <c r="I871" s="6"/>
      <c r="J871" s="11" t="str">
        <f aca="false">IF(B871="","",IFERROR(INDEX('Hộ gia đình'!$B$2:$B$2000,MATCH(B871,'Hộ gia đình'!$A$2:$A$2000,0)),"Mã hộ không tồn tại"))</f>
        <v/>
      </c>
      <c r="K871" s="14"/>
      <c r="L871" s="14"/>
      <c r="M871" s="6"/>
      <c r="N871" s="6"/>
      <c r="O871" s="6"/>
      <c r="P871" s="6"/>
      <c r="Q871" s="6"/>
      <c r="R871" s="12"/>
    </row>
    <row r="872" customFormat="false" ht="15" hidden="false" customHeight="true" outlineLevel="0" collapsed="false">
      <c r="A872" s="6"/>
      <c r="B872" s="6"/>
      <c r="C872" s="6"/>
      <c r="D872" s="6"/>
      <c r="E872" s="13"/>
      <c r="F872" s="6"/>
      <c r="G872" s="11" t="str">
        <f aca="true">IF(F872="","",YEAR(TODAY())-F872)</f>
        <v/>
      </c>
      <c r="H872" s="11" t="str">
        <f aca="false">IF(C872="","",IF(G872="","Thiếu thông tin",IF(G872&lt;6,"Trẻ em",IF(G872&lt;23,"Học sinh / Sinh viên",IF(G872&lt;60,"Đang đi làm","Nghỉ hưu")))))</f>
        <v/>
      </c>
      <c r="I872" s="6"/>
      <c r="J872" s="11" t="str">
        <f aca="false">IF(B872="","",IFERROR(INDEX('Hộ gia đình'!$B$2:$B$2000,MATCH(B872,'Hộ gia đình'!$A$2:$A$2000,0)),"Mã hộ không tồn tại"))</f>
        <v/>
      </c>
      <c r="K872" s="14"/>
      <c r="L872" s="14"/>
      <c r="M872" s="6"/>
      <c r="N872" s="6"/>
      <c r="O872" s="6"/>
      <c r="P872" s="6"/>
      <c r="Q872" s="6"/>
      <c r="R872" s="12"/>
    </row>
    <row r="873" customFormat="false" ht="15" hidden="false" customHeight="true" outlineLevel="0" collapsed="false">
      <c r="A873" s="6"/>
      <c r="B873" s="6"/>
      <c r="C873" s="6"/>
      <c r="D873" s="6"/>
      <c r="E873" s="13"/>
      <c r="F873" s="6"/>
      <c r="G873" s="11" t="str">
        <f aca="true">IF(F873="","",YEAR(TODAY())-F873)</f>
        <v/>
      </c>
      <c r="H873" s="11" t="str">
        <f aca="false">IF(C873="","",IF(G873="","Thiếu thông tin",IF(G873&lt;6,"Trẻ em",IF(G873&lt;23,"Học sinh / Sinh viên",IF(G873&lt;60,"Đang đi làm","Nghỉ hưu")))))</f>
        <v/>
      </c>
      <c r="I873" s="6"/>
      <c r="J873" s="11" t="str">
        <f aca="false">IF(B873="","",IFERROR(INDEX('Hộ gia đình'!$B$2:$B$2000,MATCH(B873,'Hộ gia đình'!$A$2:$A$2000,0)),"Mã hộ không tồn tại"))</f>
        <v/>
      </c>
      <c r="K873" s="14"/>
      <c r="L873" s="14"/>
      <c r="M873" s="6"/>
      <c r="N873" s="6"/>
      <c r="O873" s="6"/>
      <c r="P873" s="6"/>
      <c r="Q873" s="6"/>
      <c r="R873" s="12"/>
    </row>
    <row r="874" customFormat="false" ht="15" hidden="false" customHeight="true" outlineLevel="0" collapsed="false">
      <c r="A874" s="6"/>
      <c r="B874" s="6"/>
      <c r="C874" s="6"/>
      <c r="D874" s="6"/>
      <c r="E874" s="13"/>
      <c r="F874" s="6"/>
      <c r="G874" s="11" t="str">
        <f aca="true">IF(F874="","",YEAR(TODAY())-F874)</f>
        <v/>
      </c>
      <c r="H874" s="11" t="str">
        <f aca="false">IF(C874="","",IF(G874="","Thiếu thông tin",IF(G874&lt;6,"Trẻ em",IF(G874&lt;23,"Học sinh / Sinh viên",IF(G874&lt;60,"Đang đi làm","Nghỉ hưu")))))</f>
        <v/>
      </c>
      <c r="I874" s="6"/>
      <c r="J874" s="11" t="str">
        <f aca="false">IF(B874="","",IFERROR(INDEX('Hộ gia đình'!$B$2:$B$2000,MATCH(B874,'Hộ gia đình'!$A$2:$A$2000,0)),"Mã hộ không tồn tại"))</f>
        <v/>
      </c>
      <c r="K874" s="14"/>
      <c r="L874" s="14"/>
      <c r="M874" s="6"/>
      <c r="N874" s="6"/>
      <c r="O874" s="6"/>
      <c r="P874" s="6"/>
      <c r="Q874" s="6"/>
      <c r="R874" s="12"/>
    </row>
    <row r="875" customFormat="false" ht="15" hidden="false" customHeight="true" outlineLevel="0" collapsed="false">
      <c r="A875" s="6"/>
      <c r="B875" s="6"/>
      <c r="C875" s="6"/>
      <c r="D875" s="6"/>
      <c r="E875" s="13"/>
      <c r="F875" s="6"/>
      <c r="G875" s="11" t="str">
        <f aca="true">IF(F875="","",YEAR(TODAY())-F875)</f>
        <v/>
      </c>
      <c r="H875" s="11" t="str">
        <f aca="false">IF(C875="","",IF(G875="","Thiếu thông tin",IF(G875&lt;6,"Trẻ em",IF(G875&lt;23,"Học sinh / Sinh viên",IF(G875&lt;60,"Đang đi làm","Nghỉ hưu")))))</f>
        <v/>
      </c>
      <c r="I875" s="6"/>
      <c r="J875" s="11" t="str">
        <f aca="false">IF(B875="","",IFERROR(INDEX('Hộ gia đình'!$B$2:$B$2000,MATCH(B875,'Hộ gia đình'!$A$2:$A$2000,0)),"Mã hộ không tồn tại"))</f>
        <v/>
      </c>
      <c r="K875" s="14"/>
      <c r="L875" s="14"/>
      <c r="M875" s="6"/>
      <c r="N875" s="6"/>
      <c r="O875" s="6"/>
      <c r="P875" s="6"/>
      <c r="Q875" s="6"/>
      <c r="R875" s="12"/>
    </row>
    <row r="876" customFormat="false" ht="15" hidden="false" customHeight="true" outlineLevel="0" collapsed="false">
      <c r="A876" s="6"/>
      <c r="B876" s="6"/>
      <c r="C876" s="6"/>
      <c r="D876" s="6"/>
      <c r="E876" s="13"/>
      <c r="F876" s="6"/>
      <c r="G876" s="11" t="str">
        <f aca="true">IF(F876="","",YEAR(TODAY())-F876)</f>
        <v/>
      </c>
      <c r="H876" s="11" t="str">
        <f aca="false">IF(C876="","",IF(G876="","Thiếu thông tin",IF(G876&lt;6,"Trẻ em",IF(G876&lt;23,"Học sinh / Sinh viên",IF(G876&lt;60,"Đang đi làm","Nghỉ hưu")))))</f>
        <v/>
      </c>
      <c r="I876" s="6"/>
      <c r="J876" s="11" t="str">
        <f aca="false">IF(B876="","",IFERROR(INDEX('Hộ gia đình'!$B$2:$B$2000,MATCH(B876,'Hộ gia đình'!$A$2:$A$2000,0)),"Mã hộ không tồn tại"))</f>
        <v/>
      </c>
      <c r="K876" s="14"/>
      <c r="L876" s="14"/>
      <c r="M876" s="6"/>
      <c r="N876" s="6"/>
      <c r="O876" s="6"/>
      <c r="P876" s="6"/>
      <c r="Q876" s="6"/>
      <c r="R876" s="12"/>
    </row>
    <row r="877" customFormat="false" ht="15" hidden="false" customHeight="true" outlineLevel="0" collapsed="false">
      <c r="A877" s="6"/>
      <c r="B877" s="6"/>
      <c r="C877" s="6"/>
      <c r="D877" s="6"/>
      <c r="E877" s="13"/>
      <c r="F877" s="6"/>
      <c r="G877" s="11" t="str">
        <f aca="true">IF(F877="","",YEAR(TODAY())-F877)</f>
        <v/>
      </c>
      <c r="H877" s="11" t="str">
        <f aca="false">IF(C877="","",IF(G877="","Thiếu thông tin",IF(G877&lt;6,"Trẻ em",IF(G877&lt;23,"Học sinh / Sinh viên",IF(G877&lt;60,"Đang đi làm","Nghỉ hưu")))))</f>
        <v/>
      </c>
      <c r="I877" s="6"/>
      <c r="J877" s="11" t="str">
        <f aca="false">IF(B877="","",IFERROR(INDEX('Hộ gia đình'!$B$2:$B$2000,MATCH(B877,'Hộ gia đình'!$A$2:$A$2000,0)),"Mã hộ không tồn tại"))</f>
        <v/>
      </c>
      <c r="K877" s="14"/>
      <c r="L877" s="14"/>
      <c r="M877" s="6"/>
      <c r="N877" s="6"/>
      <c r="O877" s="6"/>
      <c r="P877" s="6"/>
      <c r="Q877" s="6"/>
      <c r="R877" s="12"/>
    </row>
    <row r="878" customFormat="false" ht="15" hidden="false" customHeight="true" outlineLevel="0" collapsed="false">
      <c r="A878" s="6"/>
      <c r="B878" s="6"/>
      <c r="C878" s="6"/>
      <c r="D878" s="6"/>
      <c r="E878" s="13"/>
      <c r="F878" s="6"/>
      <c r="G878" s="11" t="str">
        <f aca="true">IF(F878="","",YEAR(TODAY())-F878)</f>
        <v/>
      </c>
      <c r="H878" s="11" t="str">
        <f aca="false">IF(C878="","",IF(G878="","Thiếu thông tin",IF(G878&lt;6,"Trẻ em",IF(G878&lt;23,"Học sinh / Sinh viên",IF(G878&lt;60,"Đang đi làm","Nghỉ hưu")))))</f>
        <v/>
      </c>
      <c r="I878" s="6"/>
      <c r="J878" s="11" t="str">
        <f aca="false">IF(B878="","",IFERROR(INDEX('Hộ gia đình'!$B$2:$B$2000,MATCH(B878,'Hộ gia đình'!$A$2:$A$2000,0)),"Mã hộ không tồn tại"))</f>
        <v/>
      </c>
      <c r="K878" s="14"/>
      <c r="L878" s="14"/>
      <c r="M878" s="6"/>
      <c r="N878" s="6"/>
      <c r="O878" s="6"/>
      <c r="P878" s="6"/>
      <c r="Q878" s="6"/>
      <c r="R878" s="12"/>
    </row>
    <row r="879" customFormat="false" ht="15" hidden="false" customHeight="true" outlineLevel="0" collapsed="false">
      <c r="A879" s="6"/>
      <c r="B879" s="6"/>
      <c r="C879" s="6"/>
      <c r="D879" s="6"/>
      <c r="E879" s="13"/>
      <c r="F879" s="6"/>
      <c r="G879" s="11" t="str">
        <f aca="true">IF(F879="","",YEAR(TODAY())-F879)</f>
        <v/>
      </c>
      <c r="H879" s="11" t="str">
        <f aca="false">IF(C879="","",IF(G879="","Thiếu thông tin",IF(G879&lt;6,"Trẻ em",IF(G879&lt;23,"Học sinh / Sinh viên",IF(G879&lt;60,"Đang đi làm","Nghỉ hưu")))))</f>
        <v/>
      </c>
      <c r="I879" s="6"/>
      <c r="J879" s="11" t="str">
        <f aca="false">IF(B879="","",IFERROR(INDEX('Hộ gia đình'!$B$2:$B$2000,MATCH(B879,'Hộ gia đình'!$A$2:$A$2000,0)),"Mã hộ không tồn tại"))</f>
        <v/>
      </c>
      <c r="K879" s="14"/>
      <c r="L879" s="14"/>
      <c r="M879" s="6"/>
      <c r="N879" s="6"/>
      <c r="O879" s="6"/>
      <c r="P879" s="6"/>
      <c r="Q879" s="6"/>
      <c r="R879" s="12"/>
    </row>
    <row r="880" customFormat="false" ht="15" hidden="false" customHeight="true" outlineLevel="0" collapsed="false">
      <c r="A880" s="6"/>
      <c r="B880" s="6"/>
      <c r="C880" s="6"/>
      <c r="D880" s="6"/>
      <c r="E880" s="13"/>
      <c r="F880" s="6"/>
      <c r="G880" s="11" t="str">
        <f aca="true">IF(F880="","",YEAR(TODAY())-F880)</f>
        <v/>
      </c>
      <c r="H880" s="11" t="str">
        <f aca="false">IF(C880="","",IF(G880="","Thiếu thông tin",IF(G880&lt;6,"Trẻ em",IF(G880&lt;23,"Học sinh / Sinh viên",IF(G880&lt;60,"Đang đi làm","Nghỉ hưu")))))</f>
        <v/>
      </c>
      <c r="I880" s="6"/>
      <c r="J880" s="11" t="str">
        <f aca="false">IF(B880="","",IFERROR(INDEX('Hộ gia đình'!$B$2:$B$2000,MATCH(B880,'Hộ gia đình'!$A$2:$A$2000,0)),"Mã hộ không tồn tại"))</f>
        <v/>
      </c>
      <c r="K880" s="14"/>
      <c r="L880" s="14"/>
      <c r="M880" s="6"/>
      <c r="N880" s="6"/>
      <c r="O880" s="6"/>
      <c r="P880" s="6"/>
      <c r="Q880" s="6"/>
      <c r="R880" s="12"/>
    </row>
    <row r="881" customFormat="false" ht="15" hidden="false" customHeight="true" outlineLevel="0" collapsed="false">
      <c r="A881" s="6"/>
      <c r="B881" s="6"/>
      <c r="C881" s="6"/>
      <c r="D881" s="6"/>
      <c r="E881" s="13"/>
      <c r="F881" s="6"/>
      <c r="G881" s="11" t="str">
        <f aca="true">IF(F881="","",YEAR(TODAY())-F881)</f>
        <v/>
      </c>
      <c r="H881" s="11" t="str">
        <f aca="false">IF(C881="","",IF(G881="","Thiếu thông tin",IF(G881&lt;6,"Trẻ em",IF(G881&lt;23,"Học sinh / Sinh viên",IF(G881&lt;60,"Đang đi làm","Nghỉ hưu")))))</f>
        <v/>
      </c>
      <c r="I881" s="6"/>
      <c r="J881" s="11" t="str">
        <f aca="false">IF(B881="","",IFERROR(INDEX('Hộ gia đình'!$B$2:$B$2000,MATCH(B881,'Hộ gia đình'!$A$2:$A$2000,0)),"Mã hộ không tồn tại"))</f>
        <v/>
      </c>
      <c r="K881" s="14"/>
      <c r="L881" s="14"/>
      <c r="M881" s="6"/>
      <c r="N881" s="6"/>
      <c r="O881" s="6"/>
      <c r="P881" s="6"/>
      <c r="Q881" s="6"/>
      <c r="R881" s="12"/>
    </row>
    <row r="882" customFormat="false" ht="15" hidden="false" customHeight="true" outlineLevel="0" collapsed="false">
      <c r="A882" s="6"/>
      <c r="B882" s="6"/>
      <c r="C882" s="6"/>
      <c r="D882" s="6"/>
      <c r="E882" s="13"/>
      <c r="F882" s="6"/>
      <c r="G882" s="11" t="str">
        <f aca="true">IF(F882="","",YEAR(TODAY())-F882)</f>
        <v/>
      </c>
      <c r="H882" s="11" t="str">
        <f aca="false">IF(C882="","",IF(G882="","Thiếu thông tin",IF(G882&lt;6,"Trẻ em",IF(G882&lt;23,"Học sinh / Sinh viên",IF(G882&lt;60,"Đang đi làm","Nghỉ hưu")))))</f>
        <v/>
      </c>
      <c r="I882" s="6"/>
      <c r="J882" s="11" t="str">
        <f aca="false">IF(B882="","",IFERROR(INDEX('Hộ gia đình'!$B$2:$B$2000,MATCH(B882,'Hộ gia đình'!$A$2:$A$2000,0)),"Mã hộ không tồn tại"))</f>
        <v/>
      </c>
      <c r="K882" s="14"/>
      <c r="L882" s="14"/>
      <c r="M882" s="6"/>
      <c r="N882" s="6"/>
      <c r="O882" s="6"/>
      <c r="P882" s="6"/>
      <c r="Q882" s="6"/>
      <c r="R882" s="12"/>
    </row>
    <row r="883" customFormat="false" ht="15" hidden="false" customHeight="true" outlineLevel="0" collapsed="false">
      <c r="A883" s="6"/>
      <c r="B883" s="6"/>
      <c r="C883" s="6"/>
      <c r="D883" s="6"/>
      <c r="E883" s="13"/>
      <c r="F883" s="6"/>
      <c r="G883" s="11" t="str">
        <f aca="true">IF(F883="","",YEAR(TODAY())-F883)</f>
        <v/>
      </c>
      <c r="H883" s="11" t="str">
        <f aca="false">IF(C883="","",IF(G883="","Thiếu thông tin",IF(G883&lt;6,"Trẻ em",IF(G883&lt;23,"Học sinh / Sinh viên",IF(G883&lt;60,"Đang đi làm","Nghỉ hưu")))))</f>
        <v/>
      </c>
      <c r="I883" s="6"/>
      <c r="J883" s="11" t="str">
        <f aca="false">IF(B883="","",IFERROR(INDEX('Hộ gia đình'!$B$2:$B$2000,MATCH(B883,'Hộ gia đình'!$A$2:$A$2000,0)),"Mã hộ không tồn tại"))</f>
        <v/>
      </c>
      <c r="K883" s="14"/>
      <c r="L883" s="14"/>
      <c r="M883" s="6"/>
      <c r="N883" s="6"/>
      <c r="O883" s="6"/>
      <c r="P883" s="6"/>
      <c r="Q883" s="6"/>
      <c r="R883" s="12"/>
    </row>
    <row r="884" customFormat="false" ht="15" hidden="false" customHeight="true" outlineLevel="0" collapsed="false">
      <c r="A884" s="6"/>
      <c r="B884" s="6"/>
      <c r="C884" s="6"/>
      <c r="D884" s="6"/>
      <c r="E884" s="13"/>
      <c r="F884" s="6"/>
      <c r="G884" s="11" t="str">
        <f aca="true">IF(F884="","",YEAR(TODAY())-F884)</f>
        <v/>
      </c>
      <c r="H884" s="11" t="str">
        <f aca="false">IF(C884="","",IF(G884="","Thiếu thông tin",IF(G884&lt;6,"Trẻ em",IF(G884&lt;23,"Học sinh / Sinh viên",IF(G884&lt;60,"Đang đi làm","Nghỉ hưu")))))</f>
        <v/>
      </c>
      <c r="I884" s="6"/>
      <c r="J884" s="11" t="str">
        <f aca="false">IF(B884="","",IFERROR(INDEX('Hộ gia đình'!$B$2:$B$2000,MATCH(B884,'Hộ gia đình'!$A$2:$A$2000,0)),"Mã hộ không tồn tại"))</f>
        <v/>
      </c>
      <c r="K884" s="14"/>
      <c r="L884" s="14"/>
      <c r="M884" s="6"/>
      <c r="N884" s="6"/>
      <c r="O884" s="6"/>
      <c r="P884" s="6"/>
      <c r="Q884" s="6"/>
      <c r="R884" s="12"/>
    </row>
    <row r="885" customFormat="false" ht="15" hidden="false" customHeight="true" outlineLevel="0" collapsed="false">
      <c r="A885" s="6"/>
      <c r="B885" s="6"/>
      <c r="C885" s="6"/>
      <c r="D885" s="6"/>
      <c r="E885" s="13"/>
      <c r="F885" s="6"/>
      <c r="G885" s="11" t="str">
        <f aca="true">IF(F885="","",YEAR(TODAY())-F885)</f>
        <v/>
      </c>
      <c r="H885" s="11" t="str">
        <f aca="false">IF(C885="","",IF(G885="","Thiếu thông tin",IF(G885&lt;6,"Trẻ em",IF(G885&lt;23,"Học sinh / Sinh viên",IF(G885&lt;60,"Đang đi làm","Nghỉ hưu")))))</f>
        <v/>
      </c>
      <c r="I885" s="6"/>
      <c r="J885" s="11" t="str">
        <f aca="false">IF(B885="","",IFERROR(INDEX('Hộ gia đình'!$B$2:$B$2000,MATCH(B885,'Hộ gia đình'!$A$2:$A$2000,0)),"Mã hộ không tồn tại"))</f>
        <v/>
      </c>
      <c r="K885" s="14"/>
      <c r="L885" s="14"/>
      <c r="M885" s="6"/>
      <c r="N885" s="6"/>
      <c r="O885" s="6"/>
      <c r="P885" s="6"/>
      <c r="Q885" s="6"/>
      <c r="R885" s="12"/>
    </row>
    <row r="886" customFormat="false" ht="15" hidden="false" customHeight="true" outlineLevel="0" collapsed="false">
      <c r="A886" s="6"/>
      <c r="B886" s="6"/>
      <c r="C886" s="6"/>
      <c r="D886" s="6"/>
      <c r="E886" s="13"/>
      <c r="F886" s="6"/>
      <c r="G886" s="11" t="str">
        <f aca="true">IF(F886="","",YEAR(TODAY())-F886)</f>
        <v/>
      </c>
      <c r="H886" s="11" t="str">
        <f aca="false">IF(C886="","",IF(G886="","Thiếu thông tin",IF(G886&lt;6,"Trẻ em",IF(G886&lt;23,"Học sinh / Sinh viên",IF(G886&lt;60,"Đang đi làm","Nghỉ hưu")))))</f>
        <v/>
      </c>
      <c r="I886" s="6"/>
      <c r="J886" s="11" t="str">
        <f aca="false">IF(B886="","",IFERROR(INDEX('Hộ gia đình'!$B$2:$B$2000,MATCH(B886,'Hộ gia đình'!$A$2:$A$2000,0)),"Mã hộ không tồn tại"))</f>
        <v/>
      </c>
      <c r="K886" s="14"/>
      <c r="L886" s="14"/>
      <c r="M886" s="6"/>
      <c r="N886" s="6"/>
      <c r="O886" s="6"/>
      <c r="P886" s="6"/>
      <c r="Q886" s="6"/>
      <c r="R886" s="12"/>
    </row>
    <row r="887" customFormat="false" ht="15" hidden="false" customHeight="true" outlineLevel="0" collapsed="false">
      <c r="A887" s="6"/>
      <c r="B887" s="6"/>
      <c r="C887" s="6"/>
      <c r="D887" s="6"/>
      <c r="E887" s="13"/>
      <c r="F887" s="6"/>
      <c r="G887" s="11" t="str">
        <f aca="true">IF(F887="","",YEAR(TODAY())-F887)</f>
        <v/>
      </c>
      <c r="H887" s="11" t="str">
        <f aca="false">IF(C887="","",IF(G887="","Thiếu thông tin",IF(G887&lt;6,"Trẻ em",IF(G887&lt;23,"Học sinh / Sinh viên",IF(G887&lt;60,"Đang đi làm","Nghỉ hưu")))))</f>
        <v/>
      </c>
      <c r="I887" s="6"/>
      <c r="J887" s="11" t="str">
        <f aca="false">IF(B887="","",IFERROR(INDEX('Hộ gia đình'!$B$2:$B$2000,MATCH(B887,'Hộ gia đình'!$A$2:$A$2000,0)),"Mã hộ không tồn tại"))</f>
        <v/>
      </c>
      <c r="K887" s="14"/>
      <c r="L887" s="14"/>
      <c r="M887" s="6"/>
      <c r="N887" s="6"/>
      <c r="O887" s="6"/>
      <c r="P887" s="6"/>
      <c r="Q887" s="6"/>
      <c r="R887" s="12"/>
    </row>
    <row r="888" customFormat="false" ht="15" hidden="false" customHeight="true" outlineLevel="0" collapsed="false">
      <c r="A888" s="6"/>
      <c r="B888" s="6"/>
      <c r="C888" s="6"/>
      <c r="D888" s="6"/>
      <c r="E888" s="13"/>
      <c r="F888" s="6"/>
      <c r="G888" s="11" t="str">
        <f aca="true">IF(F888="","",YEAR(TODAY())-F888)</f>
        <v/>
      </c>
      <c r="H888" s="11" t="str">
        <f aca="false">IF(C888="","",IF(G888="","Thiếu thông tin",IF(G888&lt;6,"Trẻ em",IF(G888&lt;23,"Học sinh / Sinh viên",IF(G888&lt;60,"Đang đi làm","Nghỉ hưu")))))</f>
        <v/>
      </c>
      <c r="I888" s="6"/>
      <c r="J888" s="11" t="str">
        <f aca="false">IF(B888="","",IFERROR(INDEX('Hộ gia đình'!$B$2:$B$2000,MATCH(B888,'Hộ gia đình'!$A$2:$A$2000,0)),"Mã hộ không tồn tại"))</f>
        <v/>
      </c>
      <c r="K888" s="14"/>
      <c r="L888" s="14"/>
      <c r="M888" s="6"/>
      <c r="N888" s="6"/>
      <c r="O888" s="6"/>
      <c r="P888" s="6"/>
      <c r="Q888" s="6"/>
      <c r="R888" s="12"/>
    </row>
    <row r="889" customFormat="false" ht="15" hidden="false" customHeight="true" outlineLevel="0" collapsed="false">
      <c r="A889" s="6"/>
      <c r="B889" s="6"/>
      <c r="C889" s="6"/>
      <c r="D889" s="6"/>
      <c r="E889" s="13"/>
      <c r="F889" s="6"/>
      <c r="G889" s="11" t="str">
        <f aca="true">IF(F889="","",YEAR(TODAY())-F889)</f>
        <v/>
      </c>
      <c r="H889" s="11" t="str">
        <f aca="false">IF(C889="","",IF(G889="","Thiếu thông tin",IF(G889&lt;6,"Trẻ em",IF(G889&lt;23,"Học sinh / Sinh viên",IF(G889&lt;60,"Đang đi làm","Nghỉ hưu")))))</f>
        <v/>
      </c>
      <c r="I889" s="6"/>
      <c r="J889" s="11" t="str">
        <f aca="false">IF(B889="","",IFERROR(INDEX('Hộ gia đình'!$B$2:$B$2000,MATCH(B889,'Hộ gia đình'!$A$2:$A$2000,0)),"Mã hộ không tồn tại"))</f>
        <v/>
      </c>
      <c r="K889" s="14"/>
      <c r="L889" s="14"/>
      <c r="M889" s="6"/>
      <c r="N889" s="6"/>
      <c r="O889" s="6"/>
      <c r="P889" s="6"/>
      <c r="Q889" s="6"/>
      <c r="R889" s="12"/>
    </row>
    <row r="890" customFormat="false" ht="15" hidden="false" customHeight="true" outlineLevel="0" collapsed="false">
      <c r="A890" s="6"/>
      <c r="B890" s="6"/>
      <c r="C890" s="6"/>
      <c r="D890" s="6"/>
      <c r="E890" s="13"/>
      <c r="F890" s="6"/>
      <c r="G890" s="11" t="str">
        <f aca="true">IF(F890="","",YEAR(TODAY())-F890)</f>
        <v/>
      </c>
      <c r="H890" s="11" t="str">
        <f aca="false">IF(C890="","",IF(G890="","Thiếu thông tin",IF(G890&lt;6,"Trẻ em",IF(G890&lt;23,"Học sinh / Sinh viên",IF(G890&lt;60,"Đang đi làm","Nghỉ hưu")))))</f>
        <v/>
      </c>
      <c r="I890" s="6"/>
      <c r="J890" s="11" t="str">
        <f aca="false">IF(B890="","",IFERROR(INDEX('Hộ gia đình'!$B$2:$B$2000,MATCH(B890,'Hộ gia đình'!$A$2:$A$2000,0)),"Mã hộ không tồn tại"))</f>
        <v/>
      </c>
      <c r="K890" s="14"/>
      <c r="L890" s="14"/>
      <c r="M890" s="6"/>
      <c r="N890" s="6"/>
      <c r="O890" s="6"/>
      <c r="P890" s="6"/>
      <c r="Q890" s="6"/>
      <c r="R890" s="12"/>
    </row>
    <row r="891" customFormat="false" ht="15" hidden="false" customHeight="true" outlineLevel="0" collapsed="false">
      <c r="A891" s="6"/>
      <c r="B891" s="6"/>
      <c r="C891" s="6"/>
      <c r="D891" s="6"/>
      <c r="E891" s="13"/>
      <c r="F891" s="6"/>
      <c r="G891" s="11" t="str">
        <f aca="true">IF(F891="","",YEAR(TODAY())-F891)</f>
        <v/>
      </c>
      <c r="H891" s="11" t="str">
        <f aca="false">IF(C891="","",IF(G891="","Thiếu thông tin",IF(G891&lt;6,"Trẻ em",IF(G891&lt;23,"Học sinh / Sinh viên",IF(G891&lt;60,"Đang đi làm","Nghỉ hưu")))))</f>
        <v/>
      </c>
      <c r="I891" s="6"/>
      <c r="J891" s="11" t="str">
        <f aca="false">IF(B891="","",IFERROR(INDEX('Hộ gia đình'!$B$2:$B$2000,MATCH(B891,'Hộ gia đình'!$A$2:$A$2000,0)),"Mã hộ không tồn tại"))</f>
        <v/>
      </c>
      <c r="K891" s="14"/>
      <c r="L891" s="14"/>
      <c r="M891" s="6"/>
      <c r="N891" s="6"/>
      <c r="O891" s="6"/>
      <c r="P891" s="6"/>
      <c r="Q891" s="6"/>
      <c r="R891" s="12"/>
    </row>
    <row r="892" customFormat="false" ht="15" hidden="false" customHeight="true" outlineLevel="0" collapsed="false">
      <c r="A892" s="6"/>
      <c r="B892" s="6"/>
      <c r="C892" s="6"/>
      <c r="D892" s="6"/>
      <c r="E892" s="13"/>
      <c r="F892" s="6"/>
      <c r="G892" s="11" t="str">
        <f aca="true">IF(F892="","",YEAR(TODAY())-F892)</f>
        <v/>
      </c>
      <c r="H892" s="11" t="str">
        <f aca="false">IF(C892="","",IF(G892="","Thiếu thông tin",IF(G892&lt;6,"Trẻ em",IF(G892&lt;23,"Học sinh / Sinh viên",IF(G892&lt;60,"Đang đi làm","Nghỉ hưu")))))</f>
        <v/>
      </c>
      <c r="I892" s="6"/>
      <c r="J892" s="11" t="str">
        <f aca="false">IF(B892="","",IFERROR(INDEX('Hộ gia đình'!$B$2:$B$2000,MATCH(B892,'Hộ gia đình'!$A$2:$A$2000,0)),"Mã hộ không tồn tại"))</f>
        <v/>
      </c>
      <c r="K892" s="14"/>
      <c r="L892" s="14"/>
      <c r="M892" s="6"/>
      <c r="N892" s="6"/>
      <c r="O892" s="6"/>
      <c r="P892" s="6"/>
      <c r="Q892" s="6"/>
      <c r="R892" s="12"/>
    </row>
    <row r="893" customFormat="false" ht="15" hidden="false" customHeight="true" outlineLevel="0" collapsed="false">
      <c r="A893" s="6"/>
      <c r="B893" s="6"/>
      <c r="C893" s="6"/>
      <c r="D893" s="6"/>
      <c r="E893" s="13"/>
      <c r="F893" s="6"/>
      <c r="G893" s="11" t="str">
        <f aca="true">IF(F893="","",YEAR(TODAY())-F893)</f>
        <v/>
      </c>
      <c r="H893" s="11" t="str">
        <f aca="false">IF(C893="","",IF(G893="","Thiếu thông tin",IF(G893&lt;6,"Trẻ em",IF(G893&lt;23,"Học sinh / Sinh viên",IF(G893&lt;60,"Đang đi làm","Nghỉ hưu")))))</f>
        <v/>
      </c>
      <c r="I893" s="6"/>
      <c r="J893" s="11" t="str">
        <f aca="false">IF(B893="","",IFERROR(INDEX('Hộ gia đình'!$B$2:$B$2000,MATCH(B893,'Hộ gia đình'!$A$2:$A$2000,0)),"Mã hộ không tồn tại"))</f>
        <v/>
      </c>
      <c r="K893" s="14"/>
      <c r="L893" s="14"/>
      <c r="M893" s="6"/>
      <c r="N893" s="6"/>
      <c r="O893" s="6"/>
      <c r="P893" s="6"/>
      <c r="Q893" s="6"/>
      <c r="R893" s="12"/>
    </row>
    <row r="894" customFormat="false" ht="15" hidden="false" customHeight="true" outlineLevel="0" collapsed="false">
      <c r="A894" s="6"/>
      <c r="B894" s="6"/>
      <c r="C894" s="6"/>
      <c r="D894" s="6"/>
      <c r="E894" s="13"/>
      <c r="F894" s="6"/>
      <c r="G894" s="11" t="str">
        <f aca="true">IF(F894="","",YEAR(TODAY())-F894)</f>
        <v/>
      </c>
      <c r="H894" s="11" t="str">
        <f aca="false">IF(C894="","",IF(G894="","Thiếu thông tin",IF(G894&lt;6,"Trẻ em",IF(G894&lt;23,"Học sinh / Sinh viên",IF(G894&lt;60,"Đang đi làm","Nghỉ hưu")))))</f>
        <v/>
      </c>
      <c r="I894" s="6"/>
      <c r="J894" s="11" t="str">
        <f aca="false">IF(B894="","",IFERROR(INDEX('Hộ gia đình'!$B$2:$B$2000,MATCH(B894,'Hộ gia đình'!$A$2:$A$2000,0)),"Mã hộ không tồn tại"))</f>
        <v/>
      </c>
      <c r="K894" s="14"/>
      <c r="L894" s="14"/>
      <c r="M894" s="6"/>
      <c r="N894" s="6"/>
      <c r="O894" s="6"/>
      <c r="P894" s="6"/>
      <c r="Q894" s="6"/>
      <c r="R894" s="12"/>
    </row>
    <row r="895" customFormat="false" ht="15" hidden="false" customHeight="true" outlineLevel="0" collapsed="false">
      <c r="A895" s="6"/>
      <c r="B895" s="6"/>
      <c r="C895" s="6"/>
      <c r="D895" s="6"/>
      <c r="E895" s="13"/>
      <c r="F895" s="6"/>
      <c r="G895" s="11" t="str">
        <f aca="true">IF(F895="","",YEAR(TODAY())-F895)</f>
        <v/>
      </c>
      <c r="H895" s="11" t="str">
        <f aca="false">IF(C895="","",IF(G895="","Thiếu thông tin",IF(G895&lt;6,"Trẻ em",IF(G895&lt;23,"Học sinh / Sinh viên",IF(G895&lt;60,"Đang đi làm","Nghỉ hưu")))))</f>
        <v/>
      </c>
      <c r="I895" s="6"/>
      <c r="J895" s="11" t="str">
        <f aca="false">IF(B895="","",IFERROR(INDEX('Hộ gia đình'!$B$2:$B$2000,MATCH(B895,'Hộ gia đình'!$A$2:$A$2000,0)),"Mã hộ không tồn tại"))</f>
        <v/>
      </c>
      <c r="K895" s="14"/>
      <c r="L895" s="14"/>
      <c r="M895" s="6"/>
      <c r="N895" s="6"/>
      <c r="O895" s="6"/>
      <c r="P895" s="6"/>
      <c r="Q895" s="6"/>
      <c r="R895" s="12"/>
    </row>
    <row r="896" customFormat="false" ht="15" hidden="false" customHeight="true" outlineLevel="0" collapsed="false">
      <c r="A896" s="6"/>
      <c r="B896" s="6"/>
      <c r="C896" s="6"/>
      <c r="D896" s="6"/>
      <c r="E896" s="13"/>
      <c r="F896" s="6"/>
      <c r="G896" s="11" t="str">
        <f aca="true">IF(F896="","",YEAR(TODAY())-F896)</f>
        <v/>
      </c>
      <c r="H896" s="11" t="str">
        <f aca="false">IF(C896="","",IF(G896="","Thiếu thông tin",IF(G896&lt;6,"Trẻ em",IF(G896&lt;23,"Học sinh / Sinh viên",IF(G896&lt;60,"Đang đi làm","Nghỉ hưu")))))</f>
        <v/>
      </c>
      <c r="I896" s="6"/>
      <c r="J896" s="11" t="str">
        <f aca="false">IF(B896="","",IFERROR(INDEX('Hộ gia đình'!$B$2:$B$2000,MATCH(B896,'Hộ gia đình'!$A$2:$A$2000,0)),"Mã hộ không tồn tại"))</f>
        <v/>
      </c>
      <c r="K896" s="14"/>
      <c r="L896" s="14"/>
      <c r="M896" s="6"/>
      <c r="N896" s="6"/>
      <c r="O896" s="6"/>
      <c r="P896" s="6"/>
      <c r="Q896" s="6"/>
      <c r="R896" s="12"/>
    </row>
    <row r="897" customFormat="false" ht="15" hidden="false" customHeight="true" outlineLevel="0" collapsed="false">
      <c r="A897" s="6"/>
      <c r="B897" s="6"/>
      <c r="C897" s="6"/>
      <c r="D897" s="6"/>
      <c r="E897" s="13"/>
      <c r="F897" s="6"/>
      <c r="G897" s="11" t="str">
        <f aca="true">IF(F897="","",YEAR(TODAY())-F897)</f>
        <v/>
      </c>
      <c r="H897" s="11" t="str">
        <f aca="false">IF(C897="","",IF(G897="","Thiếu thông tin",IF(G897&lt;6,"Trẻ em",IF(G897&lt;23,"Học sinh / Sinh viên",IF(G897&lt;60,"Đang đi làm","Nghỉ hưu")))))</f>
        <v/>
      </c>
      <c r="I897" s="6"/>
      <c r="J897" s="11" t="str">
        <f aca="false">IF(B897="","",IFERROR(INDEX('Hộ gia đình'!$B$2:$B$2000,MATCH(B897,'Hộ gia đình'!$A$2:$A$2000,0)),"Mã hộ không tồn tại"))</f>
        <v/>
      </c>
      <c r="K897" s="14"/>
      <c r="L897" s="14"/>
      <c r="M897" s="6"/>
      <c r="N897" s="6"/>
      <c r="O897" s="6"/>
      <c r="P897" s="6"/>
      <c r="Q897" s="6"/>
      <c r="R897" s="12"/>
    </row>
    <row r="898" customFormat="false" ht="15" hidden="false" customHeight="true" outlineLevel="0" collapsed="false">
      <c r="A898" s="6"/>
      <c r="B898" s="6"/>
      <c r="C898" s="6"/>
      <c r="D898" s="6"/>
      <c r="E898" s="13"/>
      <c r="F898" s="6"/>
      <c r="G898" s="11" t="str">
        <f aca="true">IF(F898="","",YEAR(TODAY())-F898)</f>
        <v/>
      </c>
      <c r="H898" s="11" t="str">
        <f aca="false">IF(C898="","",IF(G898="","Thiếu thông tin",IF(G898&lt;6,"Trẻ em",IF(G898&lt;23,"Học sinh / Sinh viên",IF(G898&lt;60,"Đang đi làm","Nghỉ hưu")))))</f>
        <v/>
      </c>
      <c r="I898" s="6"/>
      <c r="J898" s="11" t="str">
        <f aca="false">IF(B898="","",IFERROR(INDEX('Hộ gia đình'!$B$2:$B$2000,MATCH(B898,'Hộ gia đình'!$A$2:$A$2000,0)),"Mã hộ không tồn tại"))</f>
        <v/>
      </c>
      <c r="K898" s="14"/>
      <c r="L898" s="14"/>
      <c r="M898" s="6"/>
      <c r="N898" s="6"/>
      <c r="O898" s="6"/>
      <c r="P898" s="6"/>
      <c r="Q898" s="6"/>
      <c r="R898" s="12"/>
    </row>
    <row r="899" customFormat="false" ht="15" hidden="false" customHeight="true" outlineLevel="0" collapsed="false">
      <c r="A899" s="6"/>
      <c r="B899" s="6"/>
      <c r="C899" s="6"/>
      <c r="D899" s="6"/>
      <c r="E899" s="13"/>
      <c r="F899" s="6"/>
      <c r="G899" s="11" t="str">
        <f aca="true">IF(F899="","",YEAR(TODAY())-F899)</f>
        <v/>
      </c>
      <c r="H899" s="11" t="str">
        <f aca="false">IF(C899="","",IF(G899="","Thiếu thông tin",IF(G899&lt;6,"Trẻ em",IF(G899&lt;23,"Học sinh / Sinh viên",IF(G899&lt;60,"Đang đi làm","Nghỉ hưu")))))</f>
        <v/>
      </c>
      <c r="I899" s="6"/>
      <c r="J899" s="11" t="str">
        <f aca="false">IF(B899="","",IFERROR(INDEX('Hộ gia đình'!$B$2:$B$2000,MATCH(B899,'Hộ gia đình'!$A$2:$A$2000,0)),"Mã hộ không tồn tại"))</f>
        <v/>
      </c>
      <c r="K899" s="14"/>
      <c r="L899" s="14"/>
      <c r="M899" s="6"/>
      <c r="N899" s="6"/>
      <c r="O899" s="6"/>
      <c r="P899" s="6"/>
      <c r="Q899" s="6"/>
      <c r="R899" s="12"/>
    </row>
    <row r="900" customFormat="false" ht="15" hidden="false" customHeight="true" outlineLevel="0" collapsed="false">
      <c r="A900" s="6"/>
      <c r="B900" s="6"/>
      <c r="C900" s="6"/>
      <c r="D900" s="6"/>
      <c r="E900" s="13"/>
      <c r="F900" s="6"/>
      <c r="G900" s="11" t="str">
        <f aca="true">IF(F900="","",YEAR(TODAY())-F900)</f>
        <v/>
      </c>
      <c r="H900" s="11" t="str">
        <f aca="false">IF(C900="","",IF(G900="","Thiếu thông tin",IF(G900&lt;6,"Trẻ em",IF(G900&lt;23,"Học sinh / Sinh viên",IF(G900&lt;60,"Đang đi làm","Nghỉ hưu")))))</f>
        <v/>
      </c>
      <c r="I900" s="6"/>
      <c r="J900" s="11" t="str">
        <f aca="false">IF(B900="","",IFERROR(INDEX('Hộ gia đình'!$B$2:$B$2000,MATCH(B900,'Hộ gia đình'!$A$2:$A$2000,0)),"Mã hộ không tồn tại"))</f>
        <v/>
      </c>
      <c r="K900" s="14"/>
      <c r="L900" s="14"/>
      <c r="M900" s="6"/>
      <c r="N900" s="6"/>
      <c r="O900" s="6"/>
      <c r="P900" s="6"/>
      <c r="Q900" s="6"/>
      <c r="R900" s="12"/>
    </row>
    <row r="901" customFormat="false" ht="15" hidden="false" customHeight="true" outlineLevel="0" collapsed="false">
      <c r="A901" s="6"/>
      <c r="B901" s="6"/>
      <c r="C901" s="6"/>
      <c r="D901" s="6"/>
      <c r="E901" s="13"/>
      <c r="F901" s="6"/>
      <c r="G901" s="11" t="str">
        <f aca="true">IF(F901="","",YEAR(TODAY())-F901)</f>
        <v/>
      </c>
      <c r="H901" s="11" t="str">
        <f aca="false">IF(C901="","",IF(G901="","Thiếu thông tin",IF(G901&lt;6,"Trẻ em",IF(G901&lt;23,"Học sinh / Sinh viên",IF(G901&lt;60,"Đang đi làm","Nghỉ hưu")))))</f>
        <v/>
      </c>
      <c r="I901" s="6"/>
      <c r="J901" s="11" t="str">
        <f aca="false">IF(B901="","",IFERROR(INDEX('Hộ gia đình'!$B$2:$B$2000,MATCH(B901,'Hộ gia đình'!$A$2:$A$2000,0)),"Mã hộ không tồn tại"))</f>
        <v/>
      </c>
      <c r="K901" s="14"/>
      <c r="L901" s="14"/>
      <c r="M901" s="6"/>
      <c r="N901" s="6"/>
      <c r="O901" s="6"/>
      <c r="P901" s="6"/>
      <c r="Q901" s="6"/>
      <c r="R901" s="12"/>
    </row>
    <row r="902" customFormat="false" ht="15" hidden="false" customHeight="true" outlineLevel="0" collapsed="false">
      <c r="A902" s="6"/>
      <c r="B902" s="6"/>
      <c r="C902" s="6"/>
      <c r="D902" s="6"/>
      <c r="E902" s="13"/>
      <c r="F902" s="6"/>
      <c r="G902" s="11" t="str">
        <f aca="true">IF(F902="","",YEAR(TODAY())-F902)</f>
        <v/>
      </c>
      <c r="H902" s="11" t="str">
        <f aca="false">IF(C902="","",IF(G902="","Thiếu thông tin",IF(G902&lt;6,"Trẻ em",IF(G902&lt;23,"Học sinh / Sinh viên",IF(G902&lt;60,"Đang đi làm","Nghỉ hưu")))))</f>
        <v/>
      </c>
      <c r="I902" s="6"/>
      <c r="J902" s="11" t="str">
        <f aca="false">IF(B902="","",IFERROR(INDEX('Hộ gia đình'!$B$2:$B$2000,MATCH(B902,'Hộ gia đình'!$A$2:$A$2000,0)),"Mã hộ không tồn tại"))</f>
        <v/>
      </c>
      <c r="K902" s="14"/>
      <c r="L902" s="14"/>
      <c r="M902" s="6"/>
      <c r="N902" s="6"/>
      <c r="O902" s="6"/>
      <c r="P902" s="6"/>
      <c r="Q902" s="6"/>
      <c r="R902" s="12"/>
    </row>
    <row r="903" customFormat="false" ht="15" hidden="false" customHeight="true" outlineLevel="0" collapsed="false">
      <c r="A903" s="6"/>
      <c r="B903" s="6"/>
      <c r="C903" s="6"/>
      <c r="D903" s="6"/>
      <c r="E903" s="13"/>
      <c r="F903" s="6"/>
      <c r="G903" s="11" t="str">
        <f aca="true">IF(F903="","",YEAR(TODAY())-F903)</f>
        <v/>
      </c>
      <c r="H903" s="11" t="str">
        <f aca="false">IF(C903="","",IF(G903="","Thiếu thông tin",IF(G903&lt;6,"Trẻ em",IF(G903&lt;23,"Học sinh / Sinh viên",IF(G903&lt;60,"Đang đi làm","Nghỉ hưu")))))</f>
        <v/>
      </c>
      <c r="I903" s="6"/>
      <c r="J903" s="11" t="str">
        <f aca="false">IF(B903="","",IFERROR(INDEX('Hộ gia đình'!$B$2:$B$2000,MATCH(B903,'Hộ gia đình'!$A$2:$A$2000,0)),"Mã hộ không tồn tại"))</f>
        <v/>
      </c>
      <c r="K903" s="14"/>
      <c r="L903" s="14"/>
      <c r="M903" s="6"/>
      <c r="N903" s="6"/>
      <c r="O903" s="6"/>
      <c r="P903" s="6"/>
      <c r="Q903" s="6"/>
      <c r="R903" s="12"/>
    </row>
    <row r="904" customFormat="false" ht="15" hidden="false" customHeight="true" outlineLevel="0" collapsed="false">
      <c r="A904" s="6"/>
      <c r="B904" s="6"/>
      <c r="C904" s="6"/>
      <c r="D904" s="6"/>
      <c r="E904" s="13"/>
      <c r="F904" s="6"/>
      <c r="G904" s="11" t="str">
        <f aca="true">IF(F904="","",YEAR(TODAY())-F904)</f>
        <v/>
      </c>
      <c r="H904" s="11" t="str">
        <f aca="false">IF(C904="","",IF(G904="","Thiếu thông tin",IF(G904&lt;6,"Trẻ em",IF(G904&lt;23,"Học sinh / Sinh viên",IF(G904&lt;60,"Đang đi làm","Nghỉ hưu")))))</f>
        <v/>
      </c>
      <c r="I904" s="6"/>
      <c r="J904" s="11" t="str">
        <f aca="false">IF(B904="","",IFERROR(INDEX('Hộ gia đình'!$B$2:$B$2000,MATCH(B904,'Hộ gia đình'!$A$2:$A$2000,0)),"Mã hộ không tồn tại"))</f>
        <v/>
      </c>
      <c r="K904" s="14"/>
      <c r="L904" s="14"/>
      <c r="M904" s="6"/>
      <c r="N904" s="6"/>
      <c r="O904" s="6"/>
      <c r="P904" s="6"/>
      <c r="Q904" s="6"/>
      <c r="R904" s="12"/>
    </row>
    <row r="905" customFormat="false" ht="15" hidden="false" customHeight="true" outlineLevel="0" collapsed="false">
      <c r="A905" s="6"/>
      <c r="B905" s="6"/>
      <c r="C905" s="6"/>
      <c r="D905" s="6"/>
      <c r="E905" s="13"/>
      <c r="F905" s="6"/>
      <c r="G905" s="11" t="str">
        <f aca="true">IF(F905="","",YEAR(TODAY())-F905)</f>
        <v/>
      </c>
      <c r="H905" s="11" t="str">
        <f aca="false">IF(C905="","",IF(G905="","Thiếu thông tin",IF(G905&lt;6,"Trẻ em",IF(G905&lt;23,"Học sinh / Sinh viên",IF(G905&lt;60,"Đang đi làm","Nghỉ hưu")))))</f>
        <v/>
      </c>
      <c r="I905" s="6"/>
      <c r="J905" s="11" t="str">
        <f aca="false">IF(B905="","",IFERROR(INDEX('Hộ gia đình'!$B$2:$B$2000,MATCH(B905,'Hộ gia đình'!$A$2:$A$2000,0)),"Mã hộ không tồn tại"))</f>
        <v/>
      </c>
      <c r="K905" s="14"/>
      <c r="L905" s="14"/>
      <c r="M905" s="6"/>
      <c r="N905" s="6"/>
      <c r="O905" s="6"/>
      <c r="P905" s="6"/>
      <c r="Q905" s="6"/>
      <c r="R905" s="12"/>
    </row>
    <row r="906" customFormat="false" ht="15" hidden="false" customHeight="true" outlineLevel="0" collapsed="false">
      <c r="A906" s="6"/>
      <c r="B906" s="6"/>
      <c r="C906" s="6"/>
      <c r="D906" s="6"/>
      <c r="E906" s="13"/>
      <c r="F906" s="6"/>
      <c r="G906" s="11" t="str">
        <f aca="true">IF(F906="","",YEAR(TODAY())-F906)</f>
        <v/>
      </c>
      <c r="H906" s="11" t="str">
        <f aca="false">IF(C906="","",IF(G906="","Thiếu thông tin",IF(G906&lt;6,"Trẻ em",IF(G906&lt;23,"Học sinh / Sinh viên",IF(G906&lt;60,"Đang đi làm","Nghỉ hưu")))))</f>
        <v/>
      </c>
      <c r="I906" s="6"/>
      <c r="J906" s="11" t="str">
        <f aca="false">IF(B906="","",IFERROR(INDEX('Hộ gia đình'!$B$2:$B$2000,MATCH(B906,'Hộ gia đình'!$A$2:$A$2000,0)),"Mã hộ không tồn tại"))</f>
        <v/>
      </c>
      <c r="K906" s="14"/>
      <c r="L906" s="14"/>
      <c r="M906" s="6"/>
      <c r="N906" s="6"/>
      <c r="O906" s="6"/>
      <c r="P906" s="6"/>
      <c r="Q906" s="6"/>
      <c r="R906" s="12"/>
    </row>
    <row r="907" customFormat="false" ht="15" hidden="false" customHeight="true" outlineLevel="0" collapsed="false">
      <c r="A907" s="6"/>
      <c r="B907" s="6"/>
      <c r="C907" s="6"/>
      <c r="D907" s="6"/>
      <c r="E907" s="13"/>
      <c r="F907" s="6"/>
      <c r="G907" s="11" t="str">
        <f aca="true">IF(F907="","",YEAR(TODAY())-F907)</f>
        <v/>
      </c>
      <c r="H907" s="11" t="str">
        <f aca="false">IF(C907="","",IF(G907="","Thiếu thông tin",IF(G907&lt;6,"Trẻ em",IF(G907&lt;23,"Học sinh / Sinh viên",IF(G907&lt;60,"Đang đi làm","Nghỉ hưu")))))</f>
        <v/>
      </c>
      <c r="I907" s="6"/>
      <c r="J907" s="11" t="str">
        <f aca="false">IF(B907="","",IFERROR(INDEX('Hộ gia đình'!$B$2:$B$2000,MATCH(B907,'Hộ gia đình'!$A$2:$A$2000,0)),"Mã hộ không tồn tại"))</f>
        <v/>
      </c>
      <c r="K907" s="14"/>
      <c r="L907" s="14"/>
      <c r="M907" s="6"/>
      <c r="N907" s="6"/>
      <c r="O907" s="6"/>
      <c r="P907" s="6"/>
      <c r="Q907" s="6"/>
      <c r="R907" s="12"/>
    </row>
    <row r="908" customFormat="false" ht="15" hidden="false" customHeight="true" outlineLevel="0" collapsed="false">
      <c r="A908" s="6"/>
      <c r="B908" s="6"/>
      <c r="C908" s="6"/>
      <c r="D908" s="6"/>
      <c r="E908" s="13"/>
      <c r="F908" s="6"/>
      <c r="G908" s="11" t="str">
        <f aca="true">IF(F908="","",YEAR(TODAY())-F908)</f>
        <v/>
      </c>
      <c r="H908" s="11" t="str">
        <f aca="false">IF(C908="","",IF(G908="","Thiếu thông tin",IF(G908&lt;6,"Trẻ em",IF(G908&lt;23,"Học sinh / Sinh viên",IF(G908&lt;60,"Đang đi làm","Nghỉ hưu")))))</f>
        <v/>
      </c>
      <c r="I908" s="6"/>
      <c r="J908" s="11" t="str">
        <f aca="false">IF(B908="","",IFERROR(INDEX('Hộ gia đình'!$B$2:$B$2000,MATCH(B908,'Hộ gia đình'!$A$2:$A$2000,0)),"Mã hộ không tồn tại"))</f>
        <v/>
      </c>
      <c r="K908" s="14"/>
      <c r="L908" s="14"/>
      <c r="M908" s="6"/>
      <c r="N908" s="6"/>
      <c r="O908" s="6"/>
      <c r="P908" s="6"/>
      <c r="Q908" s="6"/>
      <c r="R908" s="12"/>
    </row>
    <row r="909" customFormat="false" ht="15" hidden="false" customHeight="true" outlineLevel="0" collapsed="false">
      <c r="A909" s="6"/>
      <c r="B909" s="6"/>
      <c r="C909" s="6"/>
      <c r="D909" s="6"/>
      <c r="E909" s="13"/>
      <c r="F909" s="6"/>
      <c r="G909" s="11" t="str">
        <f aca="true">IF(F909="","",YEAR(TODAY())-F909)</f>
        <v/>
      </c>
      <c r="H909" s="11" t="str">
        <f aca="false">IF(C909="","",IF(G909="","Thiếu thông tin",IF(G909&lt;6,"Trẻ em",IF(G909&lt;23,"Học sinh / Sinh viên",IF(G909&lt;60,"Đang đi làm","Nghỉ hưu")))))</f>
        <v/>
      </c>
      <c r="I909" s="6"/>
      <c r="J909" s="11" t="str">
        <f aca="false">IF(B909="","",IFERROR(INDEX('Hộ gia đình'!$B$2:$B$2000,MATCH(B909,'Hộ gia đình'!$A$2:$A$2000,0)),"Mã hộ không tồn tại"))</f>
        <v/>
      </c>
      <c r="K909" s="14"/>
      <c r="L909" s="14"/>
      <c r="M909" s="6"/>
      <c r="N909" s="6"/>
      <c r="O909" s="6"/>
      <c r="P909" s="6"/>
      <c r="Q909" s="6"/>
      <c r="R909" s="12"/>
    </row>
    <row r="910" customFormat="false" ht="15" hidden="false" customHeight="true" outlineLevel="0" collapsed="false">
      <c r="A910" s="6"/>
      <c r="B910" s="6"/>
      <c r="C910" s="6"/>
      <c r="D910" s="6"/>
      <c r="E910" s="13"/>
      <c r="F910" s="6"/>
      <c r="G910" s="11" t="str">
        <f aca="true">IF(F910="","",YEAR(TODAY())-F910)</f>
        <v/>
      </c>
      <c r="H910" s="11" t="str">
        <f aca="false">IF(C910="","",IF(G910="","Thiếu thông tin",IF(G910&lt;6,"Trẻ em",IF(G910&lt;23,"Học sinh / Sinh viên",IF(G910&lt;60,"Đang đi làm","Nghỉ hưu")))))</f>
        <v/>
      </c>
      <c r="I910" s="6"/>
      <c r="J910" s="11" t="str">
        <f aca="false">IF(B910="","",IFERROR(INDEX('Hộ gia đình'!$B$2:$B$2000,MATCH(B910,'Hộ gia đình'!$A$2:$A$2000,0)),"Mã hộ không tồn tại"))</f>
        <v/>
      </c>
      <c r="K910" s="14"/>
      <c r="L910" s="14"/>
      <c r="M910" s="6"/>
      <c r="N910" s="6"/>
      <c r="O910" s="6"/>
      <c r="P910" s="6"/>
      <c r="Q910" s="6"/>
      <c r="R910" s="12"/>
    </row>
    <row r="911" customFormat="false" ht="15" hidden="false" customHeight="true" outlineLevel="0" collapsed="false">
      <c r="A911" s="6"/>
      <c r="B911" s="6"/>
      <c r="C911" s="6"/>
      <c r="D911" s="6"/>
      <c r="E911" s="13"/>
      <c r="F911" s="6"/>
      <c r="G911" s="11" t="str">
        <f aca="true">IF(F911="","",YEAR(TODAY())-F911)</f>
        <v/>
      </c>
      <c r="H911" s="11" t="str">
        <f aca="false">IF(C911="","",IF(G911="","Thiếu thông tin",IF(G911&lt;6,"Trẻ em",IF(G911&lt;23,"Học sinh / Sinh viên",IF(G911&lt;60,"Đang đi làm","Nghỉ hưu")))))</f>
        <v/>
      </c>
      <c r="I911" s="6"/>
      <c r="J911" s="11" t="str">
        <f aca="false">IF(B911="","",IFERROR(INDEX('Hộ gia đình'!$B$2:$B$2000,MATCH(B911,'Hộ gia đình'!$A$2:$A$2000,0)),"Mã hộ không tồn tại"))</f>
        <v/>
      </c>
      <c r="K911" s="14"/>
      <c r="L911" s="14"/>
      <c r="M911" s="6"/>
      <c r="N911" s="6"/>
      <c r="O911" s="6"/>
      <c r="P911" s="6"/>
      <c r="Q911" s="6"/>
      <c r="R911" s="12"/>
    </row>
    <row r="912" customFormat="false" ht="15" hidden="false" customHeight="true" outlineLevel="0" collapsed="false">
      <c r="A912" s="6"/>
      <c r="B912" s="6"/>
      <c r="C912" s="6"/>
      <c r="D912" s="6"/>
      <c r="E912" s="13"/>
      <c r="F912" s="6"/>
      <c r="G912" s="11" t="str">
        <f aca="true">IF(F912="","",YEAR(TODAY())-F912)</f>
        <v/>
      </c>
      <c r="H912" s="11" t="str">
        <f aca="false">IF(C912="","",IF(G912="","Thiếu thông tin",IF(G912&lt;6,"Trẻ em",IF(G912&lt;23,"Học sinh / Sinh viên",IF(G912&lt;60,"Đang đi làm","Nghỉ hưu")))))</f>
        <v/>
      </c>
      <c r="I912" s="6"/>
      <c r="J912" s="11" t="str">
        <f aca="false">IF(B912="","",IFERROR(INDEX('Hộ gia đình'!$B$2:$B$2000,MATCH(B912,'Hộ gia đình'!$A$2:$A$2000,0)),"Mã hộ không tồn tại"))</f>
        <v/>
      </c>
      <c r="K912" s="14"/>
      <c r="L912" s="14"/>
      <c r="M912" s="6"/>
      <c r="N912" s="6"/>
      <c r="O912" s="6"/>
      <c r="P912" s="6"/>
      <c r="Q912" s="6"/>
      <c r="R912" s="12"/>
    </row>
    <row r="913" customFormat="false" ht="15" hidden="false" customHeight="true" outlineLevel="0" collapsed="false">
      <c r="A913" s="6"/>
      <c r="B913" s="6"/>
      <c r="C913" s="6"/>
      <c r="D913" s="6"/>
      <c r="E913" s="13"/>
      <c r="F913" s="6"/>
      <c r="G913" s="11" t="str">
        <f aca="true">IF(F913="","",YEAR(TODAY())-F913)</f>
        <v/>
      </c>
      <c r="H913" s="11" t="str">
        <f aca="false">IF(C913="","",IF(G913="","Thiếu thông tin",IF(G913&lt;6,"Trẻ em",IF(G913&lt;23,"Học sinh / Sinh viên",IF(G913&lt;60,"Đang đi làm","Nghỉ hưu")))))</f>
        <v/>
      </c>
      <c r="I913" s="6"/>
      <c r="J913" s="11" t="str">
        <f aca="false">IF(B913="","",IFERROR(INDEX('Hộ gia đình'!$B$2:$B$2000,MATCH(B913,'Hộ gia đình'!$A$2:$A$2000,0)),"Mã hộ không tồn tại"))</f>
        <v/>
      </c>
      <c r="K913" s="14"/>
      <c r="L913" s="14"/>
      <c r="M913" s="6"/>
      <c r="N913" s="6"/>
      <c r="O913" s="6"/>
      <c r="P913" s="6"/>
      <c r="Q913" s="6"/>
      <c r="R913" s="12"/>
    </row>
    <row r="914" customFormat="false" ht="15" hidden="false" customHeight="true" outlineLevel="0" collapsed="false">
      <c r="A914" s="6"/>
      <c r="B914" s="6"/>
      <c r="C914" s="6"/>
      <c r="D914" s="6"/>
      <c r="E914" s="13"/>
      <c r="F914" s="6"/>
      <c r="G914" s="11" t="str">
        <f aca="true">IF(F914="","",YEAR(TODAY())-F914)</f>
        <v/>
      </c>
      <c r="H914" s="11" t="str">
        <f aca="false">IF(C914="","",IF(G914="","Thiếu thông tin",IF(G914&lt;6,"Trẻ em",IF(G914&lt;23,"Học sinh / Sinh viên",IF(G914&lt;60,"Đang đi làm","Nghỉ hưu")))))</f>
        <v/>
      </c>
      <c r="I914" s="6"/>
      <c r="J914" s="11" t="str">
        <f aca="false">IF(B914="","",IFERROR(INDEX('Hộ gia đình'!$B$2:$B$2000,MATCH(B914,'Hộ gia đình'!$A$2:$A$2000,0)),"Mã hộ không tồn tại"))</f>
        <v/>
      </c>
      <c r="K914" s="14"/>
      <c r="L914" s="14"/>
      <c r="M914" s="6"/>
      <c r="N914" s="6"/>
      <c r="O914" s="6"/>
      <c r="P914" s="6"/>
      <c r="Q914" s="6"/>
      <c r="R914" s="12"/>
    </row>
    <row r="915" customFormat="false" ht="15" hidden="false" customHeight="true" outlineLevel="0" collapsed="false">
      <c r="A915" s="6"/>
      <c r="B915" s="6"/>
      <c r="C915" s="6"/>
      <c r="D915" s="6"/>
      <c r="E915" s="13"/>
      <c r="F915" s="6"/>
      <c r="G915" s="11" t="str">
        <f aca="true">IF(F915="","",YEAR(TODAY())-F915)</f>
        <v/>
      </c>
      <c r="H915" s="11" t="str">
        <f aca="false">IF(C915="","",IF(G915="","Thiếu thông tin",IF(G915&lt;6,"Trẻ em",IF(G915&lt;23,"Học sinh / Sinh viên",IF(G915&lt;60,"Đang đi làm","Nghỉ hưu")))))</f>
        <v/>
      </c>
      <c r="I915" s="6"/>
      <c r="J915" s="11" t="str">
        <f aca="false">IF(B915="","",IFERROR(INDEX('Hộ gia đình'!$B$2:$B$2000,MATCH(B915,'Hộ gia đình'!$A$2:$A$2000,0)),"Mã hộ không tồn tại"))</f>
        <v/>
      </c>
      <c r="K915" s="14"/>
      <c r="L915" s="14"/>
      <c r="M915" s="6"/>
      <c r="N915" s="6"/>
      <c r="O915" s="6"/>
      <c r="P915" s="6"/>
      <c r="Q915" s="6"/>
      <c r="R915" s="12"/>
    </row>
    <row r="916" customFormat="false" ht="15" hidden="false" customHeight="true" outlineLevel="0" collapsed="false">
      <c r="A916" s="6"/>
      <c r="B916" s="6"/>
      <c r="C916" s="6"/>
      <c r="D916" s="6"/>
      <c r="E916" s="13"/>
      <c r="F916" s="6"/>
      <c r="G916" s="11" t="str">
        <f aca="true">IF(F916="","",YEAR(TODAY())-F916)</f>
        <v/>
      </c>
      <c r="H916" s="11" t="str">
        <f aca="false">IF(C916="","",IF(G916="","Thiếu thông tin",IF(G916&lt;6,"Trẻ em",IF(G916&lt;23,"Học sinh / Sinh viên",IF(G916&lt;60,"Đang đi làm","Nghỉ hưu")))))</f>
        <v/>
      </c>
      <c r="I916" s="6"/>
      <c r="J916" s="11" t="str">
        <f aca="false">IF(B916="","",IFERROR(INDEX('Hộ gia đình'!$B$2:$B$2000,MATCH(B916,'Hộ gia đình'!$A$2:$A$2000,0)),"Mã hộ không tồn tại"))</f>
        <v/>
      </c>
      <c r="K916" s="14"/>
      <c r="L916" s="14"/>
      <c r="M916" s="6"/>
      <c r="N916" s="6"/>
      <c r="O916" s="6"/>
      <c r="P916" s="6"/>
      <c r="Q916" s="6"/>
      <c r="R916" s="12"/>
    </row>
    <row r="917" customFormat="false" ht="15" hidden="false" customHeight="true" outlineLevel="0" collapsed="false">
      <c r="A917" s="6"/>
      <c r="B917" s="6"/>
      <c r="C917" s="6"/>
      <c r="D917" s="6"/>
      <c r="E917" s="13"/>
      <c r="F917" s="6"/>
      <c r="G917" s="11" t="str">
        <f aca="true">IF(F917="","",YEAR(TODAY())-F917)</f>
        <v/>
      </c>
      <c r="H917" s="11" t="str">
        <f aca="false">IF(C917="","",IF(G917="","Thiếu thông tin",IF(G917&lt;6,"Trẻ em",IF(G917&lt;23,"Học sinh / Sinh viên",IF(G917&lt;60,"Đang đi làm","Nghỉ hưu")))))</f>
        <v/>
      </c>
      <c r="I917" s="6"/>
      <c r="J917" s="11" t="str">
        <f aca="false">IF(B917="","",IFERROR(INDEX('Hộ gia đình'!$B$2:$B$2000,MATCH(B917,'Hộ gia đình'!$A$2:$A$2000,0)),"Mã hộ không tồn tại"))</f>
        <v/>
      </c>
      <c r="K917" s="14"/>
      <c r="L917" s="14"/>
      <c r="M917" s="6"/>
      <c r="N917" s="6"/>
      <c r="O917" s="6"/>
      <c r="P917" s="6"/>
      <c r="Q917" s="6"/>
      <c r="R917" s="12"/>
    </row>
    <row r="918" customFormat="false" ht="15" hidden="false" customHeight="true" outlineLevel="0" collapsed="false">
      <c r="A918" s="6"/>
      <c r="B918" s="6"/>
      <c r="C918" s="6"/>
      <c r="D918" s="6"/>
      <c r="E918" s="13"/>
      <c r="F918" s="6"/>
      <c r="G918" s="11" t="str">
        <f aca="true">IF(F918="","",YEAR(TODAY())-F918)</f>
        <v/>
      </c>
      <c r="H918" s="11" t="str">
        <f aca="false">IF(C918="","",IF(G918="","Thiếu thông tin",IF(G918&lt;6,"Trẻ em",IF(G918&lt;23,"Học sinh / Sinh viên",IF(G918&lt;60,"Đang đi làm","Nghỉ hưu")))))</f>
        <v/>
      </c>
      <c r="I918" s="6"/>
      <c r="J918" s="11" t="str">
        <f aca="false">IF(B918="","",IFERROR(INDEX('Hộ gia đình'!$B$2:$B$2000,MATCH(B918,'Hộ gia đình'!$A$2:$A$2000,0)),"Mã hộ không tồn tại"))</f>
        <v/>
      </c>
      <c r="K918" s="14"/>
      <c r="L918" s="14"/>
      <c r="M918" s="6"/>
      <c r="N918" s="6"/>
      <c r="O918" s="6"/>
      <c r="P918" s="6"/>
      <c r="Q918" s="6"/>
      <c r="R918" s="12"/>
    </row>
    <row r="919" customFormat="false" ht="15" hidden="false" customHeight="true" outlineLevel="0" collapsed="false">
      <c r="A919" s="6"/>
      <c r="B919" s="6"/>
      <c r="C919" s="6"/>
      <c r="D919" s="6"/>
      <c r="E919" s="13"/>
      <c r="F919" s="6"/>
      <c r="G919" s="11" t="str">
        <f aca="true">IF(F919="","",YEAR(TODAY())-F919)</f>
        <v/>
      </c>
      <c r="H919" s="11" t="str">
        <f aca="false">IF(C919="","",IF(G919="","Thiếu thông tin",IF(G919&lt;6,"Trẻ em",IF(G919&lt;23,"Học sinh / Sinh viên",IF(G919&lt;60,"Đang đi làm","Nghỉ hưu")))))</f>
        <v/>
      </c>
      <c r="I919" s="6"/>
      <c r="J919" s="11" t="str">
        <f aca="false">IF(B919="","",IFERROR(INDEX('Hộ gia đình'!$B$2:$B$2000,MATCH(B919,'Hộ gia đình'!$A$2:$A$2000,0)),"Mã hộ không tồn tại"))</f>
        <v/>
      </c>
      <c r="K919" s="14"/>
      <c r="L919" s="14"/>
      <c r="M919" s="6"/>
      <c r="N919" s="6"/>
      <c r="O919" s="6"/>
      <c r="P919" s="6"/>
      <c r="Q919" s="6"/>
      <c r="R919" s="12"/>
    </row>
    <row r="920" customFormat="false" ht="15" hidden="false" customHeight="true" outlineLevel="0" collapsed="false">
      <c r="A920" s="6"/>
      <c r="B920" s="6"/>
      <c r="C920" s="6"/>
      <c r="D920" s="6"/>
      <c r="E920" s="13"/>
      <c r="F920" s="6"/>
      <c r="G920" s="11" t="str">
        <f aca="true">IF(F920="","",YEAR(TODAY())-F920)</f>
        <v/>
      </c>
      <c r="H920" s="11" t="str">
        <f aca="false">IF(C920="","",IF(G920="","Thiếu thông tin",IF(G920&lt;6,"Trẻ em",IF(G920&lt;23,"Học sinh / Sinh viên",IF(G920&lt;60,"Đang đi làm","Nghỉ hưu")))))</f>
        <v/>
      </c>
      <c r="I920" s="6"/>
      <c r="J920" s="11" t="str">
        <f aca="false">IF(B920="","",IFERROR(INDEX('Hộ gia đình'!$B$2:$B$2000,MATCH(B920,'Hộ gia đình'!$A$2:$A$2000,0)),"Mã hộ không tồn tại"))</f>
        <v/>
      </c>
      <c r="K920" s="14"/>
      <c r="L920" s="14"/>
      <c r="M920" s="6"/>
      <c r="N920" s="6"/>
      <c r="O920" s="6"/>
      <c r="P920" s="6"/>
      <c r="Q920" s="6"/>
      <c r="R920" s="12"/>
    </row>
    <row r="921" customFormat="false" ht="15" hidden="false" customHeight="true" outlineLevel="0" collapsed="false">
      <c r="A921" s="6"/>
      <c r="B921" s="6"/>
      <c r="C921" s="6"/>
      <c r="D921" s="6"/>
      <c r="E921" s="13"/>
      <c r="F921" s="6"/>
      <c r="G921" s="11" t="str">
        <f aca="true">IF(F921="","",YEAR(TODAY())-F921)</f>
        <v/>
      </c>
      <c r="H921" s="11" t="str">
        <f aca="false">IF(C921="","",IF(G921="","Thiếu thông tin",IF(G921&lt;6,"Trẻ em",IF(G921&lt;23,"Học sinh / Sinh viên",IF(G921&lt;60,"Đang đi làm","Nghỉ hưu")))))</f>
        <v/>
      </c>
      <c r="I921" s="6"/>
      <c r="J921" s="11" t="str">
        <f aca="false">IF(B921="","",IFERROR(INDEX('Hộ gia đình'!$B$2:$B$2000,MATCH(B921,'Hộ gia đình'!$A$2:$A$2000,0)),"Mã hộ không tồn tại"))</f>
        <v/>
      </c>
      <c r="K921" s="14"/>
      <c r="L921" s="14"/>
      <c r="M921" s="6"/>
      <c r="N921" s="6"/>
      <c r="O921" s="6"/>
      <c r="P921" s="6"/>
      <c r="Q921" s="6"/>
      <c r="R921" s="12"/>
    </row>
    <row r="922" customFormat="false" ht="15" hidden="false" customHeight="true" outlineLevel="0" collapsed="false">
      <c r="A922" s="6"/>
      <c r="B922" s="6"/>
      <c r="C922" s="6"/>
      <c r="D922" s="6"/>
      <c r="E922" s="13"/>
      <c r="F922" s="6"/>
      <c r="G922" s="11" t="str">
        <f aca="true">IF(F922="","",YEAR(TODAY())-F922)</f>
        <v/>
      </c>
      <c r="H922" s="11" t="str">
        <f aca="false">IF(C922="","",IF(G922="","Thiếu thông tin",IF(G922&lt;6,"Trẻ em",IF(G922&lt;23,"Học sinh / Sinh viên",IF(G922&lt;60,"Đang đi làm","Nghỉ hưu")))))</f>
        <v/>
      </c>
      <c r="I922" s="6"/>
      <c r="J922" s="11" t="str">
        <f aca="false">IF(B922="","",IFERROR(INDEX('Hộ gia đình'!$B$2:$B$2000,MATCH(B922,'Hộ gia đình'!$A$2:$A$2000,0)),"Mã hộ không tồn tại"))</f>
        <v/>
      </c>
      <c r="K922" s="14"/>
      <c r="L922" s="14"/>
      <c r="M922" s="6"/>
      <c r="N922" s="6"/>
      <c r="O922" s="6"/>
      <c r="P922" s="6"/>
      <c r="Q922" s="6"/>
      <c r="R922" s="12"/>
    </row>
    <row r="923" customFormat="false" ht="15" hidden="false" customHeight="true" outlineLevel="0" collapsed="false">
      <c r="A923" s="6"/>
      <c r="B923" s="6"/>
      <c r="C923" s="6"/>
      <c r="D923" s="6"/>
      <c r="E923" s="13"/>
      <c r="F923" s="6"/>
      <c r="G923" s="11" t="str">
        <f aca="true">IF(F923="","",YEAR(TODAY())-F923)</f>
        <v/>
      </c>
      <c r="H923" s="11" t="str">
        <f aca="false">IF(C923="","",IF(G923="","Thiếu thông tin",IF(G923&lt;6,"Trẻ em",IF(G923&lt;23,"Học sinh / Sinh viên",IF(G923&lt;60,"Đang đi làm","Nghỉ hưu")))))</f>
        <v/>
      </c>
      <c r="I923" s="6"/>
      <c r="J923" s="11" t="str">
        <f aca="false">IF(B923="","",IFERROR(INDEX('Hộ gia đình'!$B$2:$B$2000,MATCH(B923,'Hộ gia đình'!$A$2:$A$2000,0)),"Mã hộ không tồn tại"))</f>
        <v/>
      </c>
      <c r="K923" s="14"/>
      <c r="L923" s="14"/>
      <c r="M923" s="6"/>
      <c r="N923" s="6"/>
      <c r="O923" s="6"/>
      <c r="P923" s="6"/>
      <c r="Q923" s="6"/>
      <c r="R923" s="12"/>
    </row>
    <row r="924" customFormat="false" ht="15" hidden="false" customHeight="true" outlineLevel="0" collapsed="false">
      <c r="A924" s="6"/>
      <c r="B924" s="6"/>
      <c r="C924" s="6"/>
      <c r="D924" s="6"/>
      <c r="E924" s="13"/>
      <c r="F924" s="6"/>
      <c r="G924" s="11" t="str">
        <f aca="true">IF(F924="","",YEAR(TODAY())-F924)</f>
        <v/>
      </c>
      <c r="H924" s="11" t="str">
        <f aca="false">IF(C924="","",IF(G924="","Thiếu thông tin",IF(G924&lt;6,"Trẻ em",IF(G924&lt;23,"Học sinh / Sinh viên",IF(G924&lt;60,"Đang đi làm","Nghỉ hưu")))))</f>
        <v/>
      </c>
      <c r="I924" s="6"/>
      <c r="J924" s="11" t="str">
        <f aca="false">IF(B924="","",IFERROR(INDEX('Hộ gia đình'!$B$2:$B$2000,MATCH(B924,'Hộ gia đình'!$A$2:$A$2000,0)),"Mã hộ không tồn tại"))</f>
        <v/>
      </c>
      <c r="K924" s="14"/>
      <c r="L924" s="14"/>
      <c r="M924" s="6"/>
      <c r="N924" s="6"/>
      <c r="O924" s="6"/>
      <c r="P924" s="6"/>
      <c r="Q924" s="6"/>
      <c r="R924" s="12"/>
    </row>
    <row r="925" customFormat="false" ht="15" hidden="false" customHeight="true" outlineLevel="0" collapsed="false">
      <c r="A925" s="6"/>
      <c r="B925" s="6"/>
      <c r="C925" s="6"/>
      <c r="D925" s="6"/>
      <c r="E925" s="13"/>
      <c r="F925" s="6"/>
      <c r="G925" s="11" t="str">
        <f aca="true">IF(F925="","",YEAR(TODAY())-F925)</f>
        <v/>
      </c>
      <c r="H925" s="11" t="str">
        <f aca="false">IF(C925="","",IF(G925="","Thiếu thông tin",IF(G925&lt;6,"Trẻ em",IF(G925&lt;23,"Học sinh / Sinh viên",IF(G925&lt;60,"Đang đi làm","Nghỉ hưu")))))</f>
        <v/>
      </c>
      <c r="I925" s="6"/>
      <c r="J925" s="11" t="str">
        <f aca="false">IF(B925="","",IFERROR(INDEX('Hộ gia đình'!$B$2:$B$2000,MATCH(B925,'Hộ gia đình'!$A$2:$A$2000,0)),"Mã hộ không tồn tại"))</f>
        <v/>
      </c>
      <c r="K925" s="14"/>
      <c r="L925" s="14"/>
      <c r="M925" s="6"/>
      <c r="N925" s="6"/>
      <c r="O925" s="6"/>
      <c r="P925" s="6"/>
      <c r="Q925" s="6"/>
      <c r="R925" s="12"/>
    </row>
    <row r="926" customFormat="false" ht="15" hidden="false" customHeight="true" outlineLevel="0" collapsed="false">
      <c r="A926" s="6"/>
      <c r="B926" s="6"/>
      <c r="C926" s="6"/>
      <c r="D926" s="6"/>
      <c r="E926" s="13"/>
      <c r="F926" s="6"/>
      <c r="G926" s="11" t="str">
        <f aca="true">IF(F926="","",YEAR(TODAY())-F926)</f>
        <v/>
      </c>
      <c r="H926" s="11" t="str">
        <f aca="false">IF(C926="","",IF(G926="","Thiếu thông tin",IF(G926&lt;6,"Trẻ em",IF(G926&lt;23,"Học sinh / Sinh viên",IF(G926&lt;60,"Đang đi làm","Nghỉ hưu")))))</f>
        <v/>
      </c>
      <c r="I926" s="6"/>
      <c r="J926" s="11" t="str">
        <f aca="false">IF(B926="","",IFERROR(INDEX('Hộ gia đình'!$B$2:$B$2000,MATCH(B926,'Hộ gia đình'!$A$2:$A$2000,0)),"Mã hộ không tồn tại"))</f>
        <v/>
      </c>
      <c r="K926" s="14"/>
      <c r="L926" s="14"/>
      <c r="M926" s="6"/>
      <c r="N926" s="6"/>
      <c r="O926" s="6"/>
      <c r="P926" s="6"/>
      <c r="Q926" s="6"/>
      <c r="R926" s="12"/>
    </row>
    <row r="927" customFormat="false" ht="15" hidden="false" customHeight="true" outlineLevel="0" collapsed="false">
      <c r="A927" s="6"/>
      <c r="B927" s="6"/>
      <c r="C927" s="6"/>
      <c r="D927" s="6"/>
      <c r="E927" s="13"/>
      <c r="F927" s="6"/>
      <c r="G927" s="11" t="str">
        <f aca="true">IF(F927="","",YEAR(TODAY())-F927)</f>
        <v/>
      </c>
      <c r="H927" s="11" t="str">
        <f aca="false">IF(C927="","",IF(G927="","Thiếu thông tin",IF(G927&lt;6,"Trẻ em",IF(G927&lt;23,"Học sinh / Sinh viên",IF(G927&lt;60,"Đang đi làm","Nghỉ hưu")))))</f>
        <v/>
      </c>
      <c r="I927" s="6"/>
      <c r="J927" s="11" t="str">
        <f aca="false">IF(B927="","",IFERROR(INDEX('Hộ gia đình'!$B$2:$B$2000,MATCH(B927,'Hộ gia đình'!$A$2:$A$2000,0)),"Mã hộ không tồn tại"))</f>
        <v/>
      </c>
      <c r="K927" s="14"/>
      <c r="L927" s="14"/>
      <c r="M927" s="6"/>
      <c r="N927" s="6"/>
      <c r="O927" s="6"/>
      <c r="P927" s="6"/>
      <c r="Q927" s="6"/>
      <c r="R927" s="12"/>
    </row>
    <row r="928" customFormat="false" ht="15" hidden="false" customHeight="true" outlineLevel="0" collapsed="false">
      <c r="A928" s="6"/>
      <c r="B928" s="6"/>
      <c r="C928" s="6"/>
      <c r="D928" s="6"/>
      <c r="E928" s="13"/>
      <c r="F928" s="6"/>
      <c r="G928" s="11" t="str">
        <f aca="true">IF(F928="","",YEAR(TODAY())-F928)</f>
        <v/>
      </c>
      <c r="H928" s="11" t="str">
        <f aca="false">IF(C928="","",IF(G928="","Thiếu thông tin",IF(G928&lt;6,"Trẻ em",IF(G928&lt;23,"Học sinh / Sinh viên",IF(G928&lt;60,"Đang đi làm","Nghỉ hưu")))))</f>
        <v/>
      </c>
      <c r="I928" s="6"/>
      <c r="J928" s="11" t="str">
        <f aca="false">IF(B928="","",IFERROR(INDEX('Hộ gia đình'!$B$2:$B$2000,MATCH(B928,'Hộ gia đình'!$A$2:$A$2000,0)),"Mã hộ không tồn tại"))</f>
        <v/>
      </c>
      <c r="K928" s="14"/>
      <c r="L928" s="14"/>
      <c r="M928" s="6"/>
      <c r="N928" s="6"/>
      <c r="O928" s="6"/>
      <c r="P928" s="6"/>
      <c r="Q928" s="6"/>
      <c r="R928" s="12"/>
    </row>
    <row r="929" customFormat="false" ht="15" hidden="false" customHeight="true" outlineLevel="0" collapsed="false">
      <c r="A929" s="6"/>
      <c r="B929" s="6"/>
      <c r="C929" s="6"/>
      <c r="D929" s="6"/>
      <c r="E929" s="13"/>
      <c r="F929" s="6"/>
      <c r="G929" s="11" t="str">
        <f aca="true">IF(F929="","",YEAR(TODAY())-F929)</f>
        <v/>
      </c>
      <c r="H929" s="11" t="str">
        <f aca="false">IF(C929="","",IF(G929="","Thiếu thông tin",IF(G929&lt;6,"Trẻ em",IF(G929&lt;23,"Học sinh / Sinh viên",IF(G929&lt;60,"Đang đi làm","Nghỉ hưu")))))</f>
        <v/>
      </c>
      <c r="I929" s="6"/>
      <c r="J929" s="11" t="str">
        <f aca="false">IF(B929="","",IFERROR(INDEX('Hộ gia đình'!$B$2:$B$2000,MATCH(B929,'Hộ gia đình'!$A$2:$A$2000,0)),"Mã hộ không tồn tại"))</f>
        <v/>
      </c>
      <c r="K929" s="14"/>
      <c r="L929" s="14"/>
      <c r="M929" s="6"/>
      <c r="N929" s="6"/>
      <c r="O929" s="6"/>
      <c r="P929" s="6"/>
      <c r="Q929" s="6"/>
      <c r="R929" s="12"/>
    </row>
    <row r="930" customFormat="false" ht="15" hidden="false" customHeight="true" outlineLevel="0" collapsed="false">
      <c r="A930" s="6"/>
      <c r="B930" s="6"/>
      <c r="C930" s="6"/>
      <c r="D930" s="6"/>
      <c r="E930" s="13"/>
      <c r="F930" s="6"/>
      <c r="G930" s="11" t="str">
        <f aca="true">IF(F930="","",YEAR(TODAY())-F930)</f>
        <v/>
      </c>
      <c r="H930" s="11" t="str">
        <f aca="false">IF(C930="","",IF(G930="","Thiếu thông tin",IF(G930&lt;6,"Trẻ em",IF(G930&lt;23,"Học sinh / Sinh viên",IF(G930&lt;60,"Đang đi làm","Nghỉ hưu")))))</f>
        <v/>
      </c>
      <c r="I930" s="6"/>
      <c r="J930" s="11" t="str">
        <f aca="false">IF(B930="","",IFERROR(INDEX('Hộ gia đình'!$B$2:$B$2000,MATCH(B930,'Hộ gia đình'!$A$2:$A$2000,0)),"Mã hộ không tồn tại"))</f>
        <v/>
      </c>
      <c r="K930" s="14"/>
      <c r="L930" s="14"/>
      <c r="M930" s="6"/>
      <c r="N930" s="6"/>
      <c r="O930" s="6"/>
      <c r="P930" s="6"/>
      <c r="Q930" s="6"/>
      <c r="R930" s="12"/>
    </row>
    <row r="931" customFormat="false" ht="15" hidden="false" customHeight="true" outlineLevel="0" collapsed="false">
      <c r="A931" s="6"/>
      <c r="B931" s="6"/>
      <c r="C931" s="6"/>
      <c r="D931" s="6"/>
      <c r="E931" s="13"/>
      <c r="F931" s="6"/>
      <c r="G931" s="11" t="str">
        <f aca="true">IF(F931="","",YEAR(TODAY())-F931)</f>
        <v/>
      </c>
      <c r="H931" s="11" t="str">
        <f aca="false">IF(C931="","",IF(G931="","Thiếu thông tin",IF(G931&lt;6,"Trẻ em",IF(G931&lt;23,"Học sinh / Sinh viên",IF(G931&lt;60,"Đang đi làm","Nghỉ hưu")))))</f>
        <v/>
      </c>
      <c r="I931" s="6"/>
      <c r="J931" s="11" t="str">
        <f aca="false">IF(B931="","",IFERROR(INDEX('Hộ gia đình'!$B$2:$B$2000,MATCH(B931,'Hộ gia đình'!$A$2:$A$2000,0)),"Mã hộ không tồn tại"))</f>
        <v/>
      </c>
      <c r="K931" s="14"/>
      <c r="L931" s="14"/>
      <c r="M931" s="6"/>
      <c r="N931" s="6"/>
      <c r="O931" s="6"/>
      <c r="P931" s="6"/>
      <c r="Q931" s="6"/>
      <c r="R931" s="12"/>
    </row>
    <row r="932" customFormat="false" ht="15" hidden="false" customHeight="true" outlineLevel="0" collapsed="false">
      <c r="A932" s="6"/>
      <c r="B932" s="6"/>
      <c r="C932" s="6"/>
      <c r="D932" s="6"/>
      <c r="E932" s="13"/>
      <c r="F932" s="6"/>
      <c r="G932" s="11" t="str">
        <f aca="true">IF(F932="","",YEAR(TODAY())-F932)</f>
        <v/>
      </c>
      <c r="H932" s="11" t="str">
        <f aca="false">IF(C932="","",IF(G932="","Thiếu thông tin",IF(G932&lt;6,"Trẻ em",IF(G932&lt;23,"Học sinh / Sinh viên",IF(G932&lt;60,"Đang đi làm","Nghỉ hưu")))))</f>
        <v/>
      </c>
      <c r="I932" s="6"/>
      <c r="J932" s="11" t="str">
        <f aca="false">IF(B932="","",IFERROR(INDEX('Hộ gia đình'!$B$2:$B$2000,MATCH(B932,'Hộ gia đình'!$A$2:$A$2000,0)),"Mã hộ không tồn tại"))</f>
        <v/>
      </c>
      <c r="K932" s="14"/>
      <c r="L932" s="14"/>
      <c r="M932" s="6"/>
      <c r="N932" s="6"/>
      <c r="O932" s="6"/>
      <c r="P932" s="6"/>
      <c r="Q932" s="6"/>
      <c r="R932" s="12"/>
    </row>
    <row r="933" customFormat="false" ht="15" hidden="false" customHeight="true" outlineLevel="0" collapsed="false">
      <c r="A933" s="6"/>
      <c r="B933" s="6"/>
      <c r="C933" s="6"/>
      <c r="D933" s="6"/>
      <c r="E933" s="13"/>
      <c r="F933" s="6"/>
      <c r="G933" s="11" t="str">
        <f aca="true">IF(F933="","",YEAR(TODAY())-F933)</f>
        <v/>
      </c>
      <c r="H933" s="11" t="str">
        <f aca="false">IF(C933="","",IF(G933="","Thiếu thông tin",IF(G933&lt;6,"Trẻ em",IF(G933&lt;23,"Học sinh / Sinh viên",IF(G933&lt;60,"Đang đi làm","Nghỉ hưu")))))</f>
        <v/>
      </c>
      <c r="I933" s="6"/>
      <c r="J933" s="11" t="str">
        <f aca="false">IF(B933="","",IFERROR(INDEX('Hộ gia đình'!$B$2:$B$2000,MATCH(B933,'Hộ gia đình'!$A$2:$A$2000,0)),"Mã hộ không tồn tại"))</f>
        <v/>
      </c>
      <c r="K933" s="14"/>
      <c r="L933" s="14"/>
      <c r="M933" s="6"/>
      <c r="N933" s="6"/>
      <c r="O933" s="6"/>
      <c r="P933" s="6"/>
      <c r="Q933" s="6"/>
      <c r="R933" s="12"/>
    </row>
    <row r="934" customFormat="false" ht="15" hidden="false" customHeight="true" outlineLevel="0" collapsed="false">
      <c r="A934" s="6"/>
      <c r="B934" s="6"/>
      <c r="C934" s="6"/>
      <c r="D934" s="6"/>
      <c r="E934" s="13"/>
      <c r="F934" s="6"/>
      <c r="G934" s="11" t="str">
        <f aca="true">IF(F934="","",YEAR(TODAY())-F934)</f>
        <v/>
      </c>
      <c r="H934" s="11" t="str">
        <f aca="false">IF(C934="","",IF(G934="","Thiếu thông tin",IF(G934&lt;6,"Trẻ em",IF(G934&lt;23,"Học sinh / Sinh viên",IF(G934&lt;60,"Đang đi làm","Nghỉ hưu")))))</f>
        <v/>
      </c>
      <c r="I934" s="6"/>
      <c r="J934" s="11" t="str">
        <f aca="false">IF(B934="","",IFERROR(INDEX('Hộ gia đình'!$B$2:$B$2000,MATCH(B934,'Hộ gia đình'!$A$2:$A$2000,0)),"Mã hộ không tồn tại"))</f>
        <v/>
      </c>
      <c r="K934" s="14"/>
      <c r="L934" s="14"/>
      <c r="M934" s="6"/>
      <c r="N934" s="6"/>
      <c r="O934" s="6"/>
      <c r="P934" s="6"/>
      <c r="Q934" s="6"/>
      <c r="R934" s="12"/>
    </row>
    <row r="935" customFormat="false" ht="15" hidden="false" customHeight="true" outlineLevel="0" collapsed="false">
      <c r="A935" s="6"/>
      <c r="B935" s="6"/>
      <c r="C935" s="6"/>
      <c r="D935" s="6"/>
      <c r="E935" s="13"/>
      <c r="F935" s="6"/>
      <c r="G935" s="11" t="str">
        <f aca="true">IF(F935="","",YEAR(TODAY())-F935)</f>
        <v/>
      </c>
      <c r="H935" s="11" t="str">
        <f aca="false">IF(C935="","",IF(G935="","Thiếu thông tin",IF(G935&lt;6,"Trẻ em",IF(G935&lt;23,"Học sinh / Sinh viên",IF(G935&lt;60,"Đang đi làm","Nghỉ hưu")))))</f>
        <v/>
      </c>
      <c r="I935" s="6"/>
      <c r="J935" s="11" t="str">
        <f aca="false">IF(B935="","",IFERROR(INDEX('Hộ gia đình'!$B$2:$B$2000,MATCH(B935,'Hộ gia đình'!$A$2:$A$2000,0)),"Mã hộ không tồn tại"))</f>
        <v/>
      </c>
      <c r="K935" s="14"/>
      <c r="L935" s="14"/>
      <c r="M935" s="6"/>
      <c r="N935" s="6"/>
      <c r="O935" s="6"/>
      <c r="P935" s="6"/>
      <c r="Q935" s="6"/>
      <c r="R935" s="12"/>
    </row>
    <row r="936" customFormat="false" ht="15" hidden="false" customHeight="true" outlineLevel="0" collapsed="false">
      <c r="A936" s="6"/>
      <c r="B936" s="6"/>
      <c r="C936" s="6"/>
      <c r="D936" s="6"/>
      <c r="E936" s="13"/>
      <c r="F936" s="6"/>
      <c r="G936" s="11" t="str">
        <f aca="true">IF(F936="","",YEAR(TODAY())-F936)</f>
        <v/>
      </c>
      <c r="H936" s="11" t="str">
        <f aca="false">IF(C936="","",IF(G936="","Thiếu thông tin",IF(G936&lt;6,"Trẻ em",IF(G936&lt;23,"Học sinh / Sinh viên",IF(G936&lt;60,"Đang đi làm","Nghỉ hưu")))))</f>
        <v/>
      </c>
      <c r="I936" s="6"/>
      <c r="J936" s="11" t="str">
        <f aca="false">IF(B936="","",IFERROR(INDEX('Hộ gia đình'!$B$2:$B$2000,MATCH(B936,'Hộ gia đình'!$A$2:$A$2000,0)),"Mã hộ không tồn tại"))</f>
        <v/>
      </c>
      <c r="K936" s="14"/>
      <c r="L936" s="14"/>
      <c r="M936" s="6"/>
      <c r="N936" s="6"/>
      <c r="O936" s="6"/>
      <c r="P936" s="6"/>
      <c r="Q936" s="6"/>
      <c r="R936" s="12"/>
    </row>
    <row r="937" customFormat="false" ht="15" hidden="false" customHeight="true" outlineLevel="0" collapsed="false">
      <c r="A937" s="6"/>
      <c r="B937" s="6"/>
      <c r="C937" s="6"/>
      <c r="D937" s="6"/>
      <c r="E937" s="13"/>
      <c r="F937" s="6"/>
      <c r="G937" s="11" t="str">
        <f aca="true">IF(F937="","",YEAR(TODAY())-F937)</f>
        <v/>
      </c>
      <c r="H937" s="11" t="str">
        <f aca="false">IF(C937="","",IF(G937="","Thiếu thông tin",IF(G937&lt;6,"Trẻ em",IF(G937&lt;23,"Học sinh / Sinh viên",IF(G937&lt;60,"Đang đi làm","Nghỉ hưu")))))</f>
        <v/>
      </c>
      <c r="I937" s="6"/>
      <c r="J937" s="11" t="str">
        <f aca="false">IF(B937="","",IFERROR(INDEX('Hộ gia đình'!$B$2:$B$2000,MATCH(B937,'Hộ gia đình'!$A$2:$A$2000,0)),"Mã hộ không tồn tại"))</f>
        <v/>
      </c>
      <c r="K937" s="14"/>
      <c r="L937" s="14"/>
      <c r="M937" s="6"/>
      <c r="N937" s="6"/>
      <c r="O937" s="6"/>
      <c r="P937" s="6"/>
      <c r="Q937" s="6"/>
      <c r="R937" s="12"/>
    </row>
    <row r="938" customFormat="false" ht="15" hidden="false" customHeight="true" outlineLevel="0" collapsed="false">
      <c r="A938" s="6"/>
      <c r="B938" s="6"/>
      <c r="C938" s="6"/>
      <c r="D938" s="6"/>
      <c r="E938" s="13"/>
      <c r="F938" s="6"/>
      <c r="G938" s="11" t="str">
        <f aca="true">IF(F938="","",YEAR(TODAY())-F938)</f>
        <v/>
      </c>
      <c r="H938" s="11" t="str">
        <f aca="false">IF(C938="","",IF(G938="","Thiếu thông tin",IF(G938&lt;6,"Trẻ em",IF(G938&lt;23,"Học sinh / Sinh viên",IF(G938&lt;60,"Đang đi làm","Nghỉ hưu")))))</f>
        <v/>
      </c>
      <c r="I938" s="6"/>
      <c r="J938" s="11" t="str">
        <f aca="false">IF(B938="","",IFERROR(INDEX('Hộ gia đình'!$B$2:$B$2000,MATCH(B938,'Hộ gia đình'!$A$2:$A$2000,0)),"Mã hộ không tồn tại"))</f>
        <v/>
      </c>
      <c r="K938" s="14"/>
      <c r="L938" s="14"/>
      <c r="M938" s="6"/>
      <c r="N938" s="6"/>
      <c r="O938" s="6"/>
      <c r="P938" s="6"/>
      <c r="Q938" s="6"/>
      <c r="R938" s="12"/>
    </row>
    <row r="939" customFormat="false" ht="15" hidden="false" customHeight="true" outlineLevel="0" collapsed="false">
      <c r="A939" s="6"/>
      <c r="B939" s="6"/>
      <c r="C939" s="6"/>
      <c r="D939" s="6"/>
      <c r="E939" s="13"/>
      <c r="F939" s="6"/>
      <c r="G939" s="11" t="str">
        <f aca="true">IF(F939="","",YEAR(TODAY())-F939)</f>
        <v/>
      </c>
      <c r="H939" s="11" t="str">
        <f aca="false">IF(C939="","",IF(G939="","Thiếu thông tin",IF(G939&lt;6,"Trẻ em",IF(G939&lt;23,"Học sinh / Sinh viên",IF(G939&lt;60,"Đang đi làm","Nghỉ hưu")))))</f>
        <v/>
      </c>
      <c r="I939" s="6"/>
      <c r="J939" s="11" t="str">
        <f aca="false">IF(B939="","",IFERROR(INDEX('Hộ gia đình'!$B$2:$B$2000,MATCH(B939,'Hộ gia đình'!$A$2:$A$2000,0)),"Mã hộ không tồn tại"))</f>
        <v/>
      </c>
      <c r="K939" s="14"/>
      <c r="L939" s="14"/>
      <c r="M939" s="6"/>
      <c r="N939" s="6"/>
      <c r="O939" s="6"/>
      <c r="P939" s="6"/>
      <c r="Q939" s="6"/>
      <c r="R939" s="12"/>
    </row>
    <row r="940" customFormat="false" ht="15" hidden="false" customHeight="true" outlineLevel="0" collapsed="false">
      <c r="A940" s="6"/>
      <c r="B940" s="6"/>
      <c r="C940" s="6"/>
      <c r="D940" s="6"/>
      <c r="E940" s="13"/>
      <c r="F940" s="6"/>
      <c r="G940" s="11" t="str">
        <f aca="true">IF(F940="","",YEAR(TODAY())-F940)</f>
        <v/>
      </c>
      <c r="H940" s="11" t="str">
        <f aca="false">IF(C940="","",IF(G940="","Thiếu thông tin",IF(G940&lt;6,"Trẻ em",IF(G940&lt;23,"Học sinh / Sinh viên",IF(G940&lt;60,"Đang đi làm","Nghỉ hưu")))))</f>
        <v/>
      </c>
      <c r="I940" s="6"/>
      <c r="J940" s="11" t="str">
        <f aca="false">IF(B940="","",IFERROR(INDEX('Hộ gia đình'!$B$2:$B$2000,MATCH(B940,'Hộ gia đình'!$A$2:$A$2000,0)),"Mã hộ không tồn tại"))</f>
        <v/>
      </c>
      <c r="K940" s="14"/>
      <c r="L940" s="14"/>
      <c r="M940" s="6"/>
      <c r="N940" s="6"/>
      <c r="O940" s="6"/>
      <c r="P940" s="6"/>
      <c r="Q940" s="6"/>
      <c r="R940" s="12"/>
    </row>
    <row r="941" customFormat="false" ht="15" hidden="false" customHeight="true" outlineLevel="0" collapsed="false">
      <c r="A941" s="6"/>
      <c r="B941" s="6"/>
      <c r="C941" s="6"/>
      <c r="D941" s="6"/>
      <c r="E941" s="13"/>
      <c r="F941" s="6"/>
      <c r="G941" s="11" t="str">
        <f aca="true">IF(F941="","",YEAR(TODAY())-F941)</f>
        <v/>
      </c>
      <c r="H941" s="11" t="str">
        <f aca="false">IF(C941="","",IF(G941="","Thiếu thông tin",IF(G941&lt;6,"Trẻ em",IF(G941&lt;23,"Học sinh / Sinh viên",IF(G941&lt;60,"Đang đi làm","Nghỉ hưu")))))</f>
        <v/>
      </c>
      <c r="I941" s="6"/>
      <c r="J941" s="11" t="str">
        <f aca="false">IF(B941="","",IFERROR(INDEX('Hộ gia đình'!$B$2:$B$2000,MATCH(B941,'Hộ gia đình'!$A$2:$A$2000,0)),"Mã hộ không tồn tại"))</f>
        <v/>
      </c>
      <c r="K941" s="14"/>
      <c r="L941" s="14"/>
      <c r="M941" s="6"/>
      <c r="N941" s="6"/>
      <c r="O941" s="6"/>
      <c r="P941" s="6"/>
      <c r="Q941" s="6"/>
      <c r="R941" s="12"/>
    </row>
    <row r="942" customFormat="false" ht="15" hidden="false" customHeight="true" outlineLevel="0" collapsed="false">
      <c r="A942" s="6"/>
      <c r="B942" s="6"/>
      <c r="C942" s="6"/>
      <c r="D942" s="6"/>
      <c r="E942" s="13"/>
      <c r="F942" s="6"/>
      <c r="G942" s="11" t="str">
        <f aca="true">IF(F942="","",YEAR(TODAY())-F942)</f>
        <v/>
      </c>
      <c r="H942" s="11" t="str">
        <f aca="false">IF(C942="","",IF(G942="","Thiếu thông tin",IF(G942&lt;6,"Trẻ em",IF(G942&lt;23,"Học sinh / Sinh viên",IF(G942&lt;60,"Đang đi làm","Nghỉ hưu")))))</f>
        <v/>
      </c>
      <c r="I942" s="6"/>
      <c r="J942" s="11" t="str">
        <f aca="false">IF(B942="","",IFERROR(INDEX('Hộ gia đình'!$B$2:$B$2000,MATCH(B942,'Hộ gia đình'!$A$2:$A$2000,0)),"Mã hộ không tồn tại"))</f>
        <v/>
      </c>
      <c r="K942" s="14"/>
      <c r="L942" s="14"/>
      <c r="M942" s="6"/>
      <c r="N942" s="6"/>
      <c r="O942" s="6"/>
      <c r="P942" s="6"/>
      <c r="Q942" s="6"/>
      <c r="R942" s="12"/>
    </row>
    <row r="943" customFormat="false" ht="15" hidden="false" customHeight="true" outlineLevel="0" collapsed="false">
      <c r="A943" s="6"/>
      <c r="B943" s="6"/>
      <c r="C943" s="6"/>
      <c r="D943" s="6"/>
      <c r="E943" s="13"/>
      <c r="F943" s="6"/>
      <c r="G943" s="11" t="str">
        <f aca="true">IF(F943="","",YEAR(TODAY())-F943)</f>
        <v/>
      </c>
      <c r="H943" s="11" t="str">
        <f aca="false">IF(C943="","",IF(G943="","Thiếu thông tin",IF(G943&lt;6,"Trẻ em",IF(G943&lt;23,"Học sinh / Sinh viên",IF(G943&lt;60,"Đang đi làm","Nghỉ hưu")))))</f>
        <v/>
      </c>
      <c r="I943" s="6"/>
      <c r="J943" s="11" t="str">
        <f aca="false">IF(B943="","",IFERROR(INDEX('Hộ gia đình'!$B$2:$B$2000,MATCH(B943,'Hộ gia đình'!$A$2:$A$2000,0)),"Mã hộ không tồn tại"))</f>
        <v/>
      </c>
      <c r="K943" s="14"/>
      <c r="L943" s="14"/>
      <c r="M943" s="6"/>
      <c r="N943" s="6"/>
      <c r="O943" s="6"/>
      <c r="P943" s="6"/>
      <c r="Q943" s="6"/>
      <c r="R943" s="12"/>
    </row>
    <row r="944" customFormat="false" ht="15" hidden="false" customHeight="true" outlineLevel="0" collapsed="false">
      <c r="A944" s="6"/>
      <c r="B944" s="6"/>
      <c r="C944" s="6"/>
      <c r="D944" s="6"/>
      <c r="E944" s="13"/>
      <c r="F944" s="6"/>
      <c r="G944" s="11" t="str">
        <f aca="true">IF(F944="","",YEAR(TODAY())-F944)</f>
        <v/>
      </c>
      <c r="H944" s="11" t="str">
        <f aca="false">IF(C944="","",IF(G944="","Thiếu thông tin",IF(G944&lt;6,"Trẻ em",IF(G944&lt;23,"Học sinh / Sinh viên",IF(G944&lt;60,"Đang đi làm","Nghỉ hưu")))))</f>
        <v/>
      </c>
      <c r="I944" s="6"/>
      <c r="J944" s="11" t="str">
        <f aca="false">IF(B944="","",IFERROR(INDEX('Hộ gia đình'!$B$2:$B$2000,MATCH(B944,'Hộ gia đình'!$A$2:$A$2000,0)),"Mã hộ không tồn tại"))</f>
        <v/>
      </c>
      <c r="K944" s="14"/>
      <c r="L944" s="14"/>
      <c r="M944" s="6"/>
      <c r="N944" s="6"/>
      <c r="O944" s="6"/>
      <c r="P944" s="6"/>
      <c r="Q944" s="6"/>
      <c r="R944" s="12"/>
    </row>
    <row r="945" customFormat="false" ht="15" hidden="false" customHeight="true" outlineLevel="0" collapsed="false">
      <c r="A945" s="6"/>
      <c r="B945" s="6"/>
      <c r="C945" s="6"/>
      <c r="D945" s="6"/>
      <c r="E945" s="13"/>
      <c r="F945" s="6"/>
      <c r="G945" s="11" t="str">
        <f aca="true">IF(F945="","",YEAR(TODAY())-F945)</f>
        <v/>
      </c>
      <c r="H945" s="11" t="str">
        <f aca="false">IF(C945="","",IF(G945="","Thiếu thông tin",IF(G945&lt;6,"Trẻ em",IF(G945&lt;23,"Học sinh / Sinh viên",IF(G945&lt;60,"Đang đi làm","Nghỉ hưu")))))</f>
        <v/>
      </c>
      <c r="I945" s="6"/>
      <c r="J945" s="11" t="str">
        <f aca="false">IF(B945="","",IFERROR(INDEX('Hộ gia đình'!$B$2:$B$2000,MATCH(B945,'Hộ gia đình'!$A$2:$A$2000,0)),"Mã hộ không tồn tại"))</f>
        <v/>
      </c>
      <c r="K945" s="14"/>
      <c r="L945" s="14"/>
      <c r="M945" s="6"/>
      <c r="N945" s="6"/>
      <c r="O945" s="6"/>
      <c r="P945" s="6"/>
      <c r="Q945" s="6"/>
      <c r="R945" s="12"/>
    </row>
    <row r="946" customFormat="false" ht="15" hidden="false" customHeight="true" outlineLevel="0" collapsed="false">
      <c r="A946" s="6"/>
      <c r="B946" s="6"/>
      <c r="C946" s="6"/>
      <c r="D946" s="6"/>
      <c r="E946" s="13"/>
      <c r="F946" s="6"/>
      <c r="G946" s="11" t="str">
        <f aca="true">IF(F946="","",YEAR(TODAY())-F946)</f>
        <v/>
      </c>
      <c r="H946" s="11" t="str">
        <f aca="false">IF(C946="","",IF(G946="","Thiếu thông tin",IF(G946&lt;6,"Trẻ em",IF(G946&lt;23,"Học sinh / Sinh viên",IF(G946&lt;60,"Đang đi làm","Nghỉ hưu")))))</f>
        <v/>
      </c>
      <c r="I946" s="6"/>
      <c r="J946" s="11" t="str">
        <f aca="false">IF(B946="","",IFERROR(INDEX('Hộ gia đình'!$B$2:$B$2000,MATCH(B946,'Hộ gia đình'!$A$2:$A$2000,0)),"Mã hộ không tồn tại"))</f>
        <v/>
      </c>
      <c r="K946" s="14"/>
      <c r="L946" s="14"/>
      <c r="M946" s="6"/>
      <c r="N946" s="6"/>
      <c r="O946" s="6"/>
      <c r="P946" s="6"/>
      <c r="Q946" s="6"/>
      <c r="R946" s="12"/>
    </row>
    <row r="947" customFormat="false" ht="15" hidden="false" customHeight="true" outlineLevel="0" collapsed="false">
      <c r="A947" s="6"/>
      <c r="B947" s="6"/>
      <c r="C947" s="6"/>
      <c r="D947" s="6"/>
      <c r="E947" s="13"/>
      <c r="F947" s="6"/>
      <c r="G947" s="11" t="str">
        <f aca="true">IF(F947="","",YEAR(TODAY())-F947)</f>
        <v/>
      </c>
      <c r="H947" s="11" t="str">
        <f aca="false">IF(C947="","",IF(G947="","Thiếu thông tin",IF(G947&lt;6,"Trẻ em",IF(G947&lt;23,"Học sinh / Sinh viên",IF(G947&lt;60,"Đang đi làm","Nghỉ hưu")))))</f>
        <v/>
      </c>
      <c r="I947" s="6"/>
      <c r="J947" s="11" t="str">
        <f aca="false">IF(B947="","",IFERROR(INDEX('Hộ gia đình'!$B$2:$B$2000,MATCH(B947,'Hộ gia đình'!$A$2:$A$2000,0)),"Mã hộ không tồn tại"))</f>
        <v/>
      </c>
      <c r="K947" s="14"/>
      <c r="L947" s="14"/>
      <c r="M947" s="6"/>
      <c r="N947" s="6"/>
      <c r="O947" s="6"/>
      <c r="P947" s="6"/>
      <c r="Q947" s="6"/>
      <c r="R947" s="12"/>
    </row>
    <row r="948" customFormat="false" ht="15" hidden="false" customHeight="true" outlineLevel="0" collapsed="false">
      <c r="A948" s="6"/>
      <c r="B948" s="6"/>
      <c r="C948" s="6"/>
      <c r="D948" s="6"/>
      <c r="E948" s="13"/>
      <c r="F948" s="6"/>
      <c r="G948" s="11" t="str">
        <f aca="true">IF(F948="","",YEAR(TODAY())-F948)</f>
        <v/>
      </c>
      <c r="H948" s="11" t="str">
        <f aca="false">IF(C948="","",IF(G948="","Thiếu thông tin",IF(G948&lt;6,"Trẻ em",IF(G948&lt;23,"Học sinh / Sinh viên",IF(G948&lt;60,"Đang đi làm","Nghỉ hưu")))))</f>
        <v/>
      </c>
      <c r="I948" s="6"/>
      <c r="J948" s="11" t="str">
        <f aca="false">IF(B948="","",IFERROR(INDEX('Hộ gia đình'!$B$2:$B$2000,MATCH(B948,'Hộ gia đình'!$A$2:$A$2000,0)),"Mã hộ không tồn tại"))</f>
        <v/>
      </c>
      <c r="K948" s="14"/>
      <c r="L948" s="14"/>
      <c r="M948" s="6"/>
      <c r="N948" s="6"/>
      <c r="O948" s="6"/>
      <c r="P948" s="6"/>
      <c r="Q948" s="6"/>
      <c r="R948" s="12"/>
    </row>
    <row r="949" customFormat="false" ht="15" hidden="false" customHeight="true" outlineLevel="0" collapsed="false">
      <c r="A949" s="6"/>
      <c r="B949" s="6"/>
      <c r="C949" s="6"/>
      <c r="D949" s="6"/>
      <c r="E949" s="13"/>
      <c r="F949" s="6"/>
      <c r="G949" s="11" t="str">
        <f aca="true">IF(F949="","",YEAR(TODAY())-F949)</f>
        <v/>
      </c>
      <c r="H949" s="11" t="str">
        <f aca="false">IF(C949="","",IF(G949="","Thiếu thông tin",IF(G949&lt;6,"Trẻ em",IF(G949&lt;23,"Học sinh / Sinh viên",IF(G949&lt;60,"Đang đi làm","Nghỉ hưu")))))</f>
        <v/>
      </c>
      <c r="I949" s="6"/>
      <c r="J949" s="11" t="str">
        <f aca="false">IF(B949="","",IFERROR(INDEX('Hộ gia đình'!$B$2:$B$2000,MATCH(B949,'Hộ gia đình'!$A$2:$A$2000,0)),"Mã hộ không tồn tại"))</f>
        <v/>
      </c>
      <c r="K949" s="14"/>
      <c r="L949" s="14"/>
      <c r="M949" s="6"/>
      <c r="N949" s="6"/>
      <c r="O949" s="6"/>
      <c r="P949" s="6"/>
      <c r="Q949" s="6"/>
      <c r="R949" s="12"/>
    </row>
    <row r="950" customFormat="false" ht="15" hidden="false" customHeight="true" outlineLevel="0" collapsed="false">
      <c r="A950" s="6"/>
      <c r="B950" s="6"/>
      <c r="C950" s="6"/>
      <c r="D950" s="6"/>
      <c r="E950" s="13"/>
      <c r="F950" s="6"/>
      <c r="G950" s="11" t="str">
        <f aca="true">IF(F950="","",YEAR(TODAY())-F950)</f>
        <v/>
      </c>
      <c r="H950" s="11" t="str">
        <f aca="false">IF(C950="","",IF(G950="","Thiếu thông tin",IF(G950&lt;6,"Trẻ em",IF(G950&lt;23,"Học sinh / Sinh viên",IF(G950&lt;60,"Đang đi làm","Nghỉ hưu")))))</f>
        <v/>
      </c>
      <c r="I950" s="6"/>
      <c r="J950" s="11" t="str">
        <f aca="false">IF(B950="","",IFERROR(INDEX('Hộ gia đình'!$B$2:$B$2000,MATCH(B950,'Hộ gia đình'!$A$2:$A$2000,0)),"Mã hộ không tồn tại"))</f>
        <v/>
      </c>
      <c r="K950" s="14"/>
      <c r="L950" s="14"/>
      <c r="M950" s="6"/>
      <c r="N950" s="6"/>
      <c r="O950" s="6"/>
      <c r="P950" s="6"/>
      <c r="Q950" s="6"/>
      <c r="R950" s="12"/>
    </row>
    <row r="951" customFormat="false" ht="15" hidden="false" customHeight="true" outlineLevel="0" collapsed="false">
      <c r="A951" s="6"/>
      <c r="B951" s="6"/>
      <c r="C951" s="6"/>
      <c r="D951" s="6"/>
      <c r="E951" s="13"/>
      <c r="F951" s="6"/>
      <c r="G951" s="11" t="str">
        <f aca="true">IF(F951="","",YEAR(TODAY())-F951)</f>
        <v/>
      </c>
      <c r="H951" s="11" t="str">
        <f aca="false">IF(C951="","",IF(G951="","Thiếu thông tin",IF(G951&lt;6,"Trẻ em",IF(G951&lt;23,"Học sinh / Sinh viên",IF(G951&lt;60,"Đang đi làm","Nghỉ hưu")))))</f>
        <v/>
      </c>
      <c r="I951" s="6"/>
      <c r="J951" s="11" t="str">
        <f aca="false">IF(B951="","",IFERROR(INDEX('Hộ gia đình'!$B$2:$B$2000,MATCH(B951,'Hộ gia đình'!$A$2:$A$2000,0)),"Mã hộ không tồn tại"))</f>
        <v/>
      </c>
      <c r="K951" s="14"/>
      <c r="L951" s="14"/>
      <c r="M951" s="6"/>
      <c r="N951" s="6"/>
      <c r="O951" s="6"/>
      <c r="P951" s="6"/>
      <c r="Q951" s="6"/>
      <c r="R951" s="12"/>
    </row>
    <row r="952" customFormat="false" ht="15" hidden="false" customHeight="true" outlineLevel="0" collapsed="false">
      <c r="A952" s="6"/>
      <c r="B952" s="6"/>
      <c r="C952" s="6"/>
      <c r="D952" s="6"/>
      <c r="E952" s="13"/>
      <c r="F952" s="6"/>
      <c r="G952" s="11" t="str">
        <f aca="true">IF(F952="","",YEAR(TODAY())-F952)</f>
        <v/>
      </c>
      <c r="H952" s="11" t="str">
        <f aca="false">IF(C952="","",IF(G952="","Thiếu thông tin",IF(G952&lt;6,"Trẻ em",IF(G952&lt;23,"Học sinh / Sinh viên",IF(G952&lt;60,"Đang đi làm","Nghỉ hưu")))))</f>
        <v/>
      </c>
      <c r="I952" s="6"/>
      <c r="J952" s="11" t="str">
        <f aca="false">IF(B952="","",IFERROR(INDEX('Hộ gia đình'!$B$2:$B$2000,MATCH(B952,'Hộ gia đình'!$A$2:$A$2000,0)),"Mã hộ không tồn tại"))</f>
        <v/>
      </c>
      <c r="K952" s="14"/>
      <c r="L952" s="14"/>
      <c r="M952" s="6"/>
      <c r="N952" s="6"/>
      <c r="O952" s="6"/>
      <c r="P952" s="6"/>
      <c r="Q952" s="6"/>
      <c r="R952" s="12"/>
    </row>
    <row r="953" customFormat="false" ht="15" hidden="false" customHeight="true" outlineLevel="0" collapsed="false">
      <c r="A953" s="6"/>
      <c r="B953" s="6"/>
      <c r="C953" s="6"/>
      <c r="D953" s="6"/>
      <c r="E953" s="13"/>
      <c r="F953" s="6"/>
      <c r="G953" s="11" t="str">
        <f aca="true">IF(F953="","",YEAR(TODAY())-F953)</f>
        <v/>
      </c>
      <c r="H953" s="11" t="str">
        <f aca="false">IF(C953="","",IF(G953="","Thiếu thông tin",IF(G953&lt;6,"Trẻ em",IF(G953&lt;23,"Học sinh / Sinh viên",IF(G953&lt;60,"Đang đi làm","Nghỉ hưu")))))</f>
        <v/>
      </c>
      <c r="I953" s="6"/>
      <c r="J953" s="11" t="str">
        <f aca="false">IF(B953="","",IFERROR(INDEX('Hộ gia đình'!$B$2:$B$2000,MATCH(B953,'Hộ gia đình'!$A$2:$A$2000,0)),"Mã hộ không tồn tại"))</f>
        <v/>
      </c>
      <c r="K953" s="14"/>
      <c r="L953" s="14"/>
      <c r="M953" s="6"/>
      <c r="N953" s="6"/>
      <c r="O953" s="6"/>
      <c r="P953" s="6"/>
      <c r="Q953" s="6"/>
      <c r="R953" s="12"/>
    </row>
    <row r="954" customFormat="false" ht="15" hidden="false" customHeight="true" outlineLevel="0" collapsed="false">
      <c r="A954" s="6"/>
      <c r="B954" s="6"/>
      <c r="C954" s="6"/>
      <c r="D954" s="6"/>
      <c r="E954" s="13"/>
      <c r="F954" s="6"/>
      <c r="G954" s="11" t="str">
        <f aca="true">IF(F954="","",YEAR(TODAY())-F954)</f>
        <v/>
      </c>
      <c r="H954" s="11" t="str">
        <f aca="false">IF(C954="","",IF(G954="","Thiếu thông tin",IF(G954&lt;6,"Trẻ em",IF(G954&lt;23,"Học sinh / Sinh viên",IF(G954&lt;60,"Đang đi làm","Nghỉ hưu")))))</f>
        <v/>
      </c>
      <c r="I954" s="6"/>
      <c r="J954" s="11" t="str">
        <f aca="false">IF(B954="","",IFERROR(INDEX('Hộ gia đình'!$B$2:$B$2000,MATCH(B954,'Hộ gia đình'!$A$2:$A$2000,0)),"Mã hộ không tồn tại"))</f>
        <v/>
      </c>
      <c r="K954" s="14"/>
      <c r="L954" s="14"/>
      <c r="M954" s="6"/>
      <c r="N954" s="6"/>
      <c r="O954" s="6"/>
      <c r="P954" s="6"/>
      <c r="Q954" s="6"/>
      <c r="R954" s="12"/>
    </row>
    <row r="955" customFormat="false" ht="15" hidden="false" customHeight="true" outlineLevel="0" collapsed="false">
      <c r="A955" s="6"/>
      <c r="B955" s="6"/>
      <c r="C955" s="6"/>
      <c r="D955" s="6"/>
      <c r="E955" s="13"/>
      <c r="F955" s="6"/>
      <c r="G955" s="11" t="str">
        <f aca="true">IF(F955="","",YEAR(TODAY())-F955)</f>
        <v/>
      </c>
      <c r="H955" s="11" t="str">
        <f aca="false">IF(C955="","",IF(G955="","Thiếu thông tin",IF(G955&lt;6,"Trẻ em",IF(G955&lt;23,"Học sinh / Sinh viên",IF(G955&lt;60,"Đang đi làm","Nghỉ hưu")))))</f>
        <v/>
      </c>
      <c r="I955" s="6"/>
      <c r="J955" s="11" t="str">
        <f aca="false">IF(B955="","",IFERROR(INDEX('Hộ gia đình'!$B$2:$B$2000,MATCH(B955,'Hộ gia đình'!$A$2:$A$2000,0)),"Mã hộ không tồn tại"))</f>
        <v/>
      </c>
      <c r="K955" s="14"/>
      <c r="L955" s="14"/>
      <c r="M955" s="6"/>
      <c r="N955" s="6"/>
      <c r="O955" s="6"/>
      <c r="P955" s="6"/>
      <c r="Q955" s="6"/>
      <c r="R955" s="12"/>
    </row>
    <row r="956" customFormat="false" ht="15" hidden="false" customHeight="true" outlineLevel="0" collapsed="false">
      <c r="A956" s="6"/>
      <c r="B956" s="6"/>
      <c r="C956" s="6"/>
      <c r="D956" s="6"/>
      <c r="E956" s="13"/>
      <c r="F956" s="6"/>
      <c r="G956" s="11" t="str">
        <f aca="true">IF(F956="","",YEAR(TODAY())-F956)</f>
        <v/>
      </c>
      <c r="H956" s="11" t="str">
        <f aca="false">IF(C956="","",IF(G956="","Thiếu thông tin",IF(G956&lt;6,"Trẻ em",IF(G956&lt;23,"Học sinh / Sinh viên",IF(G956&lt;60,"Đang đi làm","Nghỉ hưu")))))</f>
        <v/>
      </c>
      <c r="I956" s="6"/>
      <c r="J956" s="11" t="str">
        <f aca="false">IF(B956="","",IFERROR(INDEX('Hộ gia đình'!$B$2:$B$2000,MATCH(B956,'Hộ gia đình'!$A$2:$A$2000,0)),"Mã hộ không tồn tại"))</f>
        <v/>
      </c>
      <c r="K956" s="14"/>
      <c r="L956" s="14"/>
      <c r="M956" s="6"/>
      <c r="N956" s="6"/>
      <c r="O956" s="6"/>
      <c r="P956" s="6"/>
      <c r="Q956" s="6"/>
      <c r="R956" s="12"/>
    </row>
    <row r="957" customFormat="false" ht="15" hidden="false" customHeight="true" outlineLevel="0" collapsed="false">
      <c r="A957" s="6"/>
      <c r="B957" s="6"/>
      <c r="C957" s="6"/>
      <c r="D957" s="6"/>
      <c r="E957" s="13"/>
      <c r="F957" s="6"/>
      <c r="G957" s="11" t="str">
        <f aca="true">IF(F957="","",YEAR(TODAY())-F957)</f>
        <v/>
      </c>
      <c r="H957" s="11" t="str">
        <f aca="false">IF(C957="","",IF(G957="","Thiếu thông tin",IF(G957&lt;6,"Trẻ em",IF(G957&lt;23,"Học sinh / Sinh viên",IF(G957&lt;60,"Đang đi làm","Nghỉ hưu")))))</f>
        <v/>
      </c>
      <c r="I957" s="6"/>
      <c r="J957" s="11" t="str">
        <f aca="false">IF(B957="","",IFERROR(INDEX('Hộ gia đình'!$B$2:$B$2000,MATCH(B957,'Hộ gia đình'!$A$2:$A$2000,0)),"Mã hộ không tồn tại"))</f>
        <v/>
      </c>
      <c r="K957" s="14"/>
      <c r="L957" s="14"/>
      <c r="M957" s="6"/>
      <c r="N957" s="6"/>
      <c r="O957" s="6"/>
      <c r="P957" s="6"/>
      <c r="Q957" s="6"/>
      <c r="R957" s="12"/>
    </row>
    <row r="958" customFormat="false" ht="15" hidden="false" customHeight="true" outlineLevel="0" collapsed="false">
      <c r="A958" s="6"/>
      <c r="B958" s="6"/>
      <c r="C958" s="6"/>
      <c r="D958" s="6"/>
      <c r="E958" s="13"/>
      <c r="F958" s="6"/>
      <c r="G958" s="11" t="str">
        <f aca="true">IF(F958="","",YEAR(TODAY())-F958)</f>
        <v/>
      </c>
      <c r="H958" s="11" t="str">
        <f aca="false">IF(C958="","",IF(G958="","Thiếu thông tin",IF(G958&lt;6,"Trẻ em",IF(G958&lt;23,"Học sinh / Sinh viên",IF(G958&lt;60,"Đang đi làm","Nghỉ hưu")))))</f>
        <v/>
      </c>
      <c r="I958" s="6"/>
      <c r="J958" s="11" t="str">
        <f aca="false">IF(B958="","",IFERROR(INDEX('Hộ gia đình'!$B$2:$B$2000,MATCH(B958,'Hộ gia đình'!$A$2:$A$2000,0)),"Mã hộ không tồn tại"))</f>
        <v/>
      </c>
      <c r="K958" s="14"/>
      <c r="L958" s="14"/>
      <c r="M958" s="6"/>
      <c r="N958" s="6"/>
      <c r="O958" s="6"/>
      <c r="P958" s="6"/>
      <c r="Q958" s="6"/>
      <c r="R958" s="12"/>
    </row>
    <row r="959" customFormat="false" ht="15" hidden="false" customHeight="true" outlineLevel="0" collapsed="false">
      <c r="A959" s="6"/>
      <c r="B959" s="6"/>
      <c r="C959" s="6"/>
      <c r="D959" s="6"/>
      <c r="E959" s="13"/>
      <c r="F959" s="6"/>
      <c r="G959" s="11" t="str">
        <f aca="true">IF(F959="","",YEAR(TODAY())-F959)</f>
        <v/>
      </c>
      <c r="H959" s="11" t="str">
        <f aca="false">IF(C959="","",IF(G959="","Thiếu thông tin",IF(G959&lt;6,"Trẻ em",IF(G959&lt;23,"Học sinh / Sinh viên",IF(G959&lt;60,"Đang đi làm","Nghỉ hưu")))))</f>
        <v/>
      </c>
      <c r="I959" s="6"/>
      <c r="J959" s="11" t="str">
        <f aca="false">IF(B959="","",IFERROR(INDEX('Hộ gia đình'!$B$2:$B$2000,MATCH(B959,'Hộ gia đình'!$A$2:$A$2000,0)),"Mã hộ không tồn tại"))</f>
        <v/>
      </c>
      <c r="K959" s="14"/>
      <c r="L959" s="14"/>
      <c r="M959" s="6"/>
      <c r="N959" s="6"/>
      <c r="O959" s="6"/>
      <c r="P959" s="6"/>
      <c r="Q959" s="6"/>
      <c r="R959" s="12"/>
    </row>
    <row r="960" customFormat="false" ht="15" hidden="false" customHeight="true" outlineLevel="0" collapsed="false">
      <c r="A960" s="6"/>
      <c r="B960" s="6"/>
      <c r="C960" s="6"/>
      <c r="D960" s="6"/>
      <c r="E960" s="13"/>
      <c r="F960" s="6"/>
      <c r="G960" s="11" t="str">
        <f aca="true">IF(F960="","",YEAR(TODAY())-F960)</f>
        <v/>
      </c>
      <c r="H960" s="11" t="str">
        <f aca="false">IF(C960="","",IF(G960="","Thiếu thông tin",IF(G960&lt;6,"Trẻ em",IF(G960&lt;23,"Học sinh / Sinh viên",IF(G960&lt;60,"Đang đi làm","Nghỉ hưu")))))</f>
        <v/>
      </c>
      <c r="I960" s="6"/>
      <c r="J960" s="11" t="str">
        <f aca="false">IF(B960="","",IFERROR(INDEX('Hộ gia đình'!$B$2:$B$2000,MATCH(B960,'Hộ gia đình'!$A$2:$A$2000,0)),"Mã hộ không tồn tại"))</f>
        <v/>
      </c>
      <c r="K960" s="14"/>
      <c r="L960" s="14"/>
      <c r="M960" s="6"/>
      <c r="N960" s="6"/>
      <c r="O960" s="6"/>
      <c r="P960" s="6"/>
      <c r="Q960" s="6"/>
      <c r="R960" s="12"/>
    </row>
    <row r="961" customFormat="false" ht="15" hidden="false" customHeight="true" outlineLevel="0" collapsed="false">
      <c r="A961" s="6"/>
      <c r="B961" s="6"/>
      <c r="C961" s="6"/>
      <c r="D961" s="6"/>
      <c r="E961" s="13"/>
      <c r="F961" s="6"/>
      <c r="G961" s="11" t="str">
        <f aca="true">IF(F961="","",YEAR(TODAY())-F961)</f>
        <v/>
      </c>
      <c r="H961" s="11" t="str">
        <f aca="false">IF(C961="","",IF(G961="","Thiếu thông tin",IF(G961&lt;6,"Trẻ em",IF(G961&lt;23,"Học sinh / Sinh viên",IF(G961&lt;60,"Đang đi làm","Nghỉ hưu")))))</f>
        <v/>
      </c>
      <c r="I961" s="6"/>
      <c r="J961" s="11" t="str">
        <f aca="false">IF(B961="","",IFERROR(INDEX('Hộ gia đình'!$B$2:$B$2000,MATCH(B961,'Hộ gia đình'!$A$2:$A$2000,0)),"Mã hộ không tồn tại"))</f>
        <v/>
      </c>
      <c r="K961" s="14"/>
      <c r="L961" s="14"/>
      <c r="M961" s="6"/>
      <c r="N961" s="6"/>
      <c r="O961" s="6"/>
      <c r="P961" s="6"/>
      <c r="Q961" s="6"/>
      <c r="R961" s="12"/>
    </row>
    <row r="962" customFormat="false" ht="15" hidden="false" customHeight="true" outlineLevel="0" collapsed="false">
      <c r="A962" s="6"/>
      <c r="B962" s="6"/>
      <c r="C962" s="6"/>
      <c r="D962" s="6"/>
      <c r="E962" s="13"/>
      <c r="F962" s="6"/>
      <c r="G962" s="11" t="str">
        <f aca="true">IF(F962="","",YEAR(TODAY())-F962)</f>
        <v/>
      </c>
      <c r="H962" s="11" t="str">
        <f aca="false">IF(C962="","",IF(G962="","Thiếu thông tin",IF(G962&lt;6,"Trẻ em",IF(G962&lt;23,"Học sinh / Sinh viên",IF(G962&lt;60,"Đang đi làm","Nghỉ hưu")))))</f>
        <v/>
      </c>
      <c r="I962" s="6"/>
      <c r="J962" s="11" t="str">
        <f aca="false">IF(B962="","",IFERROR(INDEX('Hộ gia đình'!$B$2:$B$2000,MATCH(B962,'Hộ gia đình'!$A$2:$A$2000,0)),"Mã hộ không tồn tại"))</f>
        <v/>
      </c>
      <c r="K962" s="14"/>
      <c r="L962" s="14"/>
      <c r="M962" s="6"/>
      <c r="N962" s="6"/>
      <c r="O962" s="6"/>
      <c r="P962" s="6"/>
      <c r="Q962" s="6"/>
      <c r="R962" s="12"/>
    </row>
    <row r="963" customFormat="false" ht="15" hidden="false" customHeight="true" outlineLevel="0" collapsed="false">
      <c r="A963" s="6"/>
      <c r="B963" s="6"/>
      <c r="C963" s="6"/>
      <c r="D963" s="6"/>
      <c r="E963" s="13"/>
      <c r="F963" s="6"/>
      <c r="G963" s="11" t="str">
        <f aca="true">IF(F963="","",YEAR(TODAY())-F963)</f>
        <v/>
      </c>
      <c r="H963" s="11" t="str">
        <f aca="false">IF(C963="","",IF(G963="","Thiếu thông tin",IF(G963&lt;6,"Trẻ em",IF(G963&lt;23,"Học sinh / Sinh viên",IF(G963&lt;60,"Đang đi làm","Nghỉ hưu")))))</f>
        <v/>
      </c>
      <c r="I963" s="6"/>
      <c r="J963" s="11" t="str">
        <f aca="false">IF(B963="","",IFERROR(INDEX('Hộ gia đình'!$B$2:$B$2000,MATCH(B963,'Hộ gia đình'!$A$2:$A$2000,0)),"Mã hộ không tồn tại"))</f>
        <v/>
      </c>
      <c r="K963" s="14"/>
      <c r="L963" s="14"/>
      <c r="M963" s="6"/>
      <c r="N963" s="6"/>
      <c r="O963" s="6"/>
      <c r="P963" s="6"/>
      <c r="Q963" s="6"/>
      <c r="R963" s="12"/>
    </row>
    <row r="964" customFormat="false" ht="15" hidden="false" customHeight="true" outlineLevel="0" collapsed="false">
      <c r="A964" s="6"/>
      <c r="B964" s="6"/>
      <c r="C964" s="6"/>
      <c r="D964" s="6"/>
      <c r="E964" s="13"/>
      <c r="F964" s="6"/>
      <c r="G964" s="11" t="str">
        <f aca="true">IF(F964="","",YEAR(TODAY())-F964)</f>
        <v/>
      </c>
      <c r="H964" s="11" t="str">
        <f aca="false">IF(C964="","",IF(G964="","Thiếu thông tin",IF(G964&lt;6,"Trẻ em",IF(G964&lt;23,"Học sinh / Sinh viên",IF(G964&lt;60,"Đang đi làm","Nghỉ hưu")))))</f>
        <v/>
      </c>
      <c r="I964" s="6"/>
      <c r="J964" s="11" t="str">
        <f aca="false">IF(B964="","",IFERROR(INDEX('Hộ gia đình'!$B$2:$B$2000,MATCH(B964,'Hộ gia đình'!$A$2:$A$2000,0)),"Mã hộ không tồn tại"))</f>
        <v/>
      </c>
      <c r="K964" s="14"/>
      <c r="L964" s="14"/>
      <c r="M964" s="6"/>
      <c r="N964" s="6"/>
      <c r="O964" s="6"/>
      <c r="P964" s="6"/>
      <c r="Q964" s="6"/>
      <c r="R964" s="12"/>
    </row>
    <row r="965" customFormat="false" ht="15" hidden="false" customHeight="true" outlineLevel="0" collapsed="false">
      <c r="A965" s="6"/>
      <c r="B965" s="6"/>
      <c r="C965" s="6"/>
      <c r="D965" s="6"/>
      <c r="E965" s="13"/>
      <c r="F965" s="6"/>
      <c r="G965" s="11" t="str">
        <f aca="true">IF(F965="","",YEAR(TODAY())-F965)</f>
        <v/>
      </c>
      <c r="H965" s="11" t="str">
        <f aca="false">IF(C965="","",IF(G965="","Thiếu thông tin",IF(G965&lt;6,"Trẻ em",IF(G965&lt;23,"Học sinh / Sinh viên",IF(G965&lt;60,"Đang đi làm","Nghỉ hưu")))))</f>
        <v/>
      </c>
      <c r="I965" s="6"/>
      <c r="J965" s="11" t="str">
        <f aca="false">IF(B965="","",IFERROR(INDEX('Hộ gia đình'!$B$2:$B$2000,MATCH(B965,'Hộ gia đình'!$A$2:$A$2000,0)),"Mã hộ không tồn tại"))</f>
        <v/>
      </c>
      <c r="K965" s="14"/>
      <c r="L965" s="14"/>
      <c r="M965" s="6"/>
      <c r="N965" s="6"/>
      <c r="O965" s="6"/>
      <c r="P965" s="6"/>
      <c r="Q965" s="6"/>
      <c r="R965" s="12"/>
    </row>
    <row r="966" customFormat="false" ht="15" hidden="false" customHeight="true" outlineLevel="0" collapsed="false">
      <c r="A966" s="6"/>
      <c r="B966" s="6"/>
      <c r="C966" s="6"/>
      <c r="D966" s="6"/>
      <c r="E966" s="13"/>
      <c r="F966" s="6"/>
      <c r="G966" s="11" t="str">
        <f aca="true">IF(F966="","",YEAR(TODAY())-F966)</f>
        <v/>
      </c>
      <c r="H966" s="11" t="str">
        <f aca="false">IF(C966="","",IF(G966="","Thiếu thông tin",IF(G966&lt;6,"Trẻ em",IF(G966&lt;23,"Học sinh / Sinh viên",IF(G966&lt;60,"Đang đi làm","Nghỉ hưu")))))</f>
        <v/>
      </c>
      <c r="I966" s="6"/>
      <c r="J966" s="11" t="str">
        <f aca="false">IF(B966="","",IFERROR(INDEX('Hộ gia đình'!$B$2:$B$2000,MATCH(B966,'Hộ gia đình'!$A$2:$A$2000,0)),"Mã hộ không tồn tại"))</f>
        <v/>
      </c>
      <c r="K966" s="14"/>
      <c r="L966" s="14"/>
      <c r="M966" s="6"/>
      <c r="N966" s="6"/>
      <c r="O966" s="6"/>
      <c r="P966" s="6"/>
      <c r="Q966" s="6"/>
      <c r="R966" s="12"/>
    </row>
    <row r="967" customFormat="false" ht="15" hidden="false" customHeight="true" outlineLevel="0" collapsed="false">
      <c r="A967" s="6"/>
      <c r="B967" s="6"/>
      <c r="C967" s="6"/>
      <c r="D967" s="6"/>
      <c r="E967" s="13"/>
      <c r="F967" s="6"/>
      <c r="G967" s="11" t="str">
        <f aca="true">IF(F967="","",YEAR(TODAY())-F967)</f>
        <v/>
      </c>
      <c r="H967" s="11" t="str">
        <f aca="false">IF(C967="","",IF(G967="","Thiếu thông tin",IF(G967&lt;6,"Trẻ em",IF(G967&lt;23,"Học sinh / Sinh viên",IF(G967&lt;60,"Đang đi làm","Nghỉ hưu")))))</f>
        <v/>
      </c>
      <c r="I967" s="6"/>
      <c r="J967" s="11" t="str">
        <f aca="false">IF(B967="","",IFERROR(INDEX('Hộ gia đình'!$B$2:$B$2000,MATCH(B967,'Hộ gia đình'!$A$2:$A$2000,0)),"Mã hộ không tồn tại"))</f>
        <v/>
      </c>
      <c r="K967" s="14"/>
      <c r="L967" s="14"/>
      <c r="M967" s="6"/>
      <c r="N967" s="6"/>
      <c r="O967" s="6"/>
      <c r="P967" s="6"/>
      <c r="Q967" s="6"/>
      <c r="R967" s="12"/>
    </row>
    <row r="968" customFormat="false" ht="15" hidden="false" customHeight="true" outlineLevel="0" collapsed="false">
      <c r="A968" s="6"/>
      <c r="B968" s="6"/>
      <c r="C968" s="6"/>
      <c r="D968" s="6"/>
      <c r="E968" s="13"/>
      <c r="F968" s="6"/>
      <c r="G968" s="11" t="str">
        <f aca="true">IF(F968="","",YEAR(TODAY())-F968)</f>
        <v/>
      </c>
      <c r="H968" s="11" t="str">
        <f aca="false">IF(C968="","",IF(G968="","Thiếu thông tin",IF(G968&lt;6,"Trẻ em",IF(G968&lt;23,"Học sinh / Sinh viên",IF(G968&lt;60,"Đang đi làm","Nghỉ hưu")))))</f>
        <v/>
      </c>
      <c r="I968" s="6"/>
      <c r="J968" s="11" t="str">
        <f aca="false">IF(B968="","",IFERROR(INDEX('Hộ gia đình'!$B$2:$B$2000,MATCH(B968,'Hộ gia đình'!$A$2:$A$2000,0)),"Mã hộ không tồn tại"))</f>
        <v/>
      </c>
      <c r="K968" s="14"/>
      <c r="L968" s="14"/>
      <c r="M968" s="6"/>
      <c r="N968" s="6"/>
      <c r="O968" s="6"/>
      <c r="P968" s="6"/>
      <c r="Q968" s="6"/>
      <c r="R968" s="12"/>
    </row>
    <row r="969" customFormat="false" ht="15" hidden="false" customHeight="true" outlineLevel="0" collapsed="false">
      <c r="A969" s="6"/>
      <c r="B969" s="6"/>
      <c r="C969" s="6"/>
      <c r="D969" s="6"/>
      <c r="E969" s="13"/>
      <c r="F969" s="6"/>
      <c r="G969" s="11" t="str">
        <f aca="true">IF(F969="","",YEAR(TODAY())-F969)</f>
        <v/>
      </c>
      <c r="H969" s="11" t="str">
        <f aca="false">IF(C969="","",IF(G969="","Thiếu thông tin",IF(G969&lt;6,"Trẻ em",IF(G969&lt;23,"Học sinh / Sinh viên",IF(G969&lt;60,"Đang đi làm","Nghỉ hưu")))))</f>
        <v/>
      </c>
      <c r="I969" s="6"/>
      <c r="J969" s="11" t="str">
        <f aca="false">IF(B969="","",IFERROR(INDEX('Hộ gia đình'!$B$2:$B$2000,MATCH(B969,'Hộ gia đình'!$A$2:$A$2000,0)),"Mã hộ không tồn tại"))</f>
        <v/>
      </c>
      <c r="K969" s="14"/>
      <c r="L969" s="14"/>
      <c r="M969" s="6"/>
      <c r="N969" s="6"/>
      <c r="O969" s="6"/>
      <c r="P969" s="6"/>
      <c r="Q969" s="6"/>
      <c r="R969" s="12"/>
    </row>
    <row r="970" customFormat="false" ht="15" hidden="false" customHeight="true" outlineLevel="0" collapsed="false">
      <c r="A970" s="6"/>
      <c r="B970" s="6"/>
      <c r="C970" s="6"/>
      <c r="D970" s="6"/>
      <c r="E970" s="13"/>
      <c r="F970" s="6"/>
      <c r="G970" s="11" t="str">
        <f aca="true">IF(F970="","",YEAR(TODAY())-F970)</f>
        <v/>
      </c>
      <c r="H970" s="11" t="str">
        <f aca="false">IF(C970="","",IF(G970="","Thiếu thông tin",IF(G970&lt;6,"Trẻ em",IF(G970&lt;23,"Học sinh / Sinh viên",IF(G970&lt;60,"Đang đi làm","Nghỉ hưu")))))</f>
        <v/>
      </c>
      <c r="I970" s="6"/>
      <c r="J970" s="11" t="str">
        <f aca="false">IF(B970="","",IFERROR(INDEX('Hộ gia đình'!$B$2:$B$2000,MATCH(B970,'Hộ gia đình'!$A$2:$A$2000,0)),"Mã hộ không tồn tại"))</f>
        <v/>
      </c>
      <c r="K970" s="14"/>
      <c r="L970" s="14"/>
      <c r="M970" s="6"/>
      <c r="N970" s="6"/>
      <c r="O970" s="6"/>
      <c r="P970" s="6"/>
      <c r="Q970" s="6"/>
      <c r="R970" s="12"/>
    </row>
    <row r="971" customFormat="false" ht="15" hidden="false" customHeight="true" outlineLevel="0" collapsed="false">
      <c r="A971" s="6"/>
      <c r="B971" s="6"/>
      <c r="C971" s="6"/>
      <c r="D971" s="6"/>
      <c r="E971" s="13"/>
      <c r="F971" s="6"/>
      <c r="G971" s="11" t="str">
        <f aca="true">IF(F971="","",YEAR(TODAY())-F971)</f>
        <v/>
      </c>
      <c r="H971" s="11" t="str">
        <f aca="false">IF(C971="","",IF(G971="","Thiếu thông tin",IF(G971&lt;6,"Trẻ em",IF(G971&lt;23,"Học sinh / Sinh viên",IF(G971&lt;60,"Đang đi làm","Nghỉ hưu")))))</f>
        <v/>
      </c>
      <c r="I971" s="6"/>
      <c r="J971" s="11" t="str">
        <f aca="false">IF(B971="","",IFERROR(INDEX('Hộ gia đình'!$B$2:$B$2000,MATCH(B971,'Hộ gia đình'!$A$2:$A$2000,0)),"Mã hộ không tồn tại"))</f>
        <v/>
      </c>
      <c r="K971" s="14"/>
      <c r="L971" s="14"/>
      <c r="M971" s="6"/>
      <c r="N971" s="6"/>
      <c r="O971" s="6"/>
      <c r="P971" s="6"/>
      <c r="Q971" s="6"/>
      <c r="R971" s="12"/>
    </row>
    <row r="972" customFormat="false" ht="15" hidden="false" customHeight="true" outlineLevel="0" collapsed="false">
      <c r="A972" s="6"/>
      <c r="B972" s="6"/>
      <c r="C972" s="6"/>
      <c r="D972" s="6"/>
      <c r="E972" s="13"/>
      <c r="F972" s="6"/>
      <c r="G972" s="11" t="str">
        <f aca="true">IF(F972="","",YEAR(TODAY())-F972)</f>
        <v/>
      </c>
      <c r="H972" s="11" t="str">
        <f aca="false">IF(C972="","",IF(G972="","Thiếu thông tin",IF(G972&lt;6,"Trẻ em",IF(G972&lt;23,"Học sinh / Sinh viên",IF(G972&lt;60,"Đang đi làm","Nghỉ hưu")))))</f>
        <v/>
      </c>
      <c r="I972" s="6"/>
      <c r="J972" s="11" t="str">
        <f aca="false">IF(B972="","",IFERROR(INDEX('Hộ gia đình'!$B$2:$B$2000,MATCH(B972,'Hộ gia đình'!$A$2:$A$2000,0)),"Mã hộ không tồn tại"))</f>
        <v/>
      </c>
      <c r="K972" s="14"/>
      <c r="L972" s="14"/>
      <c r="M972" s="6"/>
      <c r="N972" s="6"/>
      <c r="O972" s="6"/>
      <c r="P972" s="6"/>
      <c r="Q972" s="6"/>
      <c r="R972" s="12"/>
    </row>
    <row r="973" customFormat="false" ht="15" hidden="false" customHeight="true" outlineLevel="0" collapsed="false">
      <c r="A973" s="6"/>
      <c r="B973" s="6"/>
      <c r="C973" s="6"/>
      <c r="D973" s="6"/>
      <c r="E973" s="13"/>
      <c r="F973" s="6"/>
      <c r="G973" s="11" t="str">
        <f aca="true">IF(F973="","",YEAR(TODAY())-F973)</f>
        <v/>
      </c>
      <c r="H973" s="11" t="str">
        <f aca="false">IF(C973="","",IF(G973="","Thiếu thông tin",IF(G973&lt;6,"Trẻ em",IF(G973&lt;23,"Học sinh / Sinh viên",IF(G973&lt;60,"Đang đi làm","Nghỉ hưu")))))</f>
        <v/>
      </c>
      <c r="I973" s="6"/>
      <c r="J973" s="11" t="str">
        <f aca="false">IF(B973="","",IFERROR(INDEX('Hộ gia đình'!$B$2:$B$2000,MATCH(B973,'Hộ gia đình'!$A$2:$A$2000,0)),"Mã hộ không tồn tại"))</f>
        <v/>
      </c>
      <c r="K973" s="14"/>
      <c r="L973" s="14"/>
      <c r="M973" s="6"/>
      <c r="N973" s="6"/>
      <c r="O973" s="6"/>
      <c r="P973" s="6"/>
      <c r="Q973" s="6"/>
      <c r="R973" s="12"/>
    </row>
    <row r="974" customFormat="false" ht="15" hidden="false" customHeight="true" outlineLevel="0" collapsed="false">
      <c r="A974" s="6"/>
      <c r="B974" s="6"/>
      <c r="C974" s="6"/>
      <c r="D974" s="6"/>
      <c r="E974" s="13"/>
      <c r="F974" s="6"/>
      <c r="G974" s="11" t="str">
        <f aca="true">IF(F974="","",YEAR(TODAY())-F974)</f>
        <v/>
      </c>
      <c r="H974" s="11" t="str">
        <f aca="false">IF(C974="","",IF(G974="","Thiếu thông tin",IF(G974&lt;6,"Trẻ em",IF(G974&lt;23,"Học sinh / Sinh viên",IF(G974&lt;60,"Đang đi làm","Nghỉ hưu")))))</f>
        <v/>
      </c>
      <c r="I974" s="6"/>
      <c r="J974" s="11" t="str">
        <f aca="false">IF(B974="","",IFERROR(INDEX('Hộ gia đình'!$B$2:$B$2000,MATCH(B974,'Hộ gia đình'!$A$2:$A$2000,0)),"Mã hộ không tồn tại"))</f>
        <v/>
      </c>
      <c r="K974" s="14"/>
      <c r="L974" s="14"/>
      <c r="M974" s="6"/>
      <c r="N974" s="6"/>
      <c r="O974" s="6"/>
      <c r="P974" s="6"/>
      <c r="Q974" s="6"/>
      <c r="R974" s="12"/>
    </row>
    <row r="975" customFormat="false" ht="15" hidden="false" customHeight="true" outlineLevel="0" collapsed="false">
      <c r="A975" s="6"/>
      <c r="B975" s="6"/>
      <c r="C975" s="6"/>
      <c r="D975" s="6"/>
      <c r="E975" s="13"/>
      <c r="F975" s="6"/>
      <c r="G975" s="11" t="str">
        <f aca="true">IF(F975="","",YEAR(TODAY())-F975)</f>
        <v/>
      </c>
      <c r="H975" s="11" t="str">
        <f aca="false">IF(C975="","",IF(G975="","Thiếu thông tin",IF(G975&lt;6,"Trẻ em",IF(G975&lt;23,"Học sinh / Sinh viên",IF(G975&lt;60,"Đang đi làm","Nghỉ hưu")))))</f>
        <v/>
      </c>
      <c r="I975" s="6"/>
      <c r="J975" s="11" t="str">
        <f aca="false">IF(B975="","",IFERROR(INDEX('Hộ gia đình'!$B$2:$B$2000,MATCH(B975,'Hộ gia đình'!$A$2:$A$2000,0)),"Mã hộ không tồn tại"))</f>
        <v/>
      </c>
      <c r="K975" s="14"/>
      <c r="L975" s="14"/>
      <c r="M975" s="6"/>
      <c r="N975" s="6"/>
      <c r="O975" s="6"/>
      <c r="P975" s="6"/>
      <c r="Q975" s="6"/>
      <c r="R975" s="12"/>
    </row>
    <row r="976" customFormat="false" ht="15" hidden="false" customHeight="true" outlineLevel="0" collapsed="false">
      <c r="A976" s="6"/>
      <c r="B976" s="6"/>
      <c r="C976" s="6"/>
      <c r="D976" s="6"/>
      <c r="E976" s="13"/>
      <c r="F976" s="6"/>
      <c r="G976" s="11" t="str">
        <f aca="true">IF(F976="","",YEAR(TODAY())-F976)</f>
        <v/>
      </c>
      <c r="H976" s="11" t="str">
        <f aca="false">IF(C976="","",IF(G976="","Thiếu thông tin",IF(G976&lt;6,"Trẻ em",IF(G976&lt;23,"Học sinh / Sinh viên",IF(G976&lt;60,"Đang đi làm","Nghỉ hưu")))))</f>
        <v/>
      </c>
      <c r="I976" s="6"/>
      <c r="J976" s="11" t="str">
        <f aca="false">IF(B976="","",IFERROR(INDEX('Hộ gia đình'!$B$2:$B$2000,MATCH(B976,'Hộ gia đình'!$A$2:$A$2000,0)),"Mã hộ không tồn tại"))</f>
        <v/>
      </c>
      <c r="K976" s="14"/>
      <c r="L976" s="14"/>
      <c r="M976" s="6"/>
      <c r="N976" s="6"/>
      <c r="O976" s="6"/>
      <c r="P976" s="6"/>
      <c r="Q976" s="6"/>
      <c r="R976" s="12"/>
    </row>
    <row r="977" customFormat="false" ht="15" hidden="false" customHeight="true" outlineLevel="0" collapsed="false">
      <c r="A977" s="6"/>
      <c r="B977" s="6"/>
      <c r="C977" s="6"/>
      <c r="D977" s="6"/>
      <c r="E977" s="13"/>
      <c r="F977" s="6"/>
      <c r="G977" s="11" t="str">
        <f aca="true">IF(F977="","",YEAR(TODAY())-F977)</f>
        <v/>
      </c>
      <c r="H977" s="11" t="str">
        <f aca="false">IF(C977="","",IF(G977="","Thiếu thông tin",IF(G977&lt;6,"Trẻ em",IF(G977&lt;23,"Học sinh / Sinh viên",IF(G977&lt;60,"Đang đi làm","Nghỉ hưu")))))</f>
        <v/>
      </c>
      <c r="I977" s="6"/>
      <c r="J977" s="11" t="str">
        <f aca="false">IF(B977="","",IFERROR(INDEX('Hộ gia đình'!$B$2:$B$2000,MATCH(B977,'Hộ gia đình'!$A$2:$A$2000,0)),"Mã hộ không tồn tại"))</f>
        <v/>
      </c>
      <c r="K977" s="14"/>
      <c r="L977" s="14"/>
      <c r="M977" s="6"/>
      <c r="N977" s="6"/>
      <c r="O977" s="6"/>
      <c r="P977" s="6"/>
      <c r="Q977" s="6"/>
      <c r="R977" s="12"/>
    </row>
    <row r="978" customFormat="false" ht="15" hidden="false" customHeight="true" outlineLevel="0" collapsed="false">
      <c r="A978" s="6"/>
      <c r="B978" s="6"/>
      <c r="C978" s="6"/>
      <c r="D978" s="6"/>
      <c r="E978" s="13"/>
      <c r="F978" s="6"/>
      <c r="G978" s="11" t="str">
        <f aca="true">IF(F978="","",YEAR(TODAY())-F978)</f>
        <v/>
      </c>
      <c r="H978" s="11" t="str">
        <f aca="false">IF(C978="","",IF(G978="","Thiếu thông tin",IF(G978&lt;6,"Trẻ em",IF(G978&lt;23,"Học sinh / Sinh viên",IF(G978&lt;60,"Đang đi làm","Nghỉ hưu")))))</f>
        <v/>
      </c>
      <c r="I978" s="6"/>
      <c r="J978" s="11" t="str">
        <f aca="false">IF(B978="","",IFERROR(INDEX('Hộ gia đình'!$B$2:$B$2000,MATCH(B978,'Hộ gia đình'!$A$2:$A$2000,0)),"Mã hộ không tồn tại"))</f>
        <v/>
      </c>
      <c r="K978" s="14"/>
      <c r="L978" s="14"/>
      <c r="M978" s="6"/>
      <c r="N978" s="6"/>
      <c r="O978" s="6"/>
      <c r="P978" s="6"/>
      <c r="Q978" s="6"/>
      <c r="R978" s="12"/>
    </row>
    <row r="979" customFormat="false" ht="15" hidden="false" customHeight="true" outlineLevel="0" collapsed="false">
      <c r="A979" s="6"/>
      <c r="B979" s="6"/>
      <c r="C979" s="6"/>
      <c r="D979" s="6"/>
      <c r="E979" s="13"/>
      <c r="F979" s="6"/>
      <c r="G979" s="11" t="str">
        <f aca="true">IF(F979="","",YEAR(TODAY())-F979)</f>
        <v/>
      </c>
      <c r="H979" s="11" t="str">
        <f aca="false">IF(C979="","",IF(G979="","Thiếu thông tin",IF(G979&lt;6,"Trẻ em",IF(G979&lt;23,"Học sinh / Sinh viên",IF(G979&lt;60,"Đang đi làm","Nghỉ hưu")))))</f>
        <v/>
      </c>
      <c r="I979" s="6"/>
      <c r="J979" s="11" t="str">
        <f aca="false">IF(B979="","",IFERROR(INDEX('Hộ gia đình'!$B$2:$B$2000,MATCH(B979,'Hộ gia đình'!$A$2:$A$2000,0)),"Mã hộ không tồn tại"))</f>
        <v/>
      </c>
      <c r="K979" s="14"/>
      <c r="L979" s="14"/>
      <c r="M979" s="6"/>
      <c r="N979" s="6"/>
      <c r="O979" s="6"/>
      <c r="P979" s="6"/>
      <c r="Q979" s="6"/>
      <c r="R979" s="12"/>
    </row>
    <row r="980" customFormat="false" ht="15" hidden="false" customHeight="true" outlineLevel="0" collapsed="false">
      <c r="A980" s="6"/>
      <c r="B980" s="6"/>
      <c r="C980" s="6"/>
      <c r="D980" s="6"/>
      <c r="E980" s="13"/>
      <c r="F980" s="6"/>
      <c r="G980" s="11" t="str">
        <f aca="true">IF(F980="","",YEAR(TODAY())-F980)</f>
        <v/>
      </c>
      <c r="H980" s="11" t="str">
        <f aca="false">IF(C980="","",IF(G980="","Thiếu thông tin",IF(G980&lt;6,"Trẻ em",IF(G980&lt;23,"Học sinh / Sinh viên",IF(G980&lt;60,"Đang đi làm","Nghỉ hưu")))))</f>
        <v/>
      </c>
      <c r="I980" s="6"/>
      <c r="J980" s="11" t="str">
        <f aca="false">IF(B980="","",IFERROR(INDEX('Hộ gia đình'!$B$2:$B$2000,MATCH(B980,'Hộ gia đình'!$A$2:$A$2000,0)),"Mã hộ không tồn tại"))</f>
        <v/>
      </c>
      <c r="K980" s="14"/>
      <c r="L980" s="14"/>
      <c r="M980" s="6"/>
      <c r="N980" s="6"/>
      <c r="O980" s="6"/>
      <c r="P980" s="6"/>
      <c r="Q980" s="6"/>
      <c r="R980" s="12"/>
    </row>
    <row r="981" customFormat="false" ht="15" hidden="false" customHeight="true" outlineLevel="0" collapsed="false">
      <c r="A981" s="6"/>
      <c r="B981" s="6"/>
      <c r="C981" s="6"/>
      <c r="D981" s="6"/>
      <c r="E981" s="13"/>
      <c r="F981" s="6"/>
      <c r="G981" s="11" t="str">
        <f aca="true">IF(F981="","",YEAR(TODAY())-F981)</f>
        <v/>
      </c>
      <c r="H981" s="11" t="str">
        <f aca="false">IF(C981="","",IF(G981="","Thiếu thông tin",IF(G981&lt;6,"Trẻ em",IF(G981&lt;23,"Học sinh / Sinh viên",IF(G981&lt;60,"Đang đi làm","Nghỉ hưu")))))</f>
        <v/>
      </c>
      <c r="I981" s="6"/>
      <c r="J981" s="11" t="str">
        <f aca="false">IF(B981="","",IFERROR(INDEX('Hộ gia đình'!$B$2:$B$2000,MATCH(B981,'Hộ gia đình'!$A$2:$A$2000,0)),"Mã hộ không tồn tại"))</f>
        <v/>
      </c>
      <c r="K981" s="14"/>
      <c r="L981" s="14"/>
      <c r="M981" s="6"/>
      <c r="N981" s="6"/>
      <c r="O981" s="6"/>
      <c r="P981" s="6"/>
      <c r="Q981" s="6"/>
      <c r="R981" s="12"/>
    </row>
    <row r="982" customFormat="false" ht="15" hidden="false" customHeight="true" outlineLevel="0" collapsed="false">
      <c r="A982" s="6"/>
      <c r="B982" s="6"/>
      <c r="C982" s="6"/>
      <c r="D982" s="6"/>
      <c r="E982" s="13"/>
      <c r="F982" s="6"/>
      <c r="G982" s="11" t="str">
        <f aca="true">IF(F982="","",YEAR(TODAY())-F982)</f>
        <v/>
      </c>
      <c r="H982" s="11" t="str">
        <f aca="false">IF(C982="","",IF(G982="","Thiếu thông tin",IF(G982&lt;6,"Trẻ em",IF(G982&lt;23,"Học sinh / Sinh viên",IF(G982&lt;60,"Đang đi làm","Nghỉ hưu")))))</f>
        <v/>
      </c>
      <c r="I982" s="6"/>
      <c r="J982" s="11" t="str">
        <f aca="false">IF(B982="","",IFERROR(INDEX('Hộ gia đình'!$B$2:$B$2000,MATCH(B982,'Hộ gia đình'!$A$2:$A$2000,0)),"Mã hộ không tồn tại"))</f>
        <v/>
      </c>
      <c r="K982" s="14"/>
      <c r="L982" s="14"/>
      <c r="M982" s="6"/>
      <c r="N982" s="6"/>
      <c r="O982" s="6"/>
      <c r="P982" s="6"/>
      <c r="Q982" s="6"/>
      <c r="R982" s="12"/>
    </row>
    <row r="983" customFormat="false" ht="15" hidden="false" customHeight="true" outlineLevel="0" collapsed="false">
      <c r="A983" s="6"/>
      <c r="B983" s="6"/>
      <c r="C983" s="6"/>
      <c r="D983" s="6"/>
      <c r="E983" s="13"/>
      <c r="F983" s="6"/>
      <c r="G983" s="11" t="str">
        <f aca="true">IF(F983="","",YEAR(TODAY())-F983)</f>
        <v/>
      </c>
      <c r="H983" s="11" t="str">
        <f aca="false">IF(C983="","",IF(G983="","Thiếu thông tin",IF(G983&lt;6,"Trẻ em",IF(G983&lt;23,"Học sinh / Sinh viên",IF(G983&lt;60,"Đang đi làm","Nghỉ hưu")))))</f>
        <v/>
      </c>
      <c r="I983" s="6"/>
      <c r="J983" s="11" t="str">
        <f aca="false">IF(B983="","",IFERROR(INDEX('Hộ gia đình'!$B$2:$B$2000,MATCH(B983,'Hộ gia đình'!$A$2:$A$2000,0)),"Mã hộ không tồn tại"))</f>
        <v/>
      </c>
      <c r="K983" s="14"/>
      <c r="L983" s="14"/>
      <c r="M983" s="6"/>
      <c r="N983" s="6"/>
      <c r="O983" s="6"/>
      <c r="P983" s="6"/>
      <c r="Q983" s="6"/>
      <c r="R983" s="12"/>
    </row>
    <row r="984" customFormat="false" ht="15" hidden="false" customHeight="true" outlineLevel="0" collapsed="false">
      <c r="A984" s="6"/>
      <c r="B984" s="6"/>
      <c r="C984" s="6"/>
      <c r="D984" s="6"/>
      <c r="E984" s="13"/>
      <c r="F984" s="6"/>
      <c r="G984" s="11" t="str">
        <f aca="true">IF(F984="","",YEAR(TODAY())-F984)</f>
        <v/>
      </c>
      <c r="H984" s="11" t="str">
        <f aca="false">IF(C984="","",IF(G984="","Thiếu thông tin",IF(G984&lt;6,"Trẻ em",IF(G984&lt;23,"Học sinh / Sinh viên",IF(G984&lt;60,"Đang đi làm","Nghỉ hưu")))))</f>
        <v/>
      </c>
      <c r="I984" s="6"/>
      <c r="J984" s="11" t="str">
        <f aca="false">IF(B984="","",IFERROR(INDEX('Hộ gia đình'!$B$2:$B$2000,MATCH(B984,'Hộ gia đình'!$A$2:$A$2000,0)),"Mã hộ không tồn tại"))</f>
        <v/>
      </c>
      <c r="K984" s="14"/>
      <c r="L984" s="14"/>
      <c r="M984" s="6"/>
      <c r="N984" s="6"/>
      <c r="O984" s="6"/>
      <c r="P984" s="6"/>
      <c r="Q984" s="6"/>
      <c r="R984" s="12"/>
    </row>
    <row r="985" customFormat="false" ht="15" hidden="false" customHeight="true" outlineLevel="0" collapsed="false">
      <c r="A985" s="6"/>
      <c r="B985" s="6"/>
      <c r="C985" s="6"/>
      <c r="D985" s="6"/>
      <c r="E985" s="13"/>
      <c r="F985" s="6"/>
      <c r="G985" s="11" t="str">
        <f aca="true">IF(F985="","",YEAR(TODAY())-F985)</f>
        <v/>
      </c>
      <c r="H985" s="11" t="str">
        <f aca="false">IF(C985="","",IF(G985="","Thiếu thông tin",IF(G985&lt;6,"Trẻ em",IF(G985&lt;23,"Học sinh / Sinh viên",IF(G985&lt;60,"Đang đi làm","Nghỉ hưu")))))</f>
        <v/>
      </c>
      <c r="I985" s="6"/>
      <c r="J985" s="11" t="str">
        <f aca="false">IF(B985="","",IFERROR(INDEX('Hộ gia đình'!$B$2:$B$2000,MATCH(B985,'Hộ gia đình'!$A$2:$A$2000,0)),"Mã hộ không tồn tại"))</f>
        <v/>
      </c>
      <c r="K985" s="14"/>
      <c r="L985" s="14"/>
      <c r="M985" s="6"/>
      <c r="N985" s="6"/>
      <c r="O985" s="6"/>
      <c r="P985" s="6"/>
      <c r="Q985" s="6"/>
      <c r="R985" s="12"/>
    </row>
    <row r="986" customFormat="false" ht="15" hidden="false" customHeight="true" outlineLevel="0" collapsed="false">
      <c r="A986" s="6"/>
      <c r="B986" s="6"/>
      <c r="C986" s="6"/>
      <c r="D986" s="6"/>
      <c r="E986" s="13"/>
      <c r="F986" s="6"/>
      <c r="G986" s="11" t="str">
        <f aca="true">IF(F986="","",YEAR(TODAY())-F986)</f>
        <v/>
      </c>
      <c r="H986" s="11" t="str">
        <f aca="false">IF(C986="","",IF(G986="","Thiếu thông tin",IF(G986&lt;6,"Trẻ em",IF(G986&lt;23,"Học sinh / Sinh viên",IF(G986&lt;60,"Đang đi làm","Nghỉ hưu")))))</f>
        <v/>
      </c>
      <c r="I986" s="6"/>
      <c r="J986" s="11" t="str">
        <f aca="false">IF(B986="","",IFERROR(INDEX('Hộ gia đình'!$B$2:$B$2000,MATCH(B986,'Hộ gia đình'!$A$2:$A$2000,0)),"Mã hộ không tồn tại"))</f>
        <v/>
      </c>
      <c r="K986" s="14"/>
      <c r="L986" s="14"/>
      <c r="M986" s="6"/>
      <c r="N986" s="6"/>
      <c r="O986" s="6"/>
      <c r="P986" s="6"/>
      <c r="Q986" s="6"/>
      <c r="R986" s="12"/>
    </row>
    <row r="987" customFormat="false" ht="15" hidden="false" customHeight="true" outlineLevel="0" collapsed="false">
      <c r="A987" s="6"/>
      <c r="B987" s="6"/>
      <c r="C987" s="6"/>
      <c r="D987" s="6"/>
      <c r="E987" s="13"/>
      <c r="F987" s="6"/>
      <c r="G987" s="11" t="str">
        <f aca="true">IF(F987="","",YEAR(TODAY())-F987)</f>
        <v/>
      </c>
      <c r="H987" s="11" t="str">
        <f aca="false">IF(C987="","",IF(G987="","Thiếu thông tin",IF(G987&lt;6,"Trẻ em",IF(G987&lt;23,"Học sinh / Sinh viên",IF(G987&lt;60,"Đang đi làm","Nghỉ hưu")))))</f>
        <v/>
      </c>
      <c r="I987" s="6"/>
      <c r="J987" s="11" t="str">
        <f aca="false">IF(B987="","",IFERROR(INDEX('Hộ gia đình'!$B$2:$B$2000,MATCH(B987,'Hộ gia đình'!$A$2:$A$2000,0)),"Mã hộ không tồn tại"))</f>
        <v/>
      </c>
      <c r="K987" s="14"/>
      <c r="L987" s="14"/>
      <c r="M987" s="6"/>
      <c r="N987" s="6"/>
      <c r="O987" s="6"/>
      <c r="P987" s="6"/>
      <c r="Q987" s="6"/>
      <c r="R987" s="12"/>
    </row>
    <row r="988" customFormat="false" ht="15" hidden="false" customHeight="true" outlineLevel="0" collapsed="false">
      <c r="A988" s="6"/>
      <c r="B988" s="6"/>
      <c r="C988" s="6"/>
      <c r="D988" s="6"/>
      <c r="E988" s="13"/>
      <c r="F988" s="6"/>
      <c r="G988" s="11" t="str">
        <f aca="true">IF(F988="","",YEAR(TODAY())-F988)</f>
        <v/>
      </c>
      <c r="H988" s="11" t="str">
        <f aca="false">IF(C988="","",IF(G988="","Thiếu thông tin",IF(G988&lt;6,"Trẻ em",IF(G988&lt;23,"Học sinh / Sinh viên",IF(G988&lt;60,"Đang đi làm","Nghỉ hưu")))))</f>
        <v/>
      </c>
      <c r="I988" s="6"/>
      <c r="J988" s="11" t="str">
        <f aca="false">IF(B988="","",IFERROR(INDEX('Hộ gia đình'!$B$2:$B$2000,MATCH(B988,'Hộ gia đình'!$A$2:$A$2000,0)),"Mã hộ không tồn tại"))</f>
        <v/>
      </c>
      <c r="K988" s="14"/>
      <c r="L988" s="14"/>
      <c r="M988" s="6"/>
      <c r="N988" s="6"/>
      <c r="O988" s="6"/>
      <c r="P988" s="6"/>
      <c r="Q988" s="6"/>
      <c r="R988" s="12"/>
    </row>
    <row r="989" customFormat="false" ht="15" hidden="false" customHeight="true" outlineLevel="0" collapsed="false">
      <c r="A989" s="6"/>
      <c r="B989" s="6"/>
      <c r="C989" s="6"/>
      <c r="D989" s="6"/>
      <c r="E989" s="13"/>
      <c r="F989" s="6"/>
      <c r="G989" s="11" t="str">
        <f aca="true">IF(F989="","",YEAR(TODAY())-F989)</f>
        <v/>
      </c>
      <c r="H989" s="11" t="str">
        <f aca="false">IF(C989="","",IF(G989="","Thiếu thông tin",IF(G989&lt;6,"Trẻ em",IF(G989&lt;23,"Học sinh / Sinh viên",IF(G989&lt;60,"Đang đi làm","Nghỉ hưu")))))</f>
        <v/>
      </c>
      <c r="I989" s="6"/>
      <c r="J989" s="11" t="str">
        <f aca="false">IF(B989="","",IFERROR(INDEX('Hộ gia đình'!$B$2:$B$2000,MATCH(B989,'Hộ gia đình'!$A$2:$A$2000,0)),"Mã hộ không tồn tại"))</f>
        <v/>
      </c>
      <c r="K989" s="14"/>
      <c r="L989" s="14"/>
      <c r="M989" s="6"/>
      <c r="N989" s="6"/>
      <c r="O989" s="6"/>
      <c r="P989" s="6"/>
      <c r="Q989" s="6"/>
      <c r="R989" s="12"/>
    </row>
    <row r="990" customFormat="false" ht="15" hidden="false" customHeight="true" outlineLevel="0" collapsed="false">
      <c r="A990" s="6"/>
      <c r="B990" s="6"/>
      <c r="C990" s="6"/>
      <c r="D990" s="6"/>
      <c r="E990" s="13"/>
      <c r="F990" s="6"/>
      <c r="G990" s="11" t="str">
        <f aca="true">IF(F990="","",YEAR(TODAY())-F990)</f>
        <v/>
      </c>
      <c r="H990" s="11" t="str">
        <f aca="false">IF(C990="","",IF(G990="","Thiếu thông tin",IF(G990&lt;6,"Trẻ em",IF(G990&lt;23,"Học sinh / Sinh viên",IF(G990&lt;60,"Đang đi làm","Nghỉ hưu")))))</f>
        <v/>
      </c>
      <c r="I990" s="6"/>
      <c r="J990" s="11" t="str">
        <f aca="false">IF(B990="","",IFERROR(INDEX('Hộ gia đình'!$B$2:$B$2000,MATCH(B990,'Hộ gia đình'!$A$2:$A$2000,0)),"Mã hộ không tồn tại"))</f>
        <v/>
      </c>
      <c r="K990" s="14"/>
      <c r="L990" s="14"/>
      <c r="M990" s="6"/>
      <c r="N990" s="6"/>
      <c r="O990" s="6"/>
      <c r="P990" s="6"/>
      <c r="Q990" s="6"/>
      <c r="R990" s="12"/>
    </row>
    <row r="991" customFormat="false" ht="15" hidden="false" customHeight="true" outlineLevel="0" collapsed="false">
      <c r="A991" s="6"/>
      <c r="B991" s="6"/>
      <c r="C991" s="6"/>
      <c r="D991" s="6"/>
      <c r="E991" s="13"/>
      <c r="F991" s="6"/>
      <c r="G991" s="11" t="str">
        <f aca="true">IF(F991="","",YEAR(TODAY())-F991)</f>
        <v/>
      </c>
      <c r="H991" s="11" t="str">
        <f aca="false">IF(C991="","",IF(G991="","Thiếu thông tin",IF(G991&lt;6,"Trẻ em",IF(G991&lt;23,"Học sinh / Sinh viên",IF(G991&lt;60,"Đang đi làm","Nghỉ hưu")))))</f>
        <v/>
      </c>
      <c r="I991" s="6"/>
      <c r="J991" s="11" t="str">
        <f aca="false">IF(B991="","",IFERROR(INDEX('Hộ gia đình'!$B$2:$B$2000,MATCH(B991,'Hộ gia đình'!$A$2:$A$2000,0)),"Mã hộ không tồn tại"))</f>
        <v/>
      </c>
      <c r="K991" s="14"/>
      <c r="L991" s="14"/>
      <c r="M991" s="6"/>
      <c r="N991" s="6"/>
      <c r="O991" s="6"/>
      <c r="P991" s="6"/>
      <c r="Q991" s="6"/>
      <c r="R991" s="12"/>
    </row>
    <row r="992" customFormat="false" ht="15" hidden="false" customHeight="true" outlineLevel="0" collapsed="false">
      <c r="A992" s="6"/>
      <c r="B992" s="6"/>
      <c r="C992" s="6"/>
      <c r="D992" s="6"/>
      <c r="E992" s="13"/>
      <c r="F992" s="6"/>
      <c r="G992" s="11" t="str">
        <f aca="true">IF(F992="","",YEAR(TODAY())-F992)</f>
        <v/>
      </c>
      <c r="H992" s="11" t="str">
        <f aca="false">IF(C992="","",IF(G992="","Thiếu thông tin",IF(G992&lt;6,"Trẻ em",IF(G992&lt;23,"Học sinh / Sinh viên",IF(G992&lt;60,"Đang đi làm","Nghỉ hưu")))))</f>
        <v/>
      </c>
      <c r="I992" s="6"/>
      <c r="J992" s="11" t="str">
        <f aca="false">IF(B992="","",IFERROR(INDEX('Hộ gia đình'!$B$2:$B$2000,MATCH(B992,'Hộ gia đình'!$A$2:$A$2000,0)),"Mã hộ không tồn tại"))</f>
        <v/>
      </c>
      <c r="K992" s="14"/>
      <c r="L992" s="14"/>
      <c r="M992" s="6"/>
      <c r="N992" s="6"/>
      <c r="O992" s="6"/>
      <c r="P992" s="6"/>
      <c r="Q992" s="6"/>
      <c r="R992" s="12"/>
    </row>
    <row r="993" customFormat="false" ht="15" hidden="false" customHeight="true" outlineLevel="0" collapsed="false">
      <c r="A993" s="6"/>
      <c r="B993" s="6"/>
      <c r="C993" s="6"/>
      <c r="D993" s="6"/>
      <c r="E993" s="13"/>
      <c r="F993" s="6"/>
      <c r="G993" s="11" t="str">
        <f aca="true">IF(F993="","",YEAR(TODAY())-F993)</f>
        <v/>
      </c>
      <c r="H993" s="11" t="str">
        <f aca="false">IF(C993="","",IF(G993="","Thiếu thông tin",IF(G993&lt;6,"Trẻ em",IF(G993&lt;23,"Học sinh / Sinh viên",IF(G993&lt;60,"Đang đi làm","Nghỉ hưu")))))</f>
        <v/>
      </c>
      <c r="I993" s="6"/>
      <c r="J993" s="11" t="str">
        <f aca="false">IF(B993="","",IFERROR(INDEX('Hộ gia đình'!$B$2:$B$2000,MATCH(B993,'Hộ gia đình'!$A$2:$A$2000,0)),"Mã hộ không tồn tại"))</f>
        <v/>
      </c>
      <c r="K993" s="14"/>
      <c r="L993" s="14"/>
      <c r="M993" s="6"/>
      <c r="N993" s="6"/>
      <c r="O993" s="6"/>
      <c r="P993" s="6"/>
      <c r="Q993" s="6"/>
      <c r="R993" s="12"/>
    </row>
    <row r="994" customFormat="false" ht="15" hidden="false" customHeight="true" outlineLevel="0" collapsed="false">
      <c r="A994" s="6"/>
      <c r="B994" s="6"/>
      <c r="C994" s="6"/>
      <c r="D994" s="6"/>
      <c r="E994" s="13"/>
      <c r="F994" s="6"/>
      <c r="G994" s="11" t="str">
        <f aca="true">IF(F994="","",YEAR(TODAY())-F994)</f>
        <v/>
      </c>
      <c r="H994" s="11" t="str">
        <f aca="false">IF(C994="","",IF(G994="","Thiếu thông tin",IF(G994&lt;6,"Trẻ em",IF(G994&lt;23,"Học sinh / Sinh viên",IF(G994&lt;60,"Đang đi làm","Nghỉ hưu")))))</f>
        <v/>
      </c>
      <c r="I994" s="6"/>
      <c r="J994" s="11" t="str">
        <f aca="false">IF(B994="","",IFERROR(INDEX('Hộ gia đình'!$B$2:$B$2000,MATCH(B994,'Hộ gia đình'!$A$2:$A$2000,0)),"Mã hộ không tồn tại"))</f>
        <v/>
      </c>
      <c r="K994" s="14"/>
      <c r="L994" s="14"/>
      <c r="M994" s="6"/>
      <c r="N994" s="6"/>
      <c r="O994" s="6"/>
      <c r="P994" s="6"/>
      <c r="Q994" s="6"/>
      <c r="R994" s="12"/>
    </row>
    <row r="995" customFormat="false" ht="15" hidden="false" customHeight="true" outlineLevel="0" collapsed="false">
      <c r="A995" s="6"/>
      <c r="B995" s="6"/>
      <c r="C995" s="6"/>
      <c r="D995" s="6"/>
      <c r="E995" s="13"/>
      <c r="F995" s="6"/>
      <c r="G995" s="11" t="str">
        <f aca="true">IF(F995="","",YEAR(TODAY())-F995)</f>
        <v/>
      </c>
      <c r="H995" s="11" t="str">
        <f aca="false">IF(C995="","",IF(G995="","Thiếu thông tin",IF(G995&lt;6,"Trẻ em",IF(G995&lt;23,"Học sinh / Sinh viên",IF(G995&lt;60,"Đang đi làm","Nghỉ hưu")))))</f>
        <v/>
      </c>
      <c r="I995" s="6"/>
      <c r="J995" s="11" t="str">
        <f aca="false">IF(B995="","",IFERROR(INDEX('Hộ gia đình'!$B$2:$B$2000,MATCH(B995,'Hộ gia đình'!$A$2:$A$2000,0)),"Mã hộ không tồn tại"))</f>
        <v/>
      </c>
      <c r="K995" s="14"/>
      <c r="L995" s="14"/>
      <c r="M995" s="6"/>
      <c r="N995" s="6"/>
      <c r="O995" s="6"/>
      <c r="P995" s="6"/>
      <c r="Q995" s="6"/>
      <c r="R995" s="12"/>
    </row>
    <row r="996" customFormat="false" ht="15" hidden="false" customHeight="true" outlineLevel="0" collapsed="false">
      <c r="A996" s="6"/>
      <c r="B996" s="6"/>
      <c r="C996" s="6"/>
      <c r="D996" s="6"/>
      <c r="E996" s="13"/>
      <c r="F996" s="6"/>
      <c r="G996" s="11" t="str">
        <f aca="true">IF(F996="","",YEAR(TODAY())-F996)</f>
        <v/>
      </c>
      <c r="H996" s="11" t="str">
        <f aca="false">IF(C996="","",IF(G996="","Thiếu thông tin",IF(G996&lt;6,"Trẻ em",IF(G996&lt;23,"Học sinh / Sinh viên",IF(G996&lt;60,"Đang đi làm","Nghỉ hưu")))))</f>
        <v/>
      </c>
      <c r="I996" s="6"/>
      <c r="J996" s="11" t="str">
        <f aca="false">IF(B996="","",IFERROR(INDEX('Hộ gia đình'!$B$2:$B$2000,MATCH(B996,'Hộ gia đình'!$A$2:$A$2000,0)),"Mã hộ không tồn tại"))</f>
        <v/>
      </c>
      <c r="K996" s="14"/>
      <c r="L996" s="14"/>
      <c r="M996" s="6"/>
      <c r="N996" s="6"/>
      <c r="O996" s="6"/>
      <c r="P996" s="6"/>
      <c r="Q996" s="6"/>
      <c r="R996" s="12"/>
    </row>
    <row r="997" customFormat="false" ht="15" hidden="false" customHeight="true" outlineLevel="0" collapsed="false">
      <c r="A997" s="6"/>
      <c r="B997" s="6"/>
      <c r="C997" s="6"/>
      <c r="D997" s="6"/>
      <c r="E997" s="13"/>
      <c r="F997" s="6"/>
      <c r="G997" s="11" t="str">
        <f aca="true">IF(F997="","",YEAR(TODAY())-F997)</f>
        <v/>
      </c>
      <c r="H997" s="11" t="str">
        <f aca="false">IF(C997="","",IF(G997="","Thiếu thông tin",IF(G997&lt;6,"Trẻ em",IF(G997&lt;23,"Học sinh / Sinh viên",IF(G997&lt;60,"Đang đi làm","Nghỉ hưu")))))</f>
        <v/>
      </c>
      <c r="I997" s="6"/>
      <c r="J997" s="11" t="str">
        <f aca="false">IF(B997="","",IFERROR(INDEX('Hộ gia đình'!$B$2:$B$2000,MATCH(B997,'Hộ gia đình'!$A$2:$A$2000,0)),"Mã hộ không tồn tại"))</f>
        <v/>
      </c>
      <c r="K997" s="14"/>
      <c r="L997" s="14"/>
      <c r="M997" s="6"/>
      <c r="N997" s="6"/>
      <c r="O997" s="6"/>
      <c r="P997" s="6"/>
      <c r="Q997" s="6"/>
      <c r="R997" s="12"/>
    </row>
    <row r="998" customFormat="false" ht="15" hidden="false" customHeight="true" outlineLevel="0" collapsed="false">
      <c r="A998" s="6"/>
      <c r="B998" s="6"/>
      <c r="C998" s="6"/>
      <c r="D998" s="6"/>
      <c r="E998" s="13"/>
      <c r="F998" s="6"/>
      <c r="G998" s="11" t="str">
        <f aca="true">IF(F998="","",YEAR(TODAY())-F998)</f>
        <v/>
      </c>
      <c r="H998" s="11" t="str">
        <f aca="false">IF(C998="","",IF(G998="","Thiếu thông tin",IF(G998&lt;6,"Trẻ em",IF(G998&lt;23,"Học sinh / Sinh viên",IF(G998&lt;60,"Đang đi làm","Nghỉ hưu")))))</f>
        <v/>
      </c>
      <c r="I998" s="6"/>
      <c r="J998" s="11" t="str">
        <f aca="false">IF(B998="","",IFERROR(INDEX('Hộ gia đình'!$B$2:$B$2000,MATCH(B998,'Hộ gia đình'!$A$2:$A$2000,0)),"Mã hộ không tồn tại"))</f>
        <v/>
      </c>
      <c r="K998" s="14"/>
      <c r="L998" s="14"/>
      <c r="M998" s="6"/>
      <c r="N998" s="6"/>
      <c r="O998" s="6"/>
      <c r="P998" s="6"/>
      <c r="Q998" s="6"/>
      <c r="R998" s="12"/>
    </row>
    <row r="999" customFormat="false" ht="15" hidden="false" customHeight="true" outlineLevel="0" collapsed="false">
      <c r="A999" s="6"/>
      <c r="B999" s="6"/>
      <c r="C999" s="6"/>
      <c r="D999" s="6"/>
      <c r="E999" s="13"/>
      <c r="F999" s="6"/>
      <c r="G999" s="11" t="str">
        <f aca="true">IF(F999="","",YEAR(TODAY())-F999)</f>
        <v/>
      </c>
      <c r="H999" s="11" t="str">
        <f aca="false">IF(C999="","",IF(G999="","Thiếu thông tin",IF(G999&lt;6,"Trẻ em",IF(G999&lt;23,"Học sinh / Sinh viên",IF(G999&lt;60,"Đang đi làm","Nghỉ hưu")))))</f>
        <v/>
      </c>
      <c r="I999" s="6"/>
      <c r="J999" s="11" t="str">
        <f aca="false">IF(B999="","",IFERROR(INDEX('Hộ gia đình'!$B$2:$B$2000,MATCH(B999,'Hộ gia đình'!$A$2:$A$2000,0)),"Mã hộ không tồn tại"))</f>
        <v/>
      </c>
      <c r="K999" s="14"/>
      <c r="L999" s="14"/>
      <c r="M999" s="6"/>
      <c r="N999" s="6"/>
      <c r="O999" s="6"/>
      <c r="P999" s="6"/>
      <c r="Q999" s="6"/>
      <c r="R999" s="12"/>
    </row>
    <row r="1000" customFormat="false" ht="15" hidden="false" customHeight="true" outlineLevel="0" collapsed="false">
      <c r="A1000" s="6"/>
      <c r="B1000" s="6"/>
      <c r="C1000" s="6"/>
      <c r="D1000" s="6"/>
      <c r="E1000" s="13"/>
      <c r="F1000" s="6"/>
      <c r="G1000" s="11" t="str">
        <f aca="true">IF(F1000="","",YEAR(TODAY())-F1000)</f>
        <v/>
      </c>
      <c r="H1000" s="11" t="str">
        <f aca="false">IF(C1000="","",IF(G1000="","Thiếu thông tin",IF(G1000&lt;6,"Trẻ em",IF(G1000&lt;23,"Học sinh / Sinh viên",IF(G1000&lt;60,"Đang đi làm","Nghỉ hưu")))))</f>
        <v/>
      </c>
      <c r="I1000" s="6"/>
      <c r="J1000" s="11" t="str">
        <f aca="false">IF(B1000="","",IFERROR(INDEX('Hộ gia đình'!$B$2:$B$2000,MATCH(B1000,'Hộ gia đình'!$A$2:$A$2000,0)),"Mã hộ không tồn tại"))</f>
        <v/>
      </c>
      <c r="K1000" s="14"/>
      <c r="L1000" s="14"/>
      <c r="M1000" s="6"/>
      <c r="N1000" s="6"/>
      <c r="O1000" s="6"/>
      <c r="P1000" s="6"/>
      <c r="Q1000" s="6"/>
      <c r="R1000" s="12"/>
    </row>
    <row r="1001" customFormat="false" ht="15" hidden="false" customHeight="true" outlineLevel="0" collapsed="false">
      <c r="A1001" s="6"/>
      <c r="B1001" s="6"/>
      <c r="C1001" s="6"/>
      <c r="D1001" s="6"/>
      <c r="E1001" s="13"/>
      <c r="F1001" s="6"/>
      <c r="G1001" s="11" t="str">
        <f aca="true">IF(F1001="","",YEAR(TODAY())-F1001)</f>
        <v/>
      </c>
      <c r="H1001" s="11" t="str">
        <f aca="false">IF(C1001="","",IF(G1001="","Thiếu thông tin",IF(G1001&lt;6,"Trẻ em",IF(G1001&lt;23,"Học sinh / Sinh viên",IF(G1001&lt;60,"Đang đi làm","Nghỉ hưu")))))</f>
        <v/>
      </c>
      <c r="I1001" s="6"/>
      <c r="J1001" s="11" t="str">
        <f aca="false">IF(B1001="","",IFERROR(INDEX('Hộ gia đình'!$B$2:$B$2000,MATCH(B1001,'Hộ gia đình'!$A$2:$A$2000,0)),"Mã hộ không tồn tại"))</f>
        <v/>
      </c>
      <c r="K1001" s="14"/>
      <c r="L1001" s="14"/>
      <c r="M1001" s="6"/>
      <c r="N1001" s="6"/>
      <c r="O1001" s="6"/>
      <c r="P1001" s="6"/>
      <c r="Q1001" s="6"/>
      <c r="R1001" s="12"/>
    </row>
    <row r="1002" customFormat="false" ht="15" hidden="false" customHeight="true" outlineLevel="0" collapsed="false">
      <c r="A1002" s="6"/>
      <c r="B1002" s="6"/>
      <c r="C1002" s="6"/>
      <c r="D1002" s="6"/>
      <c r="E1002" s="13"/>
      <c r="F1002" s="6"/>
      <c r="G1002" s="11" t="str">
        <f aca="true">IF(F1002="","",YEAR(TODAY())-F1002)</f>
        <v/>
      </c>
      <c r="H1002" s="11" t="str">
        <f aca="false">IF(C1002="","",IF(G1002="","Thiếu thông tin",IF(G1002&lt;6,"Trẻ em",IF(G1002&lt;23,"Học sinh / Sinh viên",IF(G1002&lt;60,"Đang đi làm","Nghỉ hưu")))))</f>
        <v/>
      </c>
      <c r="I1002" s="6"/>
      <c r="J1002" s="11" t="str">
        <f aca="false">IF(B1002="","",IFERROR(INDEX('Hộ gia đình'!$B$2:$B$2000,MATCH(B1002,'Hộ gia đình'!$A$2:$A$2000,0)),"Mã hộ không tồn tại"))</f>
        <v/>
      </c>
      <c r="K1002" s="14"/>
      <c r="L1002" s="14"/>
      <c r="M1002" s="6"/>
      <c r="N1002" s="6"/>
      <c r="O1002" s="6"/>
      <c r="P1002" s="6"/>
      <c r="Q1002" s="6"/>
      <c r="R1002" s="12"/>
    </row>
    <row r="1003" customFormat="false" ht="15" hidden="false" customHeight="true" outlineLevel="0" collapsed="false">
      <c r="A1003" s="6"/>
      <c r="B1003" s="6"/>
      <c r="C1003" s="6"/>
      <c r="D1003" s="6"/>
      <c r="E1003" s="13"/>
      <c r="F1003" s="6"/>
      <c r="G1003" s="11" t="str">
        <f aca="true">IF(F1003="","",YEAR(TODAY())-F1003)</f>
        <v/>
      </c>
      <c r="H1003" s="11" t="str">
        <f aca="false">IF(C1003="","",IF(G1003="","Thiếu thông tin",IF(G1003&lt;6,"Trẻ em",IF(G1003&lt;23,"Học sinh / Sinh viên",IF(G1003&lt;60,"Đang đi làm","Nghỉ hưu")))))</f>
        <v/>
      </c>
      <c r="I1003" s="6"/>
      <c r="J1003" s="11" t="str">
        <f aca="false">IF(B1003="","",IFERROR(INDEX('Hộ gia đình'!$B$2:$B$2000,MATCH(B1003,'Hộ gia đình'!$A$2:$A$2000,0)),"Mã hộ không tồn tại"))</f>
        <v/>
      </c>
      <c r="K1003" s="14"/>
      <c r="L1003" s="14"/>
      <c r="M1003" s="6"/>
      <c r="N1003" s="6"/>
      <c r="O1003" s="6"/>
      <c r="P1003" s="6"/>
      <c r="Q1003" s="6"/>
      <c r="R1003" s="12"/>
    </row>
    <row r="1004" customFormat="false" ht="15" hidden="false" customHeight="true" outlineLevel="0" collapsed="false">
      <c r="A1004" s="6"/>
      <c r="B1004" s="6"/>
      <c r="C1004" s="6"/>
      <c r="D1004" s="6"/>
      <c r="E1004" s="13"/>
      <c r="F1004" s="6"/>
      <c r="G1004" s="11" t="str">
        <f aca="true">IF(F1004="","",YEAR(TODAY())-F1004)</f>
        <v/>
      </c>
      <c r="H1004" s="11" t="str">
        <f aca="false">IF(C1004="","",IF(G1004="","Thiếu thông tin",IF(G1004&lt;6,"Trẻ em",IF(G1004&lt;23,"Học sinh / Sinh viên",IF(G1004&lt;60,"Đang đi làm","Nghỉ hưu")))))</f>
        <v/>
      </c>
      <c r="I1004" s="6"/>
      <c r="J1004" s="11" t="str">
        <f aca="false">IF(B1004="","",IFERROR(INDEX('Hộ gia đình'!$B$2:$B$2000,MATCH(B1004,'Hộ gia đình'!$A$2:$A$2000,0)),"Mã hộ không tồn tại"))</f>
        <v/>
      </c>
      <c r="K1004" s="14"/>
      <c r="L1004" s="14"/>
      <c r="M1004" s="6"/>
      <c r="N1004" s="6"/>
      <c r="O1004" s="6"/>
      <c r="P1004" s="6"/>
      <c r="Q1004" s="6"/>
      <c r="R1004" s="12"/>
    </row>
    <row r="1005" customFormat="false" ht="15" hidden="false" customHeight="true" outlineLevel="0" collapsed="false">
      <c r="A1005" s="6"/>
      <c r="B1005" s="6"/>
      <c r="C1005" s="6"/>
      <c r="D1005" s="6"/>
      <c r="E1005" s="13"/>
      <c r="F1005" s="6"/>
      <c r="G1005" s="11" t="str">
        <f aca="true">IF(F1005="","",YEAR(TODAY())-F1005)</f>
        <v/>
      </c>
      <c r="H1005" s="11" t="str">
        <f aca="false">IF(C1005="","",IF(G1005="","Thiếu thông tin",IF(G1005&lt;6,"Trẻ em",IF(G1005&lt;23,"Học sinh / Sinh viên",IF(G1005&lt;60,"Đang đi làm","Nghỉ hưu")))))</f>
        <v/>
      </c>
      <c r="I1005" s="6"/>
      <c r="J1005" s="11" t="str">
        <f aca="false">IF(B1005="","",IFERROR(INDEX('Hộ gia đình'!$B$2:$B$2000,MATCH(B1005,'Hộ gia đình'!$A$2:$A$2000,0)),"Mã hộ không tồn tại"))</f>
        <v/>
      </c>
      <c r="K1005" s="14"/>
      <c r="L1005" s="14"/>
      <c r="M1005" s="6"/>
      <c r="N1005" s="6"/>
      <c r="O1005" s="6"/>
      <c r="P1005" s="6"/>
      <c r="Q1005" s="6"/>
      <c r="R1005" s="12"/>
    </row>
    <row r="1006" customFormat="false" ht="15" hidden="false" customHeight="true" outlineLevel="0" collapsed="false">
      <c r="A1006" s="6"/>
      <c r="B1006" s="6"/>
      <c r="C1006" s="6"/>
      <c r="D1006" s="6"/>
      <c r="E1006" s="13"/>
      <c r="F1006" s="6"/>
      <c r="G1006" s="11" t="str">
        <f aca="true">IF(F1006="","",YEAR(TODAY())-F1006)</f>
        <v/>
      </c>
      <c r="H1006" s="11" t="str">
        <f aca="false">IF(C1006="","",IF(G1006="","Thiếu thông tin",IF(G1006&lt;6,"Trẻ em",IF(G1006&lt;23,"Học sinh / Sinh viên",IF(G1006&lt;60,"Đang đi làm","Nghỉ hưu")))))</f>
        <v/>
      </c>
      <c r="I1006" s="6"/>
      <c r="J1006" s="11" t="str">
        <f aca="false">IF(B1006="","",IFERROR(INDEX('Hộ gia đình'!$B$2:$B$2000,MATCH(B1006,'Hộ gia đình'!$A$2:$A$2000,0)),"Mã hộ không tồn tại"))</f>
        <v/>
      </c>
      <c r="K1006" s="14"/>
      <c r="L1006" s="14"/>
      <c r="M1006" s="6"/>
      <c r="N1006" s="6"/>
      <c r="O1006" s="6"/>
      <c r="P1006" s="6"/>
      <c r="Q1006" s="6"/>
      <c r="R1006" s="12"/>
    </row>
    <row r="1007" customFormat="false" ht="15" hidden="false" customHeight="true" outlineLevel="0" collapsed="false">
      <c r="A1007" s="6"/>
      <c r="B1007" s="6"/>
      <c r="C1007" s="6"/>
      <c r="D1007" s="6"/>
      <c r="E1007" s="13"/>
      <c r="F1007" s="6"/>
      <c r="G1007" s="11" t="str">
        <f aca="true">IF(F1007="","",YEAR(TODAY())-F1007)</f>
        <v/>
      </c>
      <c r="H1007" s="11" t="str">
        <f aca="false">IF(C1007="","",IF(G1007="","Thiếu thông tin",IF(G1007&lt;6,"Trẻ em",IF(G1007&lt;23,"Học sinh / Sinh viên",IF(G1007&lt;60,"Đang đi làm","Nghỉ hưu")))))</f>
        <v/>
      </c>
      <c r="I1007" s="6"/>
      <c r="J1007" s="11" t="str">
        <f aca="false">IF(B1007="","",IFERROR(INDEX('Hộ gia đình'!$B$2:$B$2000,MATCH(B1007,'Hộ gia đình'!$A$2:$A$2000,0)),"Mã hộ không tồn tại"))</f>
        <v/>
      </c>
      <c r="K1007" s="14"/>
      <c r="L1007" s="14"/>
      <c r="M1007" s="6"/>
      <c r="N1007" s="6"/>
      <c r="O1007" s="6"/>
      <c r="P1007" s="6"/>
      <c r="Q1007" s="6"/>
      <c r="R1007" s="12"/>
    </row>
    <row r="1008" customFormat="false" ht="15" hidden="false" customHeight="true" outlineLevel="0" collapsed="false">
      <c r="A1008" s="6"/>
      <c r="B1008" s="6"/>
      <c r="C1008" s="6"/>
      <c r="D1008" s="6"/>
      <c r="E1008" s="13"/>
      <c r="F1008" s="6"/>
      <c r="G1008" s="11" t="str">
        <f aca="true">IF(F1008="","",YEAR(TODAY())-F1008)</f>
        <v/>
      </c>
      <c r="H1008" s="11" t="str">
        <f aca="false">IF(C1008="","",IF(G1008="","Thiếu thông tin",IF(G1008&lt;6,"Trẻ em",IF(G1008&lt;23,"Học sinh / Sinh viên",IF(G1008&lt;60,"Đang đi làm","Nghỉ hưu")))))</f>
        <v/>
      </c>
      <c r="I1008" s="6"/>
      <c r="J1008" s="11" t="str">
        <f aca="false">IF(B1008="","",IFERROR(INDEX('Hộ gia đình'!$B$2:$B$2000,MATCH(B1008,'Hộ gia đình'!$A$2:$A$2000,0)),"Mã hộ không tồn tại"))</f>
        <v/>
      </c>
      <c r="K1008" s="14"/>
      <c r="L1008" s="14"/>
      <c r="M1008" s="6"/>
      <c r="N1008" s="6"/>
      <c r="O1008" s="6"/>
      <c r="P1008" s="6"/>
      <c r="Q1008" s="6"/>
      <c r="R1008" s="12"/>
    </row>
    <row r="1009" customFormat="false" ht="15" hidden="false" customHeight="true" outlineLevel="0" collapsed="false">
      <c r="A1009" s="6"/>
      <c r="B1009" s="6"/>
      <c r="C1009" s="6"/>
      <c r="D1009" s="6"/>
      <c r="E1009" s="13"/>
      <c r="F1009" s="6"/>
      <c r="G1009" s="11" t="str">
        <f aca="true">IF(F1009="","",YEAR(TODAY())-F1009)</f>
        <v/>
      </c>
      <c r="H1009" s="11" t="str">
        <f aca="false">IF(C1009="","",IF(G1009="","Thiếu thông tin",IF(G1009&lt;6,"Trẻ em",IF(G1009&lt;23,"Học sinh / Sinh viên",IF(G1009&lt;60,"Đang đi làm","Nghỉ hưu")))))</f>
        <v/>
      </c>
      <c r="I1009" s="6"/>
      <c r="J1009" s="11" t="str">
        <f aca="false">IF(B1009="","",IFERROR(INDEX('Hộ gia đình'!$B$2:$B$2000,MATCH(B1009,'Hộ gia đình'!$A$2:$A$2000,0)),"Mã hộ không tồn tại"))</f>
        <v/>
      </c>
      <c r="K1009" s="14"/>
      <c r="L1009" s="14"/>
      <c r="M1009" s="6"/>
      <c r="N1009" s="6"/>
      <c r="O1009" s="6"/>
      <c r="P1009" s="6"/>
      <c r="Q1009" s="6"/>
      <c r="R1009" s="12"/>
    </row>
    <row r="1010" customFormat="false" ht="15" hidden="false" customHeight="true" outlineLevel="0" collapsed="false">
      <c r="A1010" s="6"/>
      <c r="B1010" s="6"/>
      <c r="C1010" s="6"/>
      <c r="D1010" s="6"/>
      <c r="E1010" s="13"/>
      <c r="F1010" s="6"/>
      <c r="G1010" s="11" t="str">
        <f aca="true">IF(F1010="","",YEAR(TODAY())-F1010)</f>
        <v/>
      </c>
      <c r="H1010" s="11" t="str">
        <f aca="false">IF(C1010="","",IF(G1010="","Thiếu thông tin",IF(G1010&lt;6,"Trẻ em",IF(G1010&lt;23,"Học sinh / Sinh viên",IF(G1010&lt;60,"Đang đi làm","Nghỉ hưu")))))</f>
        <v/>
      </c>
      <c r="I1010" s="6"/>
      <c r="J1010" s="11" t="str">
        <f aca="false">IF(B1010="","",IFERROR(INDEX('Hộ gia đình'!$B$2:$B$2000,MATCH(B1010,'Hộ gia đình'!$A$2:$A$2000,0)),"Mã hộ không tồn tại"))</f>
        <v/>
      </c>
      <c r="K1010" s="14"/>
      <c r="L1010" s="14"/>
      <c r="M1010" s="6"/>
      <c r="N1010" s="6"/>
      <c r="O1010" s="6"/>
      <c r="P1010" s="6"/>
      <c r="Q1010" s="6"/>
      <c r="R1010" s="12"/>
    </row>
    <row r="1011" customFormat="false" ht="15" hidden="false" customHeight="true" outlineLevel="0" collapsed="false">
      <c r="A1011" s="6"/>
      <c r="B1011" s="6"/>
      <c r="C1011" s="6"/>
      <c r="D1011" s="6"/>
      <c r="E1011" s="13"/>
      <c r="F1011" s="6"/>
      <c r="G1011" s="11" t="str">
        <f aca="true">IF(F1011="","",YEAR(TODAY())-F1011)</f>
        <v/>
      </c>
      <c r="H1011" s="11" t="str">
        <f aca="false">IF(C1011="","",IF(G1011="","Thiếu thông tin",IF(G1011&lt;6,"Trẻ em",IF(G1011&lt;23,"Học sinh / Sinh viên",IF(G1011&lt;60,"Đang đi làm","Nghỉ hưu")))))</f>
        <v/>
      </c>
      <c r="I1011" s="6"/>
      <c r="J1011" s="11" t="str">
        <f aca="false">IF(B1011="","",IFERROR(INDEX('Hộ gia đình'!$B$2:$B$2000,MATCH(B1011,'Hộ gia đình'!$A$2:$A$2000,0)),"Mã hộ không tồn tại"))</f>
        <v/>
      </c>
      <c r="K1011" s="14"/>
      <c r="L1011" s="14"/>
      <c r="M1011" s="6"/>
      <c r="N1011" s="6"/>
      <c r="O1011" s="6"/>
      <c r="P1011" s="6"/>
      <c r="Q1011" s="6"/>
      <c r="R1011" s="12"/>
    </row>
    <row r="1012" customFormat="false" ht="15" hidden="false" customHeight="true" outlineLevel="0" collapsed="false">
      <c r="A1012" s="6"/>
      <c r="B1012" s="6"/>
      <c r="C1012" s="6"/>
      <c r="D1012" s="6"/>
      <c r="E1012" s="13"/>
      <c r="F1012" s="6"/>
      <c r="G1012" s="11" t="str">
        <f aca="true">IF(F1012="","",YEAR(TODAY())-F1012)</f>
        <v/>
      </c>
      <c r="H1012" s="11" t="str">
        <f aca="false">IF(C1012="","",IF(G1012="","Thiếu thông tin",IF(G1012&lt;6,"Trẻ em",IF(G1012&lt;23,"Học sinh / Sinh viên",IF(G1012&lt;60,"Đang đi làm","Nghỉ hưu")))))</f>
        <v/>
      </c>
      <c r="I1012" s="6"/>
      <c r="J1012" s="11" t="str">
        <f aca="false">IF(B1012="","",IFERROR(INDEX('Hộ gia đình'!$B$2:$B$2000,MATCH(B1012,'Hộ gia đình'!$A$2:$A$2000,0)),"Mã hộ không tồn tại"))</f>
        <v/>
      </c>
      <c r="K1012" s="14"/>
      <c r="L1012" s="14"/>
      <c r="M1012" s="6"/>
      <c r="N1012" s="6"/>
      <c r="O1012" s="6"/>
      <c r="P1012" s="6"/>
      <c r="Q1012" s="6"/>
      <c r="R1012" s="12"/>
    </row>
    <row r="1013" customFormat="false" ht="15" hidden="false" customHeight="true" outlineLevel="0" collapsed="false">
      <c r="A1013" s="6"/>
      <c r="B1013" s="6"/>
      <c r="C1013" s="6"/>
      <c r="D1013" s="6"/>
      <c r="E1013" s="13"/>
      <c r="F1013" s="6"/>
      <c r="G1013" s="11" t="str">
        <f aca="true">IF(F1013="","",YEAR(TODAY())-F1013)</f>
        <v/>
      </c>
      <c r="H1013" s="11" t="str">
        <f aca="false">IF(C1013="","",IF(G1013="","Thiếu thông tin",IF(G1013&lt;6,"Trẻ em",IF(G1013&lt;23,"Học sinh / Sinh viên",IF(G1013&lt;60,"Đang đi làm","Nghỉ hưu")))))</f>
        <v/>
      </c>
      <c r="I1013" s="6"/>
      <c r="J1013" s="11" t="str">
        <f aca="false">IF(B1013="","",IFERROR(INDEX('Hộ gia đình'!$B$2:$B$2000,MATCH(B1013,'Hộ gia đình'!$A$2:$A$2000,0)),"Mã hộ không tồn tại"))</f>
        <v/>
      </c>
      <c r="K1013" s="14"/>
      <c r="L1013" s="14"/>
      <c r="M1013" s="6"/>
      <c r="N1013" s="6"/>
      <c r="O1013" s="6"/>
      <c r="P1013" s="6"/>
      <c r="Q1013" s="6"/>
      <c r="R1013" s="12"/>
    </row>
    <row r="1014" customFormat="false" ht="15" hidden="false" customHeight="true" outlineLevel="0" collapsed="false">
      <c r="A1014" s="6"/>
      <c r="B1014" s="6"/>
      <c r="C1014" s="6"/>
      <c r="D1014" s="6"/>
      <c r="E1014" s="13"/>
      <c r="F1014" s="6"/>
      <c r="G1014" s="11" t="str">
        <f aca="true">IF(F1014="","",YEAR(TODAY())-F1014)</f>
        <v/>
      </c>
      <c r="H1014" s="11" t="str">
        <f aca="false">IF(C1014="","",IF(G1014="","Thiếu thông tin",IF(G1014&lt;6,"Trẻ em",IF(G1014&lt;23,"Học sinh / Sinh viên",IF(G1014&lt;60,"Đang đi làm","Nghỉ hưu")))))</f>
        <v/>
      </c>
      <c r="I1014" s="6"/>
      <c r="J1014" s="11" t="str">
        <f aca="false">IF(B1014="","",IFERROR(INDEX('Hộ gia đình'!$B$2:$B$2000,MATCH(B1014,'Hộ gia đình'!$A$2:$A$2000,0)),"Mã hộ không tồn tại"))</f>
        <v/>
      </c>
      <c r="K1014" s="14"/>
      <c r="L1014" s="14"/>
      <c r="M1014" s="6"/>
      <c r="N1014" s="6"/>
      <c r="O1014" s="6"/>
      <c r="P1014" s="6"/>
      <c r="Q1014" s="6"/>
      <c r="R1014" s="12"/>
    </row>
    <row r="1015" customFormat="false" ht="15" hidden="false" customHeight="true" outlineLevel="0" collapsed="false">
      <c r="A1015" s="6"/>
      <c r="B1015" s="6"/>
      <c r="C1015" s="6"/>
      <c r="D1015" s="6"/>
      <c r="E1015" s="13"/>
      <c r="F1015" s="6"/>
      <c r="G1015" s="11" t="str">
        <f aca="true">IF(F1015="","",YEAR(TODAY())-F1015)</f>
        <v/>
      </c>
      <c r="H1015" s="11" t="str">
        <f aca="false">IF(C1015="","",IF(G1015="","Thiếu thông tin",IF(G1015&lt;6,"Trẻ em",IF(G1015&lt;23,"Học sinh / Sinh viên",IF(G1015&lt;60,"Đang đi làm","Nghỉ hưu")))))</f>
        <v/>
      </c>
      <c r="I1015" s="6"/>
      <c r="J1015" s="11" t="str">
        <f aca="false">IF(B1015="","",IFERROR(INDEX('Hộ gia đình'!$B$2:$B$2000,MATCH(B1015,'Hộ gia đình'!$A$2:$A$2000,0)),"Mã hộ không tồn tại"))</f>
        <v/>
      </c>
      <c r="K1015" s="14"/>
      <c r="L1015" s="14"/>
      <c r="M1015" s="6"/>
      <c r="N1015" s="6"/>
      <c r="O1015" s="6"/>
      <c r="P1015" s="6"/>
      <c r="Q1015" s="6"/>
      <c r="R1015" s="12"/>
    </row>
    <row r="1016" customFormat="false" ht="15" hidden="false" customHeight="true" outlineLevel="0" collapsed="false">
      <c r="A1016" s="6"/>
      <c r="B1016" s="6"/>
      <c r="C1016" s="6"/>
      <c r="D1016" s="6"/>
      <c r="E1016" s="13"/>
      <c r="F1016" s="6"/>
      <c r="G1016" s="11" t="str">
        <f aca="true">IF(F1016="","",YEAR(TODAY())-F1016)</f>
        <v/>
      </c>
      <c r="H1016" s="11" t="str">
        <f aca="false">IF(C1016="","",IF(G1016="","Thiếu thông tin",IF(G1016&lt;6,"Trẻ em",IF(G1016&lt;23,"Học sinh / Sinh viên",IF(G1016&lt;60,"Đang đi làm","Nghỉ hưu")))))</f>
        <v/>
      </c>
      <c r="I1016" s="6"/>
      <c r="J1016" s="11" t="str">
        <f aca="false">IF(B1016="","",IFERROR(INDEX('Hộ gia đình'!$B$2:$B$2000,MATCH(B1016,'Hộ gia đình'!$A$2:$A$2000,0)),"Mã hộ không tồn tại"))</f>
        <v/>
      </c>
      <c r="K1016" s="14"/>
      <c r="L1016" s="14"/>
      <c r="M1016" s="6"/>
      <c r="N1016" s="6"/>
      <c r="O1016" s="6"/>
      <c r="P1016" s="6"/>
      <c r="Q1016" s="6"/>
      <c r="R1016" s="12"/>
    </row>
    <row r="1017" customFormat="false" ht="15" hidden="false" customHeight="true" outlineLevel="0" collapsed="false">
      <c r="A1017" s="6"/>
      <c r="B1017" s="6"/>
      <c r="C1017" s="6"/>
      <c r="D1017" s="6"/>
      <c r="E1017" s="13"/>
      <c r="F1017" s="6"/>
      <c r="G1017" s="11" t="str">
        <f aca="true">IF(F1017="","",YEAR(TODAY())-F1017)</f>
        <v/>
      </c>
      <c r="H1017" s="11" t="str">
        <f aca="false">IF(C1017="","",IF(G1017="","Thiếu thông tin",IF(G1017&lt;6,"Trẻ em",IF(G1017&lt;23,"Học sinh / Sinh viên",IF(G1017&lt;60,"Đang đi làm","Nghỉ hưu")))))</f>
        <v/>
      </c>
      <c r="I1017" s="6"/>
      <c r="J1017" s="11" t="str">
        <f aca="false">IF(B1017="","",IFERROR(INDEX('Hộ gia đình'!$B$2:$B$2000,MATCH(B1017,'Hộ gia đình'!$A$2:$A$2000,0)),"Mã hộ không tồn tại"))</f>
        <v/>
      </c>
      <c r="K1017" s="14"/>
      <c r="L1017" s="14"/>
      <c r="M1017" s="6"/>
      <c r="N1017" s="6"/>
      <c r="O1017" s="6"/>
      <c r="P1017" s="6"/>
      <c r="Q1017" s="6"/>
      <c r="R1017" s="12"/>
    </row>
    <row r="1018" customFormat="false" ht="15" hidden="false" customHeight="true" outlineLevel="0" collapsed="false">
      <c r="A1018" s="6"/>
      <c r="B1018" s="6"/>
      <c r="C1018" s="6"/>
      <c r="D1018" s="6"/>
      <c r="E1018" s="13"/>
      <c r="F1018" s="6"/>
      <c r="G1018" s="11" t="str">
        <f aca="true">IF(F1018="","",YEAR(TODAY())-F1018)</f>
        <v/>
      </c>
      <c r="H1018" s="11" t="str">
        <f aca="false">IF(C1018="","",IF(G1018="","Thiếu thông tin",IF(G1018&lt;6,"Trẻ em",IF(G1018&lt;23,"Học sinh / Sinh viên",IF(G1018&lt;60,"Đang đi làm","Nghỉ hưu")))))</f>
        <v/>
      </c>
      <c r="I1018" s="6"/>
      <c r="J1018" s="11" t="str">
        <f aca="false">IF(B1018="","",IFERROR(INDEX('Hộ gia đình'!$B$2:$B$2000,MATCH(B1018,'Hộ gia đình'!$A$2:$A$2000,0)),"Mã hộ không tồn tại"))</f>
        <v/>
      </c>
      <c r="K1018" s="14"/>
      <c r="L1018" s="14"/>
      <c r="M1018" s="6"/>
      <c r="N1018" s="6"/>
      <c r="O1018" s="6"/>
      <c r="P1018" s="6"/>
      <c r="Q1018" s="6"/>
      <c r="R1018" s="12"/>
    </row>
    <row r="1019" customFormat="false" ht="15" hidden="false" customHeight="true" outlineLevel="0" collapsed="false">
      <c r="A1019" s="6"/>
      <c r="B1019" s="6"/>
      <c r="C1019" s="6"/>
      <c r="D1019" s="6"/>
      <c r="E1019" s="13"/>
      <c r="F1019" s="6"/>
      <c r="G1019" s="11" t="str">
        <f aca="true">IF(F1019="","",YEAR(TODAY())-F1019)</f>
        <v/>
      </c>
      <c r="H1019" s="11" t="str">
        <f aca="false">IF(C1019="","",IF(G1019="","Thiếu thông tin",IF(G1019&lt;6,"Trẻ em",IF(G1019&lt;23,"Học sinh / Sinh viên",IF(G1019&lt;60,"Đang đi làm","Nghỉ hưu")))))</f>
        <v/>
      </c>
      <c r="I1019" s="6"/>
      <c r="J1019" s="11" t="str">
        <f aca="false">IF(B1019="","",IFERROR(INDEX('Hộ gia đình'!$B$2:$B$2000,MATCH(B1019,'Hộ gia đình'!$A$2:$A$2000,0)),"Mã hộ không tồn tại"))</f>
        <v/>
      </c>
      <c r="K1019" s="14"/>
      <c r="L1019" s="14"/>
      <c r="M1019" s="6"/>
      <c r="N1019" s="6"/>
      <c r="O1019" s="6"/>
      <c r="P1019" s="6"/>
      <c r="Q1019" s="6"/>
      <c r="R1019" s="12"/>
    </row>
    <row r="1020" customFormat="false" ht="15" hidden="false" customHeight="true" outlineLevel="0" collapsed="false">
      <c r="A1020" s="6"/>
      <c r="B1020" s="6"/>
      <c r="C1020" s="6"/>
      <c r="D1020" s="6"/>
      <c r="E1020" s="13"/>
      <c r="F1020" s="6"/>
      <c r="G1020" s="11" t="str">
        <f aca="true">IF(F1020="","",YEAR(TODAY())-F1020)</f>
        <v/>
      </c>
      <c r="H1020" s="11" t="str">
        <f aca="false">IF(C1020="","",IF(G1020="","Thiếu thông tin",IF(G1020&lt;6,"Trẻ em",IF(G1020&lt;23,"Học sinh / Sinh viên",IF(G1020&lt;60,"Đang đi làm","Nghỉ hưu")))))</f>
        <v/>
      </c>
      <c r="I1020" s="6"/>
      <c r="J1020" s="11" t="str">
        <f aca="false">IF(B1020="","",IFERROR(INDEX('Hộ gia đình'!$B$2:$B$2000,MATCH(B1020,'Hộ gia đình'!$A$2:$A$2000,0)),"Mã hộ không tồn tại"))</f>
        <v/>
      </c>
      <c r="K1020" s="14"/>
      <c r="L1020" s="14"/>
      <c r="M1020" s="6"/>
      <c r="N1020" s="6"/>
      <c r="O1020" s="6"/>
      <c r="P1020" s="6"/>
      <c r="Q1020" s="6"/>
      <c r="R1020" s="12"/>
    </row>
    <row r="1021" customFormat="false" ht="15" hidden="false" customHeight="true" outlineLevel="0" collapsed="false">
      <c r="A1021" s="6"/>
      <c r="B1021" s="6"/>
      <c r="C1021" s="6"/>
      <c r="D1021" s="6"/>
      <c r="E1021" s="13"/>
      <c r="F1021" s="6"/>
      <c r="G1021" s="11" t="str">
        <f aca="true">IF(F1021="","",YEAR(TODAY())-F1021)</f>
        <v/>
      </c>
      <c r="H1021" s="11" t="str">
        <f aca="false">IF(C1021="","",IF(G1021="","Thiếu thông tin",IF(G1021&lt;6,"Trẻ em",IF(G1021&lt;23,"Học sinh / Sinh viên",IF(G1021&lt;60,"Đang đi làm","Nghỉ hưu")))))</f>
        <v/>
      </c>
      <c r="I1021" s="6"/>
      <c r="J1021" s="11" t="str">
        <f aca="false">IF(B1021="","",IFERROR(INDEX('Hộ gia đình'!$B$2:$B$2000,MATCH(B1021,'Hộ gia đình'!$A$2:$A$2000,0)),"Mã hộ không tồn tại"))</f>
        <v/>
      </c>
      <c r="K1021" s="14"/>
      <c r="L1021" s="14"/>
      <c r="M1021" s="6"/>
      <c r="N1021" s="6"/>
      <c r="O1021" s="6"/>
      <c r="P1021" s="6"/>
      <c r="Q1021" s="6"/>
      <c r="R1021" s="12"/>
    </row>
    <row r="1022" customFormat="false" ht="15" hidden="false" customHeight="true" outlineLevel="0" collapsed="false">
      <c r="A1022" s="6"/>
      <c r="B1022" s="6"/>
      <c r="C1022" s="6"/>
      <c r="D1022" s="6"/>
      <c r="E1022" s="13"/>
      <c r="F1022" s="6"/>
      <c r="G1022" s="11" t="str">
        <f aca="true">IF(F1022="","",YEAR(TODAY())-F1022)</f>
        <v/>
      </c>
      <c r="H1022" s="11" t="str">
        <f aca="false">IF(C1022="","",IF(G1022="","Thiếu thông tin",IF(G1022&lt;6,"Trẻ em",IF(G1022&lt;23,"Học sinh / Sinh viên",IF(G1022&lt;60,"Đang đi làm","Nghỉ hưu")))))</f>
        <v/>
      </c>
      <c r="I1022" s="6"/>
      <c r="J1022" s="11" t="str">
        <f aca="false">IF(B1022="","",IFERROR(INDEX('Hộ gia đình'!$B$2:$B$2000,MATCH(B1022,'Hộ gia đình'!$A$2:$A$2000,0)),"Mã hộ không tồn tại"))</f>
        <v/>
      </c>
      <c r="K1022" s="14"/>
      <c r="L1022" s="14"/>
      <c r="M1022" s="6"/>
      <c r="N1022" s="6"/>
      <c r="O1022" s="6"/>
      <c r="P1022" s="6"/>
      <c r="Q1022" s="6"/>
      <c r="R1022" s="12"/>
    </row>
    <row r="1023" customFormat="false" ht="15" hidden="false" customHeight="true" outlineLevel="0" collapsed="false">
      <c r="A1023" s="6"/>
      <c r="B1023" s="6"/>
      <c r="C1023" s="6"/>
      <c r="D1023" s="6"/>
      <c r="E1023" s="13"/>
      <c r="F1023" s="6"/>
      <c r="G1023" s="11" t="str">
        <f aca="true">IF(F1023="","",YEAR(TODAY())-F1023)</f>
        <v/>
      </c>
      <c r="H1023" s="11" t="str">
        <f aca="false">IF(C1023="","",IF(G1023="","Thiếu thông tin",IF(G1023&lt;6,"Trẻ em",IF(G1023&lt;23,"Học sinh / Sinh viên",IF(G1023&lt;60,"Đang đi làm","Nghỉ hưu")))))</f>
        <v/>
      </c>
      <c r="I1023" s="6"/>
      <c r="J1023" s="11" t="str">
        <f aca="false">IF(B1023="","",IFERROR(INDEX('Hộ gia đình'!$B$2:$B$2000,MATCH(B1023,'Hộ gia đình'!$A$2:$A$2000,0)),"Mã hộ không tồn tại"))</f>
        <v/>
      </c>
      <c r="K1023" s="14"/>
      <c r="L1023" s="14"/>
      <c r="M1023" s="6"/>
      <c r="N1023" s="6"/>
      <c r="O1023" s="6"/>
      <c r="P1023" s="6"/>
      <c r="Q1023" s="6"/>
      <c r="R1023" s="12"/>
    </row>
    <row r="1024" customFormat="false" ht="15" hidden="false" customHeight="true" outlineLevel="0" collapsed="false">
      <c r="A1024" s="6"/>
      <c r="B1024" s="6"/>
      <c r="C1024" s="6"/>
      <c r="D1024" s="6"/>
      <c r="E1024" s="13"/>
      <c r="F1024" s="6"/>
      <c r="G1024" s="11" t="str">
        <f aca="true">IF(F1024="","",YEAR(TODAY())-F1024)</f>
        <v/>
      </c>
      <c r="H1024" s="11" t="str">
        <f aca="false">IF(C1024="","",IF(G1024="","Thiếu thông tin",IF(G1024&lt;6,"Trẻ em",IF(G1024&lt;23,"Học sinh / Sinh viên",IF(G1024&lt;60,"Đang đi làm","Nghỉ hưu")))))</f>
        <v/>
      </c>
      <c r="I1024" s="6"/>
      <c r="J1024" s="11" t="str">
        <f aca="false">IF(B1024="","",IFERROR(INDEX('Hộ gia đình'!$B$2:$B$2000,MATCH(B1024,'Hộ gia đình'!$A$2:$A$2000,0)),"Mã hộ không tồn tại"))</f>
        <v/>
      </c>
      <c r="K1024" s="14"/>
      <c r="L1024" s="14"/>
      <c r="M1024" s="6"/>
      <c r="N1024" s="6"/>
      <c r="O1024" s="6"/>
      <c r="P1024" s="6"/>
      <c r="Q1024" s="6"/>
      <c r="R1024" s="12"/>
    </row>
    <row r="1025" customFormat="false" ht="15" hidden="false" customHeight="true" outlineLevel="0" collapsed="false">
      <c r="A1025" s="6"/>
      <c r="B1025" s="6"/>
      <c r="C1025" s="6"/>
      <c r="D1025" s="6"/>
      <c r="E1025" s="13"/>
      <c r="F1025" s="6"/>
      <c r="G1025" s="11" t="str">
        <f aca="true">IF(F1025="","",YEAR(TODAY())-F1025)</f>
        <v/>
      </c>
      <c r="H1025" s="11" t="str">
        <f aca="false">IF(C1025="","",IF(G1025="","Thiếu thông tin",IF(G1025&lt;6,"Trẻ em",IF(G1025&lt;23,"Học sinh / Sinh viên",IF(G1025&lt;60,"Đang đi làm","Nghỉ hưu")))))</f>
        <v/>
      </c>
      <c r="I1025" s="6"/>
      <c r="J1025" s="11" t="str">
        <f aca="false">IF(B1025="","",IFERROR(INDEX('Hộ gia đình'!$B$2:$B$2000,MATCH(B1025,'Hộ gia đình'!$A$2:$A$2000,0)),"Mã hộ không tồn tại"))</f>
        <v/>
      </c>
      <c r="K1025" s="14"/>
      <c r="L1025" s="14"/>
      <c r="M1025" s="6"/>
      <c r="N1025" s="6"/>
      <c r="O1025" s="6"/>
      <c r="P1025" s="6"/>
      <c r="Q1025" s="6"/>
      <c r="R1025" s="12"/>
    </row>
    <row r="1026" customFormat="false" ht="15" hidden="false" customHeight="true" outlineLevel="0" collapsed="false">
      <c r="A1026" s="6"/>
      <c r="B1026" s="6"/>
      <c r="C1026" s="6"/>
      <c r="D1026" s="6"/>
      <c r="E1026" s="13"/>
      <c r="F1026" s="6"/>
      <c r="G1026" s="11" t="str">
        <f aca="true">IF(F1026="","",YEAR(TODAY())-F1026)</f>
        <v/>
      </c>
      <c r="H1026" s="11" t="str">
        <f aca="false">IF(C1026="","",IF(G1026="","Thiếu thông tin",IF(G1026&lt;6,"Trẻ em",IF(G1026&lt;23,"Học sinh / Sinh viên",IF(G1026&lt;60,"Đang đi làm","Nghỉ hưu")))))</f>
        <v/>
      </c>
      <c r="I1026" s="6"/>
      <c r="J1026" s="11" t="str">
        <f aca="false">IF(B1026="","",IFERROR(INDEX('Hộ gia đình'!$B$2:$B$2000,MATCH(B1026,'Hộ gia đình'!$A$2:$A$2000,0)),"Mã hộ không tồn tại"))</f>
        <v/>
      </c>
      <c r="K1026" s="14"/>
      <c r="L1026" s="14"/>
      <c r="M1026" s="6"/>
      <c r="N1026" s="6"/>
      <c r="O1026" s="6"/>
      <c r="P1026" s="6"/>
      <c r="Q1026" s="6"/>
      <c r="R1026" s="12"/>
    </row>
    <row r="1027" customFormat="false" ht="15" hidden="false" customHeight="true" outlineLevel="0" collapsed="false">
      <c r="A1027" s="6"/>
      <c r="B1027" s="6"/>
      <c r="C1027" s="6"/>
      <c r="D1027" s="6"/>
      <c r="E1027" s="13"/>
      <c r="F1027" s="6"/>
      <c r="G1027" s="11" t="str">
        <f aca="true">IF(F1027="","",YEAR(TODAY())-F1027)</f>
        <v/>
      </c>
      <c r="H1027" s="11" t="str">
        <f aca="false">IF(C1027="","",IF(G1027="","Thiếu thông tin",IF(G1027&lt;6,"Trẻ em",IF(G1027&lt;23,"Học sinh / Sinh viên",IF(G1027&lt;60,"Đang đi làm","Nghỉ hưu")))))</f>
        <v/>
      </c>
      <c r="I1027" s="6"/>
      <c r="J1027" s="11" t="str">
        <f aca="false">IF(B1027="","",IFERROR(INDEX('Hộ gia đình'!$B$2:$B$2000,MATCH(B1027,'Hộ gia đình'!$A$2:$A$2000,0)),"Mã hộ không tồn tại"))</f>
        <v/>
      </c>
      <c r="K1027" s="14"/>
      <c r="L1027" s="14"/>
      <c r="M1027" s="6"/>
      <c r="N1027" s="6"/>
      <c r="O1027" s="6"/>
      <c r="P1027" s="6"/>
      <c r="Q1027" s="6"/>
      <c r="R1027" s="12"/>
    </row>
    <row r="1028" customFormat="false" ht="15" hidden="false" customHeight="true" outlineLevel="0" collapsed="false">
      <c r="A1028" s="6"/>
      <c r="B1028" s="6"/>
      <c r="C1028" s="6"/>
      <c r="D1028" s="6"/>
      <c r="E1028" s="13"/>
      <c r="F1028" s="6"/>
      <c r="G1028" s="11" t="str">
        <f aca="true">IF(F1028="","",YEAR(TODAY())-F1028)</f>
        <v/>
      </c>
      <c r="H1028" s="11" t="str">
        <f aca="false">IF(C1028="","",IF(G1028="","Thiếu thông tin",IF(G1028&lt;6,"Trẻ em",IF(G1028&lt;23,"Học sinh / Sinh viên",IF(G1028&lt;60,"Đang đi làm","Nghỉ hưu")))))</f>
        <v/>
      </c>
      <c r="I1028" s="6"/>
      <c r="J1028" s="11" t="str">
        <f aca="false">IF(B1028="","",IFERROR(INDEX('Hộ gia đình'!$B$2:$B$2000,MATCH(B1028,'Hộ gia đình'!$A$2:$A$2000,0)),"Mã hộ không tồn tại"))</f>
        <v/>
      </c>
      <c r="K1028" s="14"/>
      <c r="L1028" s="14"/>
      <c r="M1028" s="6"/>
      <c r="N1028" s="6"/>
      <c r="O1028" s="6"/>
      <c r="P1028" s="6"/>
      <c r="Q1028" s="6"/>
      <c r="R1028" s="12"/>
    </row>
    <row r="1029" customFormat="false" ht="15" hidden="false" customHeight="true" outlineLevel="0" collapsed="false">
      <c r="A1029" s="6"/>
      <c r="B1029" s="6"/>
      <c r="C1029" s="6"/>
      <c r="D1029" s="6"/>
      <c r="E1029" s="13"/>
      <c r="F1029" s="6"/>
      <c r="G1029" s="11" t="str">
        <f aca="true">IF(F1029="","",YEAR(TODAY())-F1029)</f>
        <v/>
      </c>
      <c r="H1029" s="11" t="str">
        <f aca="false">IF(C1029="","",IF(G1029="","Thiếu thông tin",IF(G1029&lt;6,"Trẻ em",IF(G1029&lt;23,"Học sinh / Sinh viên",IF(G1029&lt;60,"Đang đi làm","Nghỉ hưu")))))</f>
        <v/>
      </c>
      <c r="I1029" s="6"/>
      <c r="J1029" s="11" t="str">
        <f aca="false">IF(B1029="","",IFERROR(INDEX('Hộ gia đình'!$B$2:$B$2000,MATCH(B1029,'Hộ gia đình'!$A$2:$A$2000,0)),"Mã hộ không tồn tại"))</f>
        <v/>
      </c>
      <c r="K1029" s="14"/>
      <c r="L1029" s="14"/>
      <c r="M1029" s="6"/>
      <c r="N1029" s="6"/>
      <c r="O1029" s="6"/>
      <c r="P1029" s="6"/>
      <c r="Q1029" s="6"/>
      <c r="R1029" s="12"/>
    </row>
    <row r="1030" customFormat="false" ht="15" hidden="false" customHeight="true" outlineLevel="0" collapsed="false">
      <c r="A1030" s="6"/>
      <c r="B1030" s="6"/>
      <c r="C1030" s="6"/>
      <c r="D1030" s="6"/>
      <c r="E1030" s="13"/>
      <c r="F1030" s="6"/>
      <c r="G1030" s="11" t="str">
        <f aca="true">IF(F1030="","",YEAR(TODAY())-F1030)</f>
        <v/>
      </c>
      <c r="H1030" s="11" t="str">
        <f aca="false">IF(C1030="","",IF(G1030="","Thiếu thông tin",IF(G1030&lt;6,"Trẻ em",IF(G1030&lt;23,"Học sinh / Sinh viên",IF(G1030&lt;60,"Đang đi làm","Nghỉ hưu")))))</f>
        <v/>
      </c>
      <c r="I1030" s="6"/>
      <c r="J1030" s="11" t="str">
        <f aca="false">IF(B1030="","",IFERROR(INDEX('Hộ gia đình'!$B$2:$B$2000,MATCH(B1030,'Hộ gia đình'!$A$2:$A$2000,0)),"Mã hộ không tồn tại"))</f>
        <v/>
      </c>
      <c r="K1030" s="14"/>
      <c r="L1030" s="14"/>
      <c r="M1030" s="6"/>
      <c r="N1030" s="6"/>
      <c r="O1030" s="6"/>
      <c r="P1030" s="6"/>
      <c r="Q1030" s="6"/>
      <c r="R1030" s="12"/>
    </row>
    <row r="1031" customFormat="false" ht="15" hidden="false" customHeight="true" outlineLevel="0" collapsed="false">
      <c r="A1031" s="6"/>
      <c r="B1031" s="6"/>
      <c r="C1031" s="6"/>
      <c r="D1031" s="6"/>
      <c r="E1031" s="13"/>
      <c r="F1031" s="6"/>
      <c r="G1031" s="11" t="str">
        <f aca="true">IF(F1031="","",YEAR(TODAY())-F1031)</f>
        <v/>
      </c>
      <c r="H1031" s="11" t="str">
        <f aca="false">IF(C1031="","",IF(G1031="","Thiếu thông tin",IF(G1031&lt;6,"Trẻ em",IF(G1031&lt;23,"Học sinh / Sinh viên",IF(G1031&lt;60,"Đang đi làm","Nghỉ hưu")))))</f>
        <v/>
      </c>
      <c r="I1031" s="6"/>
      <c r="J1031" s="11" t="str">
        <f aca="false">IF(B1031="","",IFERROR(INDEX('Hộ gia đình'!$B$2:$B$2000,MATCH(B1031,'Hộ gia đình'!$A$2:$A$2000,0)),"Mã hộ không tồn tại"))</f>
        <v/>
      </c>
      <c r="K1031" s="14"/>
      <c r="L1031" s="14"/>
      <c r="M1031" s="6"/>
      <c r="N1031" s="6"/>
      <c r="O1031" s="6"/>
      <c r="P1031" s="6"/>
      <c r="Q1031" s="6"/>
      <c r="R1031" s="12"/>
    </row>
    <row r="1032" customFormat="false" ht="15" hidden="false" customHeight="true" outlineLevel="0" collapsed="false">
      <c r="A1032" s="6"/>
      <c r="B1032" s="6"/>
      <c r="C1032" s="6"/>
      <c r="D1032" s="6"/>
      <c r="E1032" s="13"/>
      <c r="F1032" s="6"/>
      <c r="G1032" s="11" t="str">
        <f aca="true">IF(F1032="","",YEAR(TODAY())-F1032)</f>
        <v/>
      </c>
      <c r="H1032" s="11" t="str">
        <f aca="false">IF(C1032="","",IF(G1032="","Thiếu thông tin",IF(G1032&lt;6,"Trẻ em",IF(G1032&lt;23,"Học sinh / Sinh viên",IF(G1032&lt;60,"Đang đi làm","Nghỉ hưu")))))</f>
        <v/>
      </c>
      <c r="I1032" s="6"/>
      <c r="J1032" s="11" t="str">
        <f aca="false">IF(B1032="","",IFERROR(INDEX('Hộ gia đình'!$B$2:$B$2000,MATCH(B1032,'Hộ gia đình'!$A$2:$A$2000,0)),"Mã hộ không tồn tại"))</f>
        <v/>
      </c>
      <c r="K1032" s="14"/>
      <c r="L1032" s="14"/>
      <c r="M1032" s="6"/>
      <c r="N1032" s="6"/>
      <c r="O1032" s="6"/>
      <c r="P1032" s="6"/>
      <c r="Q1032" s="6"/>
      <c r="R1032" s="12"/>
    </row>
    <row r="1033" customFormat="false" ht="15" hidden="false" customHeight="true" outlineLevel="0" collapsed="false">
      <c r="A1033" s="6"/>
      <c r="B1033" s="6"/>
      <c r="C1033" s="6"/>
      <c r="D1033" s="6"/>
      <c r="E1033" s="13"/>
      <c r="F1033" s="6"/>
      <c r="G1033" s="11" t="str">
        <f aca="true">IF(F1033="","",YEAR(TODAY())-F1033)</f>
        <v/>
      </c>
      <c r="H1033" s="11" t="str">
        <f aca="false">IF(C1033="","",IF(G1033="","Thiếu thông tin",IF(G1033&lt;6,"Trẻ em",IF(G1033&lt;23,"Học sinh / Sinh viên",IF(G1033&lt;60,"Đang đi làm","Nghỉ hưu")))))</f>
        <v/>
      </c>
      <c r="I1033" s="6"/>
      <c r="J1033" s="11" t="str">
        <f aca="false">IF(B1033="","",IFERROR(INDEX('Hộ gia đình'!$B$2:$B$2000,MATCH(B1033,'Hộ gia đình'!$A$2:$A$2000,0)),"Mã hộ không tồn tại"))</f>
        <v/>
      </c>
      <c r="K1033" s="14"/>
      <c r="L1033" s="14"/>
      <c r="M1033" s="6"/>
      <c r="N1033" s="6"/>
      <c r="O1033" s="6"/>
      <c r="P1033" s="6"/>
      <c r="Q1033" s="6"/>
      <c r="R1033" s="12"/>
    </row>
    <row r="1034" customFormat="false" ht="15" hidden="false" customHeight="true" outlineLevel="0" collapsed="false">
      <c r="A1034" s="6"/>
      <c r="B1034" s="6"/>
      <c r="C1034" s="6"/>
      <c r="D1034" s="6"/>
      <c r="E1034" s="13"/>
      <c r="F1034" s="6"/>
      <c r="G1034" s="11" t="str">
        <f aca="true">IF(F1034="","",YEAR(TODAY())-F1034)</f>
        <v/>
      </c>
      <c r="H1034" s="11" t="str">
        <f aca="false">IF(C1034="","",IF(G1034="","Thiếu thông tin",IF(G1034&lt;6,"Trẻ em",IF(G1034&lt;23,"Học sinh / Sinh viên",IF(G1034&lt;60,"Đang đi làm","Nghỉ hưu")))))</f>
        <v/>
      </c>
      <c r="I1034" s="6"/>
      <c r="J1034" s="11" t="str">
        <f aca="false">IF(B1034="","",IFERROR(INDEX('Hộ gia đình'!$B$2:$B$2000,MATCH(B1034,'Hộ gia đình'!$A$2:$A$2000,0)),"Mã hộ không tồn tại"))</f>
        <v/>
      </c>
      <c r="K1034" s="14"/>
      <c r="L1034" s="14"/>
      <c r="M1034" s="6"/>
      <c r="N1034" s="6"/>
      <c r="O1034" s="6"/>
      <c r="P1034" s="6"/>
      <c r="Q1034" s="6"/>
      <c r="R1034" s="12"/>
    </row>
    <row r="1035" customFormat="false" ht="15" hidden="false" customHeight="true" outlineLevel="0" collapsed="false">
      <c r="A1035" s="6"/>
      <c r="B1035" s="6"/>
      <c r="C1035" s="6"/>
      <c r="D1035" s="6"/>
      <c r="E1035" s="13"/>
      <c r="F1035" s="6"/>
      <c r="G1035" s="11" t="str">
        <f aca="true">IF(F1035="","",YEAR(TODAY())-F1035)</f>
        <v/>
      </c>
      <c r="H1035" s="11" t="str">
        <f aca="false">IF(C1035="","",IF(G1035="","Thiếu thông tin",IF(G1035&lt;6,"Trẻ em",IF(G1035&lt;23,"Học sinh / Sinh viên",IF(G1035&lt;60,"Đang đi làm","Nghỉ hưu")))))</f>
        <v/>
      </c>
      <c r="I1035" s="6"/>
      <c r="J1035" s="11" t="str">
        <f aca="false">IF(B1035="","",IFERROR(INDEX('Hộ gia đình'!$B$2:$B$2000,MATCH(B1035,'Hộ gia đình'!$A$2:$A$2000,0)),"Mã hộ không tồn tại"))</f>
        <v/>
      </c>
      <c r="K1035" s="14"/>
      <c r="L1035" s="14"/>
      <c r="M1035" s="6"/>
      <c r="N1035" s="6"/>
      <c r="O1035" s="6"/>
      <c r="P1035" s="6"/>
      <c r="Q1035" s="6"/>
      <c r="R1035" s="12"/>
    </row>
    <row r="1036" customFormat="false" ht="15" hidden="false" customHeight="true" outlineLevel="0" collapsed="false">
      <c r="A1036" s="6"/>
      <c r="B1036" s="6"/>
      <c r="C1036" s="6"/>
      <c r="D1036" s="6"/>
      <c r="E1036" s="13"/>
      <c r="F1036" s="6"/>
      <c r="G1036" s="11" t="str">
        <f aca="true">IF(F1036="","",YEAR(TODAY())-F1036)</f>
        <v/>
      </c>
      <c r="H1036" s="11" t="str">
        <f aca="false">IF(C1036="","",IF(G1036="","Thiếu thông tin",IF(G1036&lt;6,"Trẻ em",IF(G1036&lt;23,"Học sinh / Sinh viên",IF(G1036&lt;60,"Đang đi làm","Nghỉ hưu")))))</f>
        <v/>
      </c>
      <c r="I1036" s="6"/>
      <c r="J1036" s="11" t="str">
        <f aca="false">IF(B1036="","",IFERROR(INDEX('Hộ gia đình'!$B$2:$B$2000,MATCH(B1036,'Hộ gia đình'!$A$2:$A$2000,0)),"Mã hộ không tồn tại"))</f>
        <v/>
      </c>
      <c r="K1036" s="14"/>
      <c r="L1036" s="14"/>
      <c r="M1036" s="6"/>
      <c r="N1036" s="6"/>
      <c r="O1036" s="6"/>
      <c r="P1036" s="6"/>
      <c r="Q1036" s="6"/>
      <c r="R1036" s="12"/>
    </row>
    <row r="1037" customFormat="false" ht="15" hidden="false" customHeight="true" outlineLevel="0" collapsed="false">
      <c r="A1037" s="6"/>
      <c r="B1037" s="6"/>
      <c r="C1037" s="6"/>
      <c r="D1037" s="6"/>
      <c r="E1037" s="13"/>
      <c r="F1037" s="6"/>
      <c r="G1037" s="11" t="str">
        <f aca="true">IF(F1037="","",YEAR(TODAY())-F1037)</f>
        <v/>
      </c>
      <c r="H1037" s="11" t="str">
        <f aca="false">IF(C1037="","",IF(G1037="","Thiếu thông tin",IF(G1037&lt;6,"Trẻ em",IF(G1037&lt;23,"Học sinh / Sinh viên",IF(G1037&lt;60,"Đang đi làm","Nghỉ hưu")))))</f>
        <v/>
      </c>
      <c r="I1037" s="6"/>
      <c r="J1037" s="11" t="str">
        <f aca="false">IF(B1037="","",IFERROR(INDEX('Hộ gia đình'!$B$2:$B$2000,MATCH(B1037,'Hộ gia đình'!$A$2:$A$2000,0)),"Mã hộ không tồn tại"))</f>
        <v/>
      </c>
      <c r="K1037" s="14"/>
      <c r="L1037" s="14"/>
      <c r="M1037" s="6"/>
      <c r="N1037" s="6"/>
      <c r="O1037" s="6"/>
      <c r="P1037" s="6"/>
      <c r="Q1037" s="6"/>
      <c r="R1037" s="12"/>
    </row>
    <row r="1038" customFormat="false" ht="15" hidden="false" customHeight="true" outlineLevel="0" collapsed="false">
      <c r="A1038" s="6"/>
      <c r="B1038" s="6"/>
      <c r="C1038" s="6"/>
      <c r="D1038" s="6"/>
      <c r="E1038" s="13"/>
      <c r="F1038" s="6"/>
      <c r="G1038" s="11" t="str">
        <f aca="true">IF(F1038="","",YEAR(TODAY())-F1038)</f>
        <v/>
      </c>
      <c r="H1038" s="11" t="str">
        <f aca="false">IF(C1038="","",IF(G1038="","Thiếu thông tin",IF(G1038&lt;6,"Trẻ em",IF(G1038&lt;23,"Học sinh / Sinh viên",IF(G1038&lt;60,"Đang đi làm","Nghỉ hưu")))))</f>
        <v/>
      </c>
      <c r="I1038" s="6"/>
      <c r="J1038" s="11" t="str">
        <f aca="false">IF(B1038="","",IFERROR(INDEX('Hộ gia đình'!$B$2:$B$2000,MATCH(B1038,'Hộ gia đình'!$A$2:$A$2000,0)),"Mã hộ không tồn tại"))</f>
        <v/>
      </c>
      <c r="K1038" s="14"/>
      <c r="L1038" s="14"/>
      <c r="M1038" s="6"/>
      <c r="N1038" s="6"/>
      <c r="O1038" s="6"/>
      <c r="P1038" s="6"/>
      <c r="Q1038" s="6"/>
      <c r="R1038" s="12"/>
    </row>
    <row r="1039" customFormat="false" ht="15" hidden="false" customHeight="true" outlineLevel="0" collapsed="false">
      <c r="A1039" s="6"/>
      <c r="B1039" s="6"/>
      <c r="C1039" s="6"/>
      <c r="D1039" s="6"/>
      <c r="E1039" s="13"/>
      <c r="F1039" s="6"/>
      <c r="G1039" s="11" t="str">
        <f aca="true">IF(F1039="","",YEAR(TODAY())-F1039)</f>
        <v/>
      </c>
      <c r="H1039" s="11" t="str">
        <f aca="false">IF(C1039="","",IF(G1039="","Thiếu thông tin",IF(G1039&lt;6,"Trẻ em",IF(G1039&lt;23,"Học sinh / Sinh viên",IF(G1039&lt;60,"Đang đi làm","Nghỉ hưu")))))</f>
        <v/>
      </c>
      <c r="I1039" s="6"/>
      <c r="J1039" s="11" t="str">
        <f aca="false">IF(B1039="","",IFERROR(INDEX('Hộ gia đình'!$B$2:$B$2000,MATCH(B1039,'Hộ gia đình'!$A$2:$A$2000,0)),"Mã hộ không tồn tại"))</f>
        <v/>
      </c>
      <c r="K1039" s="14"/>
      <c r="L1039" s="14"/>
      <c r="M1039" s="6"/>
      <c r="N1039" s="6"/>
      <c r="O1039" s="6"/>
      <c r="P1039" s="6"/>
      <c r="Q1039" s="6"/>
      <c r="R1039" s="12"/>
    </row>
    <row r="1040" customFormat="false" ht="15" hidden="false" customHeight="true" outlineLevel="0" collapsed="false">
      <c r="A1040" s="6"/>
      <c r="B1040" s="6"/>
      <c r="C1040" s="6"/>
      <c r="D1040" s="6"/>
      <c r="E1040" s="13"/>
      <c r="F1040" s="6"/>
      <c r="G1040" s="11" t="str">
        <f aca="true">IF(F1040="","",YEAR(TODAY())-F1040)</f>
        <v/>
      </c>
      <c r="H1040" s="11" t="str">
        <f aca="false">IF(C1040="","",IF(G1040="","Thiếu thông tin",IF(G1040&lt;6,"Trẻ em",IF(G1040&lt;23,"Học sinh / Sinh viên",IF(G1040&lt;60,"Đang đi làm","Nghỉ hưu")))))</f>
        <v/>
      </c>
      <c r="I1040" s="6"/>
      <c r="J1040" s="11" t="str">
        <f aca="false">IF(B1040="","",IFERROR(INDEX('Hộ gia đình'!$B$2:$B$2000,MATCH(B1040,'Hộ gia đình'!$A$2:$A$2000,0)),"Mã hộ không tồn tại"))</f>
        <v/>
      </c>
      <c r="K1040" s="14"/>
      <c r="L1040" s="14"/>
      <c r="M1040" s="6"/>
      <c r="N1040" s="6"/>
      <c r="O1040" s="6"/>
      <c r="P1040" s="6"/>
      <c r="Q1040" s="6"/>
      <c r="R1040" s="12"/>
    </row>
    <row r="1041" customFormat="false" ht="15" hidden="false" customHeight="true" outlineLevel="0" collapsed="false">
      <c r="A1041" s="6"/>
      <c r="B1041" s="6"/>
      <c r="C1041" s="6"/>
      <c r="D1041" s="6"/>
      <c r="E1041" s="13"/>
      <c r="F1041" s="6"/>
      <c r="G1041" s="11" t="str">
        <f aca="true">IF(F1041="","",YEAR(TODAY())-F1041)</f>
        <v/>
      </c>
      <c r="H1041" s="11" t="str">
        <f aca="false">IF(C1041="","",IF(G1041="","Thiếu thông tin",IF(G1041&lt;6,"Trẻ em",IF(G1041&lt;23,"Học sinh / Sinh viên",IF(G1041&lt;60,"Đang đi làm","Nghỉ hưu")))))</f>
        <v/>
      </c>
      <c r="I1041" s="6"/>
      <c r="J1041" s="11" t="str">
        <f aca="false">IF(B1041="","",IFERROR(INDEX('Hộ gia đình'!$B$2:$B$2000,MATCH(B1041,'Hộ gia đình'!$A$2:$A$2000,0)),"Mã hộ không tồn tại"))</f>
        <v/>
      </c>
      <c r="K1041" s="14"/>
      <c r="L1041" s="14"/>
      <c r="M1041" s="6"/>
      <c r="N1041" s="6"/>
      <c r="O1041" s="6"/>
      <c r="P1041" s="6"/>
      <c r="Q1041" s="6"/>
      <c r="R1041" s="12"/>
    </row>
    <row r="1042" customFormat="false" ht="15" hidden="false" customHeight="true" outlineLevel="0" collapsed="false">
      <c r="A1042" s="6"/>
      <c r="B1042" s="6"/>
      <c r="C1042" s="6"/>
      <c r="D1042" s="6"/>
      <c r="E1042" s="13"/>
      <c r="F1042" s="6"/>
      <c r="G1042" s="11" t="str">
        <f aca="true">IF(F1042="","",YEAR(TODAY())-F1042)</f>
        <v/>
      </c>
      <c r="H1042" s="11" t="str">
        <f aca="false">IF(C1042="","",IF(G1042="","Thiếu thông tin",IF(G1042&lt;6,"Trẻ em",IF(G1042&lt;23,"Học sinh / Sinh viên",IF(G1042&lt;60,"Đang đi làm","Nghỉ hưu")))))</f>
        <v/>
      </c>
      <c r="I1042" s="6"/>
      <c r="J1042" s="11" t="str">
        <f aca="false">IF(B1042="","",IFERROR(INDEX('Hộ gia đình'!$B$2:$B$2000,MATCH(B1042,'Hộ gia đình'!$A$2:$A$2000,0)),"Mã hộ không tồn tại"))</f>
        <v/>
      </c>
      <c r="K1042" s="14"/>
      <c r="L1042" s="14"/>
      <c r="M1042" s="6"/>
      <c r="N1042" s="6"/>
      <c r="O1042" s="6"/>
      <c r="P1042" s="6"/>
      <c r="Q1042" s="6"/>
      <c r="R1042" s="12"/>
    </row>
    <row r="1043" customFormat="false" ht="15" hidden="false" customHeight="true" outlineLevel="0" collapsed="false">
      <c r="A1043" s="6"/>
      <c r="B1043" s="6"/>
      <c r="C1043" s="6"/>
      <c r="D1043" s="6"/>
      <c r="E1043" s="13"/>
      <c r="F1043" s="6"/>
      <c r="G1043" s="11" t="str">
        <f aca="true">IF(F1043="","",YEAR(TODAY())-F1043)</f>
        <v/>
      </c>
      <c r="H1043" s="11" t="str">
        <f aca="false">IF(C1043="","",IF(G1043="","Thiếu thông tin",IF(G1043&lt;6,"Trẻ em",IF(G1043&lt;23,"Học sinh / Sinh viên",IF(G1043&lt;60,"Đang đi làm","Nghỉ hưu")))))</f>
        <v/>
      </c>
      <c r="I1043" s="6"/>
      <c r="J1043" s="11" t="str">
        <f aca="false">IF(B1043="","",IFERROR(INDEX('Hộ gia đình'!$B$2:$B$2000,MATCH(B1043,'Hộ gia đình'!$A$2:$A$2000,0)),"Mã hộ không tồn tại"))</f>
        <v/>
      </c>
      <c r="K1043" s="14"/>
      <c r="L1043" s="14"/>
      <c r="M1043" s="6"/>
      <c r="N1043" s="6"/>
      <c r="O1043" s="6"/>
      <c r="P1043" s="6"/>
      <c r="Q1043" s="6"/>
      <c r="R1043" s="12"/>
    </row>
    <row r="1044" customFormat="false" ht="15" hidden="false" customHeight="true" outlineLevel="0" collapsed="false">
      <c r="A1044" s="6"/>
      <c r="B1044" s="6"/>
      <c r="C1044" s="6"/>
      <c r="D1044" s="6"/>
      <c r="E1044" s="13"/>
      <c r="F1044" s="6"/>
      <c r="G1044" s="11" t="str">
        <f aca="true">IF(F1044="","",YEAR(TODAY())-F1044)</f>
        <v/>
      </c>
      <c r="H1044" s="11" t="str">
        <f aca="false">IF(C1044="","",IF(G1044="","Thiếu thông tin",IF(G1044&lt;6,"Trẻ em",IF(G1044&lt;23,"Học sinh / Sinh viên",IF(G1044&lt;60,"Đang đi làm","Nghỉ hưu")))))</f>
        <v/>
      </c>
      <c r="I1044" s="6"/>
      <c r="J1044" s="11" t="str">
        <f aca="false">IF(B1044="","",IFERROR(INDEX('Hộ gia đình'!$B$2:$B$2000,MATCH(B1044,'Hộ gia đình'!$A$2:$A$2000,0)),"Mã hộ không tồn tại"))</f>
        <v/>
      </c>
      <c r="K1044" s="14"/>
      <c r="L1044" s="14"/>
      <c r="M1044" s="6"/>
      <c r="N1044" s="6"/>
      <c r="O1044" s="6"/>
      <c r="P1044" s="6"/>
      <c r="Q1044" s="6"/>
      <c r="R1044" s="12"/>
    </row>
    <row r="1045" customFormat="false" ht="15" hidden="false" customHeight="true" outlineLevel="0" collapsed="false">
      <c r="A1045" s="6"/>
      <c r="B1045" s="6"/>
      <c r="C1045" s="6"/>
      <c r="D1045" s="6"/>
      <c r="E1045" s="13"/>
      <c r="F1045" s="6"/>
      <c r="G1045" s="11" t="str">
        <f aca="true">IF(F1045="","",YEAR(TODAY())-F1045)</f>
        <v/>
      </c>
      <c r="H1045" s="11" t="str">
        <f aca="false">IF(C1045="","",IF(G1045="","Thiếu thông tin",IF(G1045&lt;6,"Trẻ em",IF(G1045&lt;23,"Học sinh / Sinh viên",IF(G1045&lt;60,"Đang đi làm","Nghỉ hưu")))))</f>
        <v/>
      </c>
      <c r="I1045" s="6"/>
      <c r="J1045" s="11" t="str">
        <f aca="false">IF(B1045="","",IFERROR(INDEX('Hộ gia đình'!$B$2:$B$2000,MATCH(B1045,'Hộ gia đình'!$A$2:$A$2000,0)),"Mã hộ không tồn tại"))</f>
        <v/>
      </c>
      <c r="K1045" s="14"/>
      <c r="L1045" s="14"/>
      <c r="M1045" s="6"/>
      <c r="N1045" s="6"/>
      <c r="O1045" s="6"/>
      <c r="P1045" s="6"/>
      <c r="Q1045" s="6"/>
      <c r="R1045" s="12"/>
    </row>
    <row r="1046" customFormat="false" ht="15" hidden="false" customHeight="true" outlineLevel="0" collapsed="false">
      <c r="A1046" s="6"/>
      <c r="B1046" s="6"/>
      <c r="C1046" s="6"/>
      <c r="D1046" s="6"/>
      <c r="E1046" s="13"/>
      <c r="F1046" s="6"/>
      <c r="G1046" s="11" t="str">
        <f aca="true">IF(F1046="","",YEAR(TODAY())-F1046)</f>
        <v/>
      </c>
      <c r="H1046" s="11" t="str">
        <f aca="false">IF(C1046="","",IF(G1046="","Thiếu thông tin",IF(G1046&lt;6,"Trẻ em",IF(G1046&lt;23,"Học sinh / Sinh viên",IF(G1046&lt;60,"Đang đi làm","Nghỉ hưu")))))</f>
        <v/>
      </c>
      <c r="I1046" s="6"/>
      <c r="J1046" s="11" t="str">
        <f aca="false">IF(B1046="","",IFERROR(INDEX('Hộ gia đình'!$B$2:$B$2000,MATCH(B1046,'Hộ gia đình'!$A$2:$A$2000,0)),"Mã hộ không tồn tại"))</f>
        <v/>
      </c>
      <c r="K1046" s="14"/>
      <c r="L1046" s="14"/>
      <c r="M1046" s="6"/>
      <c r="N1046" s="6"/>
      <c r="O1046" s="6"/>
      <c r="P1046" s="6"/>
      <c r="Q1046" s="6"/>
      <c r="R1046" s="12"/>
    </row>
    <row r="1047" customFormat="false" ht="15" hidden="false" customHeight="true" outlineLevel="0" collapsed="false">
      <c r="A1047" s="6"/>
      <c r="B1047" s="6"/>
      <c r="C1047" s="6"/>
      <c r="D1047" s="6"/>
      <c r="E1047" s="13"/>
      <c r="F1047" s="6"/>
      <c r="G1047" s="11" t="str">
        <f aca="true">IF(F1047="","",YEAR(TODAY())-F1047)</f>
        <v/>
      </c>
      <c r="H1047" s="11" t="str">
        <f aca="false">IF(C1047="","",IF(G1047="","Thiếu thông tin",IF(G1047&lt;6,"Trẻ em",IF(G1047&lt;23,"Học sinh / Sinh viên",IF(G1047&lt;60,"Đang đi làm","Nghỉ hưu")))))</f>
        <v/>
      </c>
      <c r="I1047" s="6"/>
      <c r="J1047" s="11" t="str">
        <f aca="false">IF(B1047="","",IFERROR(INDEX('Hộ gia đình'!$B$2:$B$2000,MATCH(B1047,'Hộ gia đình'!$A$2:$A$2000,0)),"Mã hộ không tồn tại"))</f>
        <v/>
      </c>
      <c r="K1047" s="14"/>
      <c r="L1047" s="14"/>
      <c r="M1047" s="6"/>
      <c r="N1047" s="6"/>
      <c r="O1047" s="6"/>
      <c r="P1047" s="6"/>
      <c r="Q1047" s="6"/>
      <c r="R1047" s="12"/>
    </row>
    <row r="1048" customFormat="false" ht="15" hidden="false" customHeight="true" outlineLevel="0" collapsed="false">
      <c r="A1048" s="6"/>
      <c r="B1048" s="6"/>
      <c r="C1048" s="6"/>
      <c r="D1048" s="6"/>
      <c r="E1048" s="13"/>
      <c r="F1048" s="6"/>
      <c r="G1048" s="11" t="str">
        <f aca="true">IF(F1048="","",YEAR(TODAY())-F1048)</f>
        <v/>
      </c>
      <c r="H1048" s="11" t="str">
        <f aca="false">IF(C1048="","",IF(G1048="","Thiếu thông tin",IF(G1048&lt;6,"Trẻ em",IF(G1048&lt;23,"Học sinh / Sinh viên",IF(G1048&lt;60,"Đang đi làm","Nghỉ hưu")))))</f>
        <v/>
      </c>
      <c r="I1048" s="6"/>
      <c r="J1048" s="11" t="str">
        <f aca="false">IF(B1048="","",IFERROR(INDEX('Hộ gia đình'!$B$2:$B$2000,MATCH(B1048,'Hộ gia đình'!$A$2:$A$2000,0)),"Mã hộ không tồn tại"))</f>
        <v/>
      </c>
      <c r="K1048" s="14"/>
      <c r="L1048" s="14"/>
      <c r="M1048" s="6"/>
      <c r="N1048" s="6"/>
      <c r="O1048" s="6"/>
      <c r="P1048" s="6"/>
      <c r="Q1048" s="6"/>
      <c r="R1048" s="12"/>
    </row>
    <row r="1049" customFormat="false" ht="15" hidden="false" customHeight="true" outlineLevel="0" collapsed="false">
      <c r="A1049" s="6"/>
      <c r="B1049" s="6"/>
      <c r="C1049" s="6"/>
      <c r="D1049" s="6"/>
      <c r="E1049" s="13"/>
      <c r="F1049" s="6"/>
      <c r="G1049" s="11" t="str">
        <f aca="true">IF(F1049="","",YEAR(TODAY())-F1049)</f>
        <v/>
      </c>
      <c r="H1049" s="11" t="str">
        <f aca="false">IF(C1049="","",IF(G1049="","Thiếu thông tin",IF(G1049&lt;6,"Trẻ em",IF(G1049&lt;23,"Học sinh / Sinh viên",IF(G1049&lt;60,"Đang đi làm","Nghỉ hưu")))))</f>
        <v/>
      </c>
      <c r="I1049" s="6"/>
      <c r="J1049" s="11" t="str">
        <f aca="false">IF(B1049="","",IFERROR(INDEX('Hộ gia đình'!$B$2:$B$2000,MATCH(B1049,'Hộ gia đình'!$A$2:$A$2000,0)),"Mã hộ không tồn tại"))</f>
        <v/>
      </c>
      <c r="K1049" s="14"/>
      <c r="L1049" s="14"/>
      <c r="M1049" s="6"/>
      <c r="N1049" s="6"/>
      <c r="O1049" s="6"/>
      <c r="P1049" s="6"/>
      <c r="Q1049" s="6"/>
      <c r="R1049" s="12"/>
    </row>
    <row r="1050" customFormat="false" ht="15" hidden="false" customHeight="true" outlineLevel="0" collapsed="false">
      <c r="A1050" s="6"/>
      <c r="B1050" s="6"/>
      <c r="C1050" s="6"/>
      <c r="D1050" s="6"/>
      <c r="E1050" s="13"/>
      <c r="F1050" s="6"/>
      <c r="G1050" s="11" t="str">
        <f aca="true">IF(F1050="","",YEAR(TODAY())-F1050)</f>
        <v/>
      </c>
      <c r="H1050" s="11" t="str">
        <f aca="false">IF(C1050="","",IF(G1050="","Thiếu thông tin",IF(G1050&lt;6,"Trẻ em",IF(G1050&lt;23,"Học sinh / Sinh viên",IF(G1050&lt;60,"Đang đi làm","Nghỉ hưu")))))</f>
        <v/>
      </c>
      <c r="I1050" s="6"/>
      <c r="J1050" s="11" t="str">
        <f aca="false">IF(B1050="","",IFERROR(INDEX('Hộ gia đình'!$B$2:$B$2000,MATCH(B1050,'Hộ gia đình'!$A$2:$A$2000,0)),"Mã hộ không tồn tại"))</f>
        <v/>
      </c>
      <c r="K1050" s="14"/>
      <c r="L1050" s="14"/>
      <c r="M1050" s="6"/>
      <c r="N1050" s="6"/>
      <c r="O1050" s="6"/>
      <c r="P1050" s="6"/>
      <c r="Q1050" s="6"/>
      <c r="R1050" s="12"/>
    </row>
    <row r="1051" customFormat="false" ht="15" hidden="false" customHeight="true" outlineLevel="0" collapsed="false">
      <c r="A1051" s="6"/>
      <c r="B1051" s="6"/>
      <c r="C1051" s="6"/>
      <c r="D1051" s="6"/>
      <c r="E1051" s="13"/>
      <c r="F1051" s="6"/>
      <c r="G1051" s="11" t="str">
        <f aca="true">IF(F1051="","",YEAR(TODAY())-F1051)</f>
        <v/>
      </c>
      <c r="H1051" s="11" t="str">
        <f aca="false">IF(C1051="","",IF(G1051="","Thiếu thông tin",IF(G1051&lt;6,"Trẻ em",IF(G1051&lt;23,"Học sinh / Sinh viên",IF(G1051&lt;60,"Đang đi làm","Nghỉ hưu")))))</f>
        <v/>
      </c>
      <c r="I1051" s="6"/>
      <c r="J1051" s="11" t="str">
        <f aca="false">IF(B1051="","",IFERROR(INDEX('Hộ gia đình'!$B$2:$B$2000,MATCH(B1051,'Hộ gia đình'!$A$2:$A$2000,0)),"Mã hộ không tồn tại"))</f>
        <v/>
      </c>
      <c r="K1051" s="14"/>
      <c r="L1051" s="14"/>
      <c r="M1051" s="6"/>
      <c r="N1051" s="6"/>
      <c r="O1051" s="6"/>
      <c r="P1051" s="6"/>
      <c r="Q1051" s="6"/>
      <c r="R1051" s="12"/>
    </row>
    <row r="1052" customFormat="false" ht="15" hidden="false" customHeight="true" outlineLevel="0" collapsed="false">
      <c r="A1052" s="6"/>
      <c r="B1052" s="6"/>
      <c r="C1052" s="6"/>
      <c r="D1052" s="6"/>
      <c r="E1052" s="13"/>
      <c r="F1052" s="6"/>
      <c r="G1052" s="11" t="str">
        <f aca="true">IF(F1052="","",YEAR(TODAY())-F1052)</f>
        <v/>
      </c>
      <c r="H1052" s="11" t="str">
        <f aca="false">IF(C1052="","",IF(G1052="","Thiếu thông tin",IF(G1052&lt;6,"Trẻ em",IF(G1052&lt;23,"Học sinh / Sinh viên",IF(G1052&lt;60,"Đang đi làm","Nghỉ hưu")))))</f>
        <v/>
      </c>
      <c r="I1052" s="6"/>
      <c r="J1052" s="11" t="str">
        <f aca="false">IF(B1052="","",IFERROR(INDEX('Hộ gia đình'!$B$2:$B$2000,MATCH(B1052,'Hộ gia đình'!$A$2:$A$2000,0)),"Mã hộ không tồn tại"))</f>
        <v/>
      </c>
      <c r="K1052" s="14"/>
      <c r="L1052" s="14"/>
      <c r="M1052" s="6"/>
      <c r="N1052" s="6"/>
      <c r="O1052" s="6"/>
      <c r="P1052" s="6"/>
      <c r="Q1052" s="6"/>
      <c r="R1052" s="12"/>
    </row>
    <row r="1053" customFormat="false" ht="15" hidden="false" customHeight="true" outlineLevel="0" collapsed="false">
      <c r="A1053" s="6"/>
      <c r="B1053" s="6"/>
      <c r="C1053" s="6"/>
      <c r="D1053" s="6"/>
      <c r="E1053" s="13"/>
      <c r="F1053" s="6"/>
      <c r="G1053" s="11" t="str">
        <f aca="true">IF(F1053="","",YEAR(TODAY())-F1053)</f>
        <v/>
      </c>
      <c r="H1053" s="11" t="str">
        <f aca="false">IF(C1053="","",IF(G1053="","Thiếu thông tin",IF(G1053&lt;6,"Trẻ em",IF(G1053&lt;23,"Học sinh / Sinh viên",IF(G1053&lt;60,"Đang đi làm","Nghỉ hưu")))))</f>
        <v/>
      </c>
      <c r="I1053" s="6"/>
      <c r="J1053" s="11" t="str">
        <f aca="false">IF(B1053="","",IFERROR(INDEX('Hộ gia đình'!$B$2:$B$2000,MATCH(B1053,'Hộ gia đình'!$A$2:$A$2000,0)),"Mã hộ không tồn tại"))</f>
        <v/>
      </c>
      <c r="K1053" s="14"/>
      <c r="L1053" s="14"/>
      <c r="M1053" s="6"/>
      <c r="N1053" s="6"/>
      <c r="O1053" s="6"/>
      <c r="P1053" s="6"/>
      <c r="Q1053" s="6"/>
      <c r="R1053" s="12"/>
    </row>
    <row r="1054" customFormat="false" ht="15" hidden="false" customHeight="true" outlineLevel="0" collapsed="false">
      <c r="A1054" s="6"/>
      <c r="B1054" s="6"/>
      <c r="C1054" s="6"/>
      <c r="D1054" s="6"/>
      <c r="E1054" s="13"/>
      <c r="F1054" s="6"/>
      <c r="G1054" s="11" t="str">
        <f aca="true">IF(F1054="","",YEAR(TODAY())-F1054)</f>
        <v/>
      </c>
      <c r="H1054" s="11" t="str">
        <f aca="false">IF(C1054="","",IF(G1054="","Thiếu thông tin",IF(G1054&lt;6,"Trẻ em",IF(G1054&lt;23,"Học sinh / Sinh viên",IF(G1054&lt;60,"Đang đi làm","Nghỉ hưu")))))</f>
        <v/>
      </c>
      <c r="I1054" s="6"/>
      <c r="J1054" s="11" t="str">
        <f aca="false">IF(B1054="","",IFERROR(INDEX('Hộ gia đình'!$B$2:$B$2000,MATCH(B1054,'Hộ gia đình'!$A$2:$A$2000,0)),"Mã hộ không tồn tại"))</f>
        <v/>
      </c>
      <c r="K1054" s="14"/>
      <c r="L1054" s="14"/>
      <c r="M1054" s="6"/>
      <c r="N1054" s="6"/>
      <c r="O1054" s="6"/>
      <c r="P1054" s="6"/>
      <c r="Q1054" s="6"/>
      <c r="R1054" s="12"/>
    </row>
    <row r="1055" customFormat="false" ht="15" hidden="false" customHeight="true" outlineLevel="0" collapsed="false">
      <c r="A1055" s="6"/>
      <c r="B1055" s="6"/>
      <c r="C1055" s="6"/>
      <c r="D1055" s="6"/>
      <c r="E1055" s="13"/>
      <c r="F1055" s="6"/>
      <c r="G1055" s="11" t="str">
        <f aca="true">IF(F1055="","",YEAR(TODAY())-F1055)</f>
        <v/>
      </c>
      <c r="H1055" s="11" t="str">
        <f aca="false">IF(C1055="","",IF(G1055="","Thiếu thông tin",IF(G1055&lt;6,"Trẻ em",IF(G1055&lt;23,"Học sinh / Sinh viên",IF(G1055&lt;60,"Đang đi làm","Nghỉ hưu")))))</f>
        <v/>
      </c>
      <c r="I1055" s="6"/>
      <c r="J1055" s="11" t="str">
        <f aca="false">IF(B1055="","",IFERROR(INDEX('Hộ gia đình'!$B$2:$B$2000,MATCH(B1055,'Hộ gia đình'!$A$2:$A$2000,0)),"Mã hộ không tồn tại"))</f>
        <v/>
      </c>
      <c r="K1055" s="14"/>
      <c r="L1055" s="14"/>
      <c r="M1055" s="6"/>
      <c r="N1055" s="6"/>
      <c r="O1055" s="6"/>
      <c r="P1055" s="6"/>
      <c r="Q1055" s="6"/>
      <c r="R1055" s="12"/>
    </row>
    <row r="1056" customFormat="false" ht="15" hidden="false" customHeight="true" outlineLevel="0" collapsed="false">
      <c r="A1056" s="6"/>
      <c r="B1056" s="6"/>
      <c r="C1056" s="6"/>
      <c r="D1056" s="6"/>
      <c r="E1056" s="13"/>
      <c r="F1056" s="6"/>
      <c r="G1056" s="11" t="str">
        <f aca="true">IF(F1056="","",YEAR(TODAY())-F1056)</f>
        <v/>
      </c>
      <c r="H1056" s="11" t="str">
        <f aca="false">IF(C1056="","",IF(G1056="","Thiếu thông tin",IF(G1056&lt;6,"Trẻ em",IF(G1056&lt;23,"Học sinh / Sinh viên",IF(G1056&lt;60,"Đang đi làm","Nghỉ hưu")))))</f>
        <v/>
      </c>
      <c r="I1056" s="6"/>
      <c r="J1056" s="11" t="str">
        <f aca="false">IF(B1056="","",IFERROR(INDEX('Hộ gia đình'!$B$2:$B$2000,MATCH(B1056,'Hộ gia đình'!$A$2:$A$2000,0)),"Mã hộ không tồn tại"))</f>
        <v/>
      </c>
      <c r="K1056" s="14"/>
      <c r="L1056" s="14"/>
      <c r="M1056" s="6"/>
      <c r="N1056" s="6"/>
      <c r="O1056" s="6"/>
      <c r="P1056" s="6"/>
      <c r="Q1056" s="6"/>
      <c r="R1056" s="12"/>
    </row>
    <row r="1057" customFormat="false" ht="15" hidden="false" customHeight="true" outlineLevel="0" collapsed="false">
      <c r="A1057" s="6"/>
      <c r="B1057" s="6"/>
      <c r="C1057" s="6"/>
      <c r="D1057" s="6"/>
      <c r="E1057" s="13"/>
      <c r="F1057" s="6"/>
      <c r="G1057" s="11" t="str">
        <f aca="true">IF(F1057="","",YEAR(TODAY())-F1057)</f>
        <v/>
      </c>
      <c r="H1057" s="11" t="str">
        <f aca="false">IF(C1057="","",IF(G1057="","Thiếu thông tin",IF(G1057&lt;6,"Trẻ em",IF(G1057&lt;23,"Học sinh / Sinh viên",IF(G1057&lt;60,"Đang đi làm","Nghỉ hưu")))))</f>
        <v/>
      </c>
      <c r="I1057" s="6"/>
      <c r="J1057" s="11" t="str">
        <f aca="false">IF(B1057="","",IFERROR(INDEX('Hộ gia đình'!$B$2:$B$2000,MATCH(B1057,'Hộ gia đình'!$A$2:$A$2000,0)),"Mã hộ không tồn tại"))</f>
        <v/>
      </c>
      <c r="K1057" s="14"/>
      <c r="L1057" s="14"/>
      <c r="M1057" s="6"/>
      <c r="N1057" s="6"/>
      <c r="O1057" s="6"/>
      <c r="P1057" s="6"/>
      <c r="Q1057" s="6"/>
      <c r="R1057" s="12"/>
    </row>
    <row r="1058" customFormat="false" ht="15" hidden="false" customHeight="true" outlineLevel="0" collapsed="false">
      <c r="A1058" s="6"/>
      <c r="B1058" s="6"/>
      <c r="C1058" s="6"/>
      <c r="D1058" s="6"/>
      <c r="E1058" s="13"/>
      <c r="F1058" s="6"/>
      <c r="G1058" s="11" t="str">
        <f aca="true">IF(F1058="","",YEAR(TODAY())-F1058)</f>
        <v/>
      </c>
      <c r="H1058" s="11" t="str">
        <f aca="false">IF(C1058="","",IF(G1058="","Thiếu thông tin",IF(G1058&lt;6,"Trẻ em",IF(G1058&lt;23,"Học sinh / Sinh viên",IF(G1058&lt;60,"Đang đi làm","Nghỉ hưu")))))</f>
        <v/>
      </c>
      <c r="I1058" s="6"/>
      <c r="J1058" s="11" t="str">
        <f aca="false">IF(B1058="","",IFERROR(INDEX('Hộ gia đình'!$B$2:$B$2000,MATCH(B1058,'Hộ gia đình'!$A$2:$A$2000,0)),"Mã hộ không tồn tại"))</f>
        <v/>
      </c>
      <c r="K1058" s="14"/>
      <c r="L1058" s="14"/>
      <c r="M1058" s="6"/>
      <c r="N1058" s="6"/>
      <c r="O1058" s="6"/>
      <c r="P1058" s="6"/>
      <c r="Q1058" s="6"/>
      <c r="R1058" s="12"/>
    </row>
    <row r="1059" customFormat="false" ht="15" hidden="false" customHeight="true" outlineLevel="0" collapsed="false">
      <c r="A1059" s="6"/>
      <c r="B1059" s="6"/>
      <c r="C1059" s="6"/>
      <c r="D1059" s="6"/>
      <c r="E1059" s="13"/>
      <c r="F1059" s="6"/>
      <c r="G1059" s="11" t="str">
        <f aca="true">IF(F1059="","",YEAR(TODAY())-F1059)</f>
        <v/>
      </c>
      <c r="H1059" s="11" t="str">
        <f aca="false">IF(C1059="","",IF(G1059="","Thiếu thông tin",IF(G1059&lt;6,"Trẻ em",IF(G1059&lt;23,"Học sinh / Sinh viên",IF(G1059&lt;60,"Đang đi làm","Nghỉ hưu")))))</f>
        <v/>
      </c>
      <c r="I1059" s="6"/>
      <c r="J1059" s="11" t="str">
        <f aca="false">IF(B1059="","",IFERROR(INDEX('Hộ gia đình'!$B$2:$B$2000,MATCH(B1059,'Hộ gia đình'!$A$2:$A$2000,0)),"Mã hộ không tồn tại"))</f>
        <v/>
      </c>
      <c r="K1059" s="14"/>
      <c r="L1059" s="14"/>
      <c r="M1059" s="6"/>
      <c r="N1059" s="6"/>
      <c r="O1059" s="6"/>
      <c r="P1059" s="6"/>
      <c r="Q1059" s="6"/>
      <c r="R1059" s="12"/>
    </row>
    <row r="1060" customFormat="false" ht="15" hidden="false" customHeight="true" outlineLevel="0" collapsed="false">
      <c r="A1060" s="6"/>
      <c r="B1060" s="6"/>
      <c r="C1060" s="6"/>
      <c r="D1060" s="6"/>
      <c r="E1060" s="13"/>
      <c r="F1060" s="6"/>
      <c r="G1060" s="11" t="str">
        <f aca="true">IF(F1060="","",YEAR(TODAY())-F1060)</f>
        <v/>
      </c>
      <c r="H1060" s="11" t="str">
        <f aca="false">IF(C1060="","",IF(G1060="","Thiếu thông tin",IF(G1060&lt;6,"Trẻ em",IF(G1060&lt;23,"Học sinh / Sinh viên",IF(G1060&lt;60,"Đang đi làm","Nghỉ hưu")))))</f>
        <v/>
      </c>
      <c r="I1060" s="6"/>
      <c r="J1060" s="11" t="str">
        <f aca="false">IF(B1060="","",IFERROR(INDEX('Hộ gia đình'!$B$2:$B$2000,MATCH(B1060,'Hộ gia đình'!$A$2:$A$2000,0)),"Mã hộ không tồn tại"))</f>
        <v/>
      </c>
      <c r="K1060" s="14"/>
      <c r="L1060" s="14"/>
      <c r="M1060" s="6"/>
      <c r="N1060" s="6"/>
      <c r="O1060" s="6"/>
      <c r="P1060" s="6"/>
      <c r="Q1060" s="6"/>
      <c r="R1060" s="12"/>
    </row>
    <row r="1061" customFormat="false" ht="15" hidden="false" customHeight="true" outlineLevel="0" collapsed="false">
      <c r="A1061" s="6"/>
      <c r="B1061" s="6"/>
      <c r="C1061" s="6"/>
      <c r="D1061" s="6"/>
      <c r="E1061" s="13"/>
      <c r="F1061" s="6"/>
      <c r="G1061" s="11" t="str">
        <f aca="true">IF(F1061="","",YEAR(TODAY())-F1061)</f>
        <v/>
      </c>
      <c r="H1061" s="11" t="str">
        <f aca="false">IF(C1061="","",IF(G1061="","Thiếu thông tin",IF(G1061&lt;6,"Trẻ em",IF(G1061&lt;23,"Học sinh / Sinh viên",IF(G1061&lt;60,"Đang đi làm","Nghỉ hưu")))))</f>
        <v/>
      </c>
      <c r="I1061" s="6"/>
      <c r="J1061" s="11" t="str">
        <f aca="false">IF(B1061="","",IFERROR(INDEX('Hộ gia đình'!$B$2:$B$2000,MATCH(B1061,'Hộ gia đình'!$A$2:$A$2000,0)),"Mã hộ không tồn tại"))</f>
        <v/>
      </c>
      <c r="K1061" s="14"/>
      <c r="L1061" s="14"/>
      <c r="M1061" s="6"/>
      <c r="N1061" s="6"/>
      <c r="O1061" s="6"/>
      <c r="P1061" s="6"/>
      <c r="Q1061" s="6"/>
      <c r="R1061" s="12"/>
    </row>
    <row r="1062" customFormat="false" ht="15" hidden="false" customHeight="true" outlineLevel="0" collapsed="false">
      <c r="A1062" s="6"/>
      <c r="B1062" s="6"/>
      <c r="C1062" s="6"/>
      <c r="D1062" s="6"/>
      <c r="E1062" s="13"/>
      <c r="F1062" s="6"/>
      <c r="G1062" s="11" t="str">
        <f aca="true">IF(F1062="","",YEAR(TODAY())-F1062)</f>
        <v/>
      </c>
      <c r="H1062" s="11" t="str">
        <f aca="false">IF(C1062="","",IF(G1062="","Thiếu thông tin",IF(G1062&lt;6,"Trẻ em",IF(G1062&lt;23,"Học sinh / Sinh viên",IF(G1062&lt;60,"Đang đi làm","Nghỉ hưu")))))</f>
        <v/>
      </c>
      <c r="I1062" s="6"/>
      <c r="J1062" s="11" t="str">
        <f aca="false">IF(B1062="","",IFERROR(INDEX('Hộ gia đình'!$B$2:$B$2000,MATCH(B1062,'Hộ gia đình'!$A$2:$A$2000,0)),"Mã hộ không tồn tại"))</f>
        <v/>
      </c>
      <c r="K1062" s="14"/>
      <c r="L1062" s="14"/>
      <c r="M1062" s="6"/>
      <c r="N1062" s="6"/>
      <c r="O1062" s="6"/>
      <c r="P1062" s="6"/>
      <c r="Q1062" s="6"/>
      <c r="R1062" s="12"/>
    </row>
    <row r="1063" customFormat="false" ht="15" hidden="false" customHeight="true" outlineLevel="0" collapsed="false">
      <c r="A1063" s="6"/>
      <c r="B1063" s="6"/>
      <c r="C1063" s="6"/>
      <c r="D1063" s="6"/>
      <c r="E1063" s="13"/>
      <c r="F1063" s="6"/>
      <c r="G1063" s="11" t="str">
        <f aca="true">IF(F1063="","",YEAR(TODAY())-F1063)</f>
        <v/>
      </c>
      <c r="H1063" s="11" t="str">
        <f aca="false">IF(C1063="","",IF(G1063="","Thiếu thông tin",IF(G1063&lt;6,"Trẻ em",IF(G1063&lt;23,"Học sinh / Sinh viên",IF(G1063&lt;60,"Đang đi làm","Nghỉ hưu")))))</f>
        <v/>
      </c>
      <c r="I1063" s="6"/>
      <c r="J1063" s="11" t="str">
        <f aca="false">IF(B1063="","",IFERROR(INDEX('Hộ gia đình'!$B$2:$B$2000,MATCH(B1063,'Hộ gia đình'!$A$2:$A$2000,0)),"Mã hộ không tồn tại"))</f>
        <v/>
      </c>
      <c r="K1063" s="14"/>
      <c r="L1063" s="14"/>
      <c r="M1063" s="6"/>
      <c r="N1063" s="6"/>
      <c r="O1063" s="6"/>
      <c r="P1063" s="6"/>
      <c r="Q1063" s="6"/>
      <c r="R1063" s="12"/>
    </row>
    <row r="1064" customFormat="false" ht="15" hidden="false" customHeight="true" outlineLevel="0" collapsed="false">
      <c r="A1064" s="6"/>
      <c r="B1064" s="6"/>
      <c r="C1064" s="6"/>
      <c r="D1064" s="6"/>
      <c r="E1064" s="13"/>
      <c r="F1064" s="6"/>
      <c r="G1064" s="11" t="str">
        <f aca="true">IF(F1064="","",YEAR(TODAY())-F1064)</f>
        <v/>
      </c>
      <c r="H1064" s="11" t="str">
        <f aca="false">IF(C1064="","",IF(G1064="","Thiếu thông tin",IF(G1064&lt;6,"Trẻ em",IF(G1064&lt;23,"Học sinh / Sinh viên",IF(G1064&lt;60,"Đang đi làm","Nghỉ hưu")))))</f>
        <v/>
      </c>
      <c r="I1064" s="6"/>
      <c r="J1064" s="11" t="str">
        <f aca="false">IF(B1064="","",IFERROR(INDEX('Hộ gia đình'!$B$2:$B$2000,MATCH(B1064,'Hộ gia đình'!$A$2:$A$2000,0)),"Mã hộ không tồn tại"))</f>
        <v/>
      </c>
      <c r="K1064" s="14"/>
      <c r="L1064" s="14"/>
      <c r="M1064" s="6"/>
      <c r="N1064" s="6"/>
      <c r="O1064" s="6"/>
      <c r="P1064" s="6"/>
      <c r="Q1064" s="6"/>
      <c r="R1064" s="12"/>
    </row>
    <row r="1065" customFormat="false" ht="15" hidden="false" customHeight="true" outlineLevel="0" collapsed="false">
      <c r="A1065" s="6"/>
      <c r="B1065" s="6"/>
      <c r="C1065" s="6"/>
      <c r="D1065" s="6"/>
      <c r="E1065" s="13"/>
      <c r="F1065" s="6"/>
      <c r="G1065" s="11" t="str">
        <f aca="true">IF(F1065="","",YEAR(TODAY())-F1065)</f>
        <v/>
      </c>
      <c r="H1065" s="11" t="str">
        <f aca="false">IF(C1065="","",IF(G1065="","Thiếu thông tin",IF(G1065&lt;6,"Trẻ em",IF(G1065&lt;23,"Học sinh / Sinh viên",IF(G1065&lt;60,"Đang đi làm","Nghỉ hưu")))))</f>
        <v/>
      </c>
      <c r="I1065" s="6"/>
      <c r="J1065" s="11" t="str">
        <f aca="false">IF(B1065="","",IFERROR(INDEX('Hộ gia đình'!$B$2:$B$2000,MATCH(B1065,'Hộ gia đình'!$A$2:$A$2000,0)),"Mã hộ không tồn tại"))</f>
        <v/>
      </c>
      <c r="K1065" s="14"/>
      <c r="L1065" s="14"/>
      <c r="M1065" s="6"/>
      <c r="N1065" s="6"/>
      <c r="O1065" s="6"/>
      <c r="P1065" s="6"/>
      <c r="Q1065" s="6"/>
      <c r="R1065" s="12"/>
    </row>
    <row r="1066" customFormat="false" ht="15" hidden="false" customHeight="true" outlineLevel="0" collapsed="false">
      <c r="A1066" s="6"/>
      <c r="B1066" s="6"/>
      <c r="C1066" s="6"/>
      <c r="D1066" s="6"/>
      <c r="E1066" s="13"/>
      <c r="F1066" s="6"/>
      <c r="G1066" s="11" t="str">
        <f aca="true">IF(F1066="","",YEAR(TODAY())-F1066)</f>
        <v/>
      </c>
      <c r="H1066" s="11" t="str">
        <f aca="false">IF(C1066="","",IF(G1066="","Thiếu thông tin",IF(G1066&lt;6,"Trẻ em",IF(G1066&lt;23,"Học sinh / Sinh viên",IF(G1066&lt;60,"Đang đi làm","Nghỉ hưu")))))</f>
        <v/>
      </c>
      <c r="I1066" s="6"/>
      <c r="J1066" s="11" t="str">
        <f aca="false">IF(B1066="","",IFERROR(INDEX('Hộ gia đình'!$B$2:$B$2000,MATCH(B1066,'Hộ gia đình'!$A$2:$A$2000,0)),"Mã hộ không tồn tại"))</f>
        <v/>
      </c>
      <c r="K1066" s="14"/>
      <c r="L1066" s="14"/>
      <c r="M1066" s="6"/>
      <c r="N1066" s="6"/>
      <c r="O1066" s="6"/>
      <c r="P1066" s="6"/>
      <c r="Q1066" s="6"/>
      <c r="R1066" s="12"/>
    </row>
    <row r="1067" customFormat="false" ht="15" hidden="false" customHeight="true" outlineLevel="0" collapsed="false">
      <c r="A1067" s="6"/>
      <c r="B1067" s="6"/>
      <c r="C1067" s="6"/>
      <c r="D1067" s="6"/>
      <c r="E1067" s="13"/>
      <c r="F1067" s="6"/>
      <c r="G1067" s="11" t="str">
        <f aca="true">IF(F1067="","",YEAR(TODAY())-F1067)</f>
        <v/>
      </c>
      <c r="H1067" s="11" t="str">
        <f aca="false">IF(C1067="","",IF(G1067="","Thiếu thông tin",IF(G1067&lt;6,"Trẻ em",IF(G1067&lt;23,"Học sinh / Sinh viên",IF(G1067&lt;60,"Đang đi làm","Nghỉ hưu")))))</f>
        <v/>
      </c>
      <c r="I1067" s="6"/>
      <c r="J1067" s="11" t="str">
        <f aca="false">IF(B1067="","",IFERROR(INDEX('Hộ gia đình'!$B$2:$B$2000,MATCH(B1067,'Hộ gia đình'!$A$2:$A$2000,0)),"Mã hộ không tồn tại"))</f>
        <v/>
      </c>
      <c r="K1067" s="14"/>
      <c r="L1067" s="14"/>
      <c r="M1067" s="6"/>
      <c r="N1067" s="6"/>
      <c r="O1067" s="6"/>
      <c r="P1067" s="6"/>
      <c r="Q1067" s="6"/>
      <c r="R1067" s="12"/>
    </row>
    <row r="1068" customFormat="false" ht="15" hidden="false" customHeight="true" outlineLevel="0" collapsed="false">
      <c r="A1068" s="6"/>
      <c r="B1068" s="6"/>
      <c r="C1068" s="6"/>
      <c r="D1068" s="6"/>
      <c r="E1068" s="13"/>
      <c r="F1068" s="6"/>
      <c r="G1068" s="11" t="str">
        <f aca="true">IF(F1068="","",YEAR(TODAY())-F1068)</f>
        <v/>
      </c>
      <c r="H1068" s="11" t="str">
        <f aca="false">IF(C1068="","",IF(G1068="","Thiếu thông tin",IF(G1068&lt;6,"Trẻ em",IF(G1068&lt;23,"Học sinh / Sinh viên",IF(G1068&lt;60,"Đang đi làm","Nghỉ hưu")))))</f>
        <v/>
      </c>
      <c r="I1068" s="6"/>
      <c r="J1068" s="11" t="str">
        <f aca="false">IF(B1068="","",IFERROR(INDEX('Hộ gia đình'!$B$2:$B$2000,MATCH(B1068,'Hộ gia đình'!$A$2:$A$2000,0)),"Mã hộ không tồn tại"))</f>
        <v/>
      </c>
      <c r="K1068" s="14"/>
      <c r="L1068" s="14"/>
      <c r="M1068" s="6"/>
      <c r="N1068" s="6"/>
      <c r="O1068" s="6"/>
      <c r="P1068" s="6"/>
      <c r="Q1068" s="6"/>
      <c r="R1068" s="12"/>
    </row>
    <row r="1069" customFormat="false" ht="15" hidden="false" customHeight="true" outlineLevel="0" collapsed="false">
      <c r="A1069" s="6"/>
      <c r="B1069" s="6"/>
      <c r="C1069" s="6"/>
      <c r="D1069" s="6"/>
      <c r="E1069" s="13"/>
      <c r="F1069" s="6"/>
      <c r="G1069" s="11" t="str">
        <f aca="true">IF(F1069="","",YEAR(TODAY())-F1069)</f>
        <v/>
      </c>
      <c r="H1069" s="11" t="str">
        <f aca="false">IF(C1069="","",IF(G1069="","Thiếu thông tin",IF(G1069&lt;6,"Trẻ em",IF(G1069&lt;23,"Học sinh / Sinh viên",IF(G1069&lt;60,"Đang đi làm","Nghỉ hưu")))))</f>
        <v/>
      </c>
      <c r="I1069" s="6"/>
      <c r="J1069" s="11" t="str">
        <f aca="false">IF(B1069="","",IFERROR(INDEX('Hộ gia đình'!$B$2:$B$2000,MATCH(B1069,'Hộ gia đình'!$A$2:$A$2000,0)),"Mã hộ không tồn tại"))</f>
        <v/>
      </c>
      <c r="K1069" s="14"/>
      <c r="L1069" s="14"/>
      <c r="M1069" s="6"/>
      <c r="N1069" s="6"/>
      <c r="O1069" s="6"/>
      <c r="P1069" s="6"/>
      <c r="Q1069" s="6"/>
      <c r="R1069" s="12"/>
    </row>
    <row r="1070" customFormat="false" ht="15" hidden="false" customHeight="true" outlineLevel="0" collapsed="false">
      <c r="A1070" s="6"/>
      <c r="B1070" s="6"/>
      <c r="C1070" s="6"/>
      <c r="D1070" s="6"/>
      <c r="E1070" s="13"/>
      <c r="F1070" s="6"/>
      <c r="G1070" s="11" t="str">
        <f aca="true">IF(F1070="","",YEAR(TODAY())-F1070)</f>
        <v/>
      </c>
      <c r="H1070" s="11" t="str">
        <f aca="false">IF(C1070="","",IF(G1070="","Thiếu thông tin",IF(G1070&lt;6,"Trẻ em",IF(G1070&lt;23,"Học sinh / Sinh viên",IF(G1070&lt;60,"Đang đi làm","Nghỉ hưu")))))</f>
        <v/>
      </c>
      <c r="I1070" s="6"/>
      <c r="J1070" s="11" t="str">
        <f aca="false">IF(B1070="","",IFERROR(INDEX('Hộ gia đình'!$B$2:$B$2000,MATCH(B1070,'Hộ gia đình'!$A$2:$A$2000,0)),"Mã hộ không tồn tại"))</f>
        <v/>
      </c>
      <c r="K1070" s="14"/>
      <c r="L1070" s="14"/>
      <c r="M1070" s="6"/>
      <c r="N1070" s="6"/>
      <c r="O1070" s="6"/>
      <c r="P1070" s="6"/>
      <c r="Q1070" s="6"/>
      <c r="R1070" s="12"/>
    </row>
    <row r="1071" customFormat="false" ht="15" hidden="false" customHeight="true" outlineLevel="0" collapsed="false">
      <c r="A1071" s="6"/>
      <c r="B1071" s="6"/>
      <c r="C1071" s="6"/>
      <c r="D1071" s="6"/>
      <c r="E1071" s="13"/>
      <c r="F1071" s="6"/>
      <c r="G1071" s="11" t="str">
        <f aca="true">IF(F1071="","",YEAR(TODAY())-F1071)</f>
        <v/>
      </c>
      <c r="H1071" s="11" t="str">
        <f aca="false">IF(C1071="","",IF(G1071="","Thiếu thông tin",IF(G1071&lt;6,"Trẻ em",IF(G1071&lt;23,"Học sinh / Sinh viên",IF(G1071&lt;60,"Đang đi làm","Nghỉ hưu")))))</f>
        <v/>
      </c>
      <c r="I1071" s="6"/>
      <c r="J1071" s="11" t="str">
        <f aca="false">IF(B1071="","",IFERROR(INDEX('Hộ gia đình'!$B$2:$B$2000,MATCH(B1071,'Hộ gia đình'!$A$2:$A$2000,0)),"Mã hộ không tồn tại"))</f>
        <v/>
      </c>
      <c r="K1071" s="14"/>
      <c r="L1071" s="14"/>
      <c r="M1071" s="6"/>
      <c r="N1071" s="6"/>
      <c r="O1071" s="6"/>
      <c r="P1071" s="6"/>
      <c r="Q1071" s="6"/>
      <c r="R1071" s="12"/>
    </row>
    <row r="1072" customFormat="false" ht="15" hidden="false" customHeight="true" outlineLevel="0" collapsed="false">
      <c r="A1072" s="6"/>
      <c r="B1072" s="6"/>
      <c r="C1072" s="6"/>
      <c r="D1072" s="6"/>
      <c r="E1072" s="13"/>
      <c r="F1072" s="6"/>
      <c r="G1072" s="11" t="str">
        <f aca="true">IF(F1072="","",YEAR(TODAY())-F1072)</f>
        <v/>
      </c>
      <c r="H1072" s="11" t="str">
        <f aca="false">IF(C1072="","",IF(G1072="","Thiếu thông tin",IF(G1072&lt;6,"Trẻ em",IF(G1072&lt;23,"Học sinh / Sinh viên",IF(G1072&lt;60,"Đang đi làm","Nghỉ hưu")))))</f>
        <v/>
      </c>
      <c r="I1072" s="6"/>
      <c r="J1072" s="11" t="str">
        <f aca="false">IF(B1072="","",IFERROR(INDEX('Hộ gia đình'!$B$2:$B$2000,MATCH(B1072,'Hộ gia đình'!$A$2:$A$2000,0)),"Mã hộ không tồn tại"))</f>
        <v/>
      </c>
      <c r="K1072" s="14"/>
      <c r="L1072" s="14"/>
      <c r="M1072" s="6"/>
      <c r="N1072" s="6"/>
      <c r="O1072" s="6"/>
      <c r="P1072" s="6"/>
      <c r="Q1072" s="6"/>
      <c r="R1072" s="12"/>
    </row>
    <row r="1073" customFormat="false" ht="15" hidden="false" customHeight="true" outlineLevel="0" collapsed="false">
      <c r="A1073" s="6"/>
      <c r="B1073" s="6"/>
      <c r="C1073" s="6"/>
      <c r="D1073" s="6"/>
      <c r="E1073" s="13"/>
      <c r="F1073" s="6"/>
      <c r="G1073" s="11" t="str">
        <f aca="true">IF(F1073="","",YEAR(TODAY())-F1073)</f>
        <v/>
      </c>
      <c r="H1073" s="11" t="str">
        <f aca="false">IF(C1073="","",IF(G1073="","Thiếu thông tin",IF(G1073&lt;6,"Trẻ em",IF(G1073&lt;23,"Học sinh / Sinh viên",IF(G1073&lt;60,"Đang đi làm","Nghỉ hưu")))))</f>
        <v/>
      </c>
      <c r="I1073" s="6"/>
      <c r="J1073" s="11" t="str">
        <f aca="false">IF(B1073="","",IFERROR(INDEX('Hộ gia đình'!$B$2:$B$2000,MATCH(B1073,'Hộ gia đình'!$A$2:$A$2000,0)),"Mã hộ không tồn tại"))</f>
        <v/>
      </c>
      <c r="K1073" s="14"/>
      <c r="L1073" s="14"/>
      <c r="M1073" s="6"/>
      <c r="N1073" s="6"/>
      <c r="O1073" s="6"/>
      <c r="P1073" s="6"/>
      <c r="Q1073" s="6"/>
      <c r="R1073" s="12"/>
    </row>
    <row r="1074" customFormat="false" ht="15" hidden="false" customHeight="true" outlineLevel="0" collapsed="false">
      <c r="A1074" s="6"/>
      <c r="B1074" s="6"/>
      <c r="C1074" s="6"/>
      <c r="D1074" s="6"/>
      <c r="E1074" s="13"/>
      <c r="F1074" s="6"/>
      <c r="G1074" s="11" t="str">
        <f aca="true">IF(F1074="","",YEAR(TODAY())-F1074)</f>
        <v/>
      </c>
      <c r="H1074" s="11" t="str">
        <f aca="false">IF(C1074="","",IF(G1074="","Thiếu thông tin",IF(G1074&lt;6,"Trẻ em",IF(G1074&lt;23,"Học sinh / Sinh viên",IF(G1074&lt;60,"Đang đi làm","Nghỉ hưu")))))</f>
        <v/>
      </c>
      <c r="I1074" s="6"/>
      <c r="J1074" s="11" t="str">
        <f aca="false">IF(B1074="","",IFERROR(INDEX('Hộ gia đình'!$B$2:$B$2000,MATCH(B1074,'Hộ gia đình'!$A$2:$A$2000,0)),"Mã hộ không tồn tại"))</f>
        <v/>
      </c>
      <c r="K1074" s="14"/>
      <c r="L1074" s="14"/>
      <c r="M1074" s="6"/>
      <c r="N1074" s="6"/>
      <c r="O1074" s="6"/>
      <c r="P1074" s="6"/>
      <c r="Q1074" s="6"/>
      <c r="R1074" s="12"/>
    </row>
    <row r="1075" customFormat="false" ht="15" hidden="false" customHeight="true" outlineLevel="0" collapsed="false">
      <c r="A1075" s="6"/>
      <c r="B1075" s="6"/>
      <c r="C1075" s="6"/>
      <c r="D1075" s="6"/>
      <c r="E1075" s="13"/>
      <c r="F1075" s="6"/>
      <c r="G1075" s="11" t="str">
        <f aca="true">IF(F1075="","",YEAR(TODAY())-F1075)</f>
        <v/>
      </c>
      <c r="H1075" s="11" t="str">
        <f aca="false">IF(C1075="","",IF(G1075="","Thiếu thông tin",IF(G1075&lt;6,"Trẻ em",IF(G1075&lt;23,"Học sinh / Sinh viên",IF(G1075&lt;60,"Đang đi làm","Nghỉ hưu")))))</f>
        <v/>
      </c>
      <c r="I1075" s="6"/>
      <c r="J1075" s="11" t="str">
        <f aca="false">IF(B1075="","",IFERROR(INDEX('Hộ gia đình'!$B$2:$B$2000,MATCH(B1075,'Hộ gia đình'!$A$2:$A$2000,0)),"Mã hộ không tồn tại"))</f>
        <v/>
      </c>
      <c r="K1075" s="14"/>
      <c r="L1075" s="14"/>
      <c r="M1075" s="6"/>
      <c r="N1075" s="6"/>
      <c r="O1075" s="6"/>
      <c r="P1075" s="6"/>
      <c r="Q1075" s="6"/>
      <c r="R1075" s="12"/>
    </row>
    <row r="1076" customFormat="false" ht="15" hidden="false" customHeight="true" outlineLevel="0" collapsed="false">
      <c r="A1076" s="6"/>
      <c r="B1076" s="6"/>
      <c r="C1076" s="6"/>
      <c r="D1076" s="6"/>
      <c r="E1076" s="13"/>
      <c r="F1076" s="6"/>
      <c r="G1076" s="11" t="str">
        <f aca="true">IF(F1076="","",YEAR(TODAY())-F1076)</f>
        <v/>
      </c>
      <c r="H1076" s="11" t="str">
        <f aca="false">IF(C1076="","",IF(G1076="","Thiếu thông tin",IF(G1076&lt;6,"Trẻ em",IF(G1076&lt;23,"Học sinh / Sinh viên",IF(G1076&lt;60,"Đang đi làm","Nghỉ hưu")))))</f>
        <v/>
      </c>
      <c r="I1076" s="6"/>
      <c r="J1076" s="11" t="str">
        <f aca="false">IF(B1076="","",IFERROR(INDEX('Hộ gia đình'!$B$2:$B$2000,MATCH(B1076,'Hộ gia đình'!$A$2:$A$2000,0)),"Mã hộ không tồn tại"))</f>
        <v/>
      </c>
      <c r="K1076" s="14"/>
      <c r="L1076" s="14"/>
      <c r="M1076" s="6"/>
      <c r="N1076" s="6"/>
      <c r="O1076" s="6"/>
      <c r="P1076" s="6"/>
      <c r="Q1076" s="6"/>
      <c r="R1076" s="12"/>
    </row>
    <row r="1077" customFormat="false" ht="15" hidden="false" customHeight="true" outlineLevel="0" collapsed="false">
      <c r="A1077" s="6"/>
      <c r="B1077" s="6"/>
      <c r="C1077" s="6"/>
      <c r="D1077" s="6"/>
      <c r="E1077" s="13"/>
      <c r="F1077" s="6"/>
      <c r="G1077" s="11" t="str">
        <f aca="true">IF(F1077="","",YEAR(TODAY())-F1077)</f>
        <v/>
      </c>
      <c r="H1077" s="11" t="str">
        <f aca="false">IF(C1077="","",IF(G1077="","Thiếu thông tin",IF(G1077&lt;6,"Trẻ em",IF(G1077&lt;23,"Học sinh / Sinh viên",IF(G1077&lt;60,"Đang đi làm","Nghỉ hưu")))))</f>
        <v/>
      </c>
      <c r="I1077" s="6"/>
      <c r="J1077" s="11" t="str">
        <f aca="false">IF(B1077="","",IFERROR(INDEX('Hộ gia đình'!$B$2:$B$2000,MATCH(B1077,'Hộ gia đình'!$A$2:$A$2000,0)),"Mã hộ không tồn tại"))</f>
        <v/>
      </c>
      <c r="K1077" s="14"/>
      <c r="L1077" s="14"/>
      <c r="M1077" s="6"/>
      <c r="N1077" s="6"/>
      <c r="O1077" s="6"/>
      <c r="P1077" s="6"/>
      <c r="Q1077" s="6"/>
      <c r="R1077" s="12"/>
    </row>
    <row r="1078" customFormat="false" ht="15" hidden="false" customHeight="true" outlineLevel="0" collapsed="false">
      <c r="A1078" s="6"/>
      <c r="B1078" s="6"/>
      <c r="C1078" s="6"/>
      <c r="D1078" s="6"/>
      <c r="E1078" s="13"/>
      <c r="F1078" s="6"/>
      <c r="G1078" s="11" t="str">
        <f aca="true">IF(F1078="","",YEAR(TODAY())-F1078)</f>
        <v/>
      </c>
      <c r="H1078" s="11" t="str">
        <f aca="false">IF(C1078="","",IF(G1078="","Thiếu thông tin",IF(G1078&lt;6,"Trẻ em",IF(G1078&lt;23,"Học sinh / Sinh viên",IF(G1078&lt;60,"Đang đi làm","Nghỉ hưu")))))</f>
        <v/>
      </c>
      <c r="I1078" s="6"/>
      <c r="J1078" s="11" t="str">
        <f aca="false">IF(B1078="","",IFERROR(INDEX('Hộ gia đình'!$B$2:$B$2000,MATCH(B1078,'Hộ gia đình'!$A$2:$A$2000,0)),"Mã hộ không tồn tại"))</f>
        <v/>
      </c>
      <c r="K1078" s="14"/>
      <c r="L1078" s="14"/>
      <c r="M1078" s="6"/>
      <c r="N1078" s="6"/>
      <c r="O1078" s="6"/>
      <c r="P1078" s="6"/>
      <c r="Q1078" s="6"/>
      <c r="R1078" s="12"/>
    </row>
    <row r="1079" customFormat="false" ht="15" hidden="false" customHeight="true" outlineLevel="0" collapsed="false">
      <c r="A1079" s="6"/>
      <c r="B1079" s="6"/>
      <c r="C1079" s="6"/>
      <c r="D1079" s="6"/>
      <c r="E1079" s="13"/>
      <c r="F1079" s="6"/>
      <c r="G1079" s="11" t="str">
        <f aca="true">IF(F1079="","",YEAR(TODAY())-F1079)</f>
        <v/>
      </c>
      <c r="H1079" s="11" t="str">
        <f aca="false">IF(C1079="","",IF(G1079="","Thiếu thông tin",IF(G1079&lt;6,"Trẻ em",IF(G1079&lt;23,"Học sinh / Sinh viên",IF(G1079&lt;60,"Đang đi làm","Nghỉ hưu")))))</f>
        <v/>
      </c>
      <c r="I1079" s="6"/>
      <c r="J1079" s="11" t="str">
        <f aca="false">IF(B1079="","",IFERROR(INDEX('Hộ gia đình'!$B$2:$B$2000,MATCH(B1079,'Hộ gia đình'!$A$2:$A$2000,0)),"Mã hộ không tồn tại"))</f>
        <v/>
      </c>
      <c r="K1079" s="14"/>
      <c r="L1079" s="14"/>
      <c r="M1079" s="6"/>
      <c r="N1079" s="6"/>
      <c r="O1079" s="6"/>
      <c r="P1079" s="6"/>
      <c r="Q1079" s="6"/>
      <c r="R1079" s="12"/>
    </row>
    <row r="1080" customFormat="false" ht="15" hidden="false" customHeight="true" outlineLevel="0" collapsed="false">
      <c r="A1080" s="6"/>
      <c r="B1080" s="6"/>
      <c r="C1080" s="6"/>
      <c r="D1080" s="6"/>
      <c r="E1080" s="13"/>
      <c r="F1080" s="6"/>
      <c r="G1080" s="11" t="str">
        <f aca="true">IF(F1080="","",YEAR(TODAY())-F1080)</f>
        <v/>
      </c>
      <c r="H1080" s="11" t="str">
        <f aca="false">IF(C1080="","",IF(G1080="","Thiếu thông tin",IF(G1080&lt;6,"Trẻ em",IF(G1080&lt;23,"Học sinh / Sinh viên",IF(G1080&lt;60,"Đang đi làm","Nghỉ hưu")))))</f>
        <v/>
      </c>
      <c r="I1080" s="6"/>
      <c r="J1080" s="11" t="str">
        <f aca="false">IF(B1080="","",IFERROR(INDEX('Hộ gia đình'!$B$2:$B$2000,MATCH(B1080,'Hộ gia đình'!$A$2:$A$2000,0)),"Mã hộ không tồn tại"))</f>
        <v/>
      </c>
      <c r="K1080" s="14"/>
      <c r="L1080" s="14"/>
      <c r="M1080" s="6"/>
      <c r="N1080" s="6"/>
      <c r="O1080" s="6"/>
      <c r="P1080" s="6"/>
      <c r="Q1080" s="6"/>
      <c r="R1080" s="12"/>
    </row>
    <row r="1081" customFormat="false" ht="15" hidden="false" customHeight="true" outlineLevel="0" collapsed="false">
      <c r="A1081" s="6"/>
      <c r="B1081" s="6"/>
      <c r="C1081" s="6"/>
      <c r="D1081" s="6"/>
      <c r="E1081" s="13"/>
      <c r="F1081" s="6"/>
      <c r="G1081" s="11" t="str">
        <f aca="true">IF(F1081="","",YEAR(TODAY())-F1081)</f>
        <v/>
      </c>
      <c r="H1081" s="11" t="str">
        <f aca="false">IF(C1081="","",IF(G1081="","Thiếu thông tin",IF(G1081&lt;6,"Trẻ em",IF(G1081&lt;23,"Học sinh / Sinh viên",IF(G1081&lt;60,"Đang đi làm","Nghỉ hưu")))))</f>
        <v/>
      </c>
      <c r="I1081" s="6"/>
      <c r="J1081" s="11" t="str">
        <f aca="false">IF(B1081="","",IFERROR(INDEX('Hộ gia đình'!$B$2:$B$2000,MATCH(B1081,'Hộ gia đình'!$A$2:$A$2000,0)),"Mã hộ không tồn tại"))</f>
        <v/>
      </c>
      <c r="K1081" s="14"/>
      <c r="L1081" s="14"/>
      <c r="M1081" s="6"/>
      <c r="N1081" s="6"/>
      <c r="O1081" s="6"/>
      <c r="P1081" s="6"/>
      <c r="Q1081" s="6"/>
      <c r="R1081" s="12"/>
    </row>
    <row r="1082" customFormat="false" ht="15" hidden="false" customHeight="true" outlineLevel="0" collapsed="false">
      <c r="A1082" s="6"/>
      <c r="B1082" s="6"/>
      <c r="C1082" s="6"/>
      <c r="D1082" s="6"/>
      <c r="E1082" s="13"/>
      <c r="F1082" s="6"/>
      <c r="G1082" s="11" t="str">
        <f aca="true">IF(F1082="","",YEAR(TODAY())-F1082)</f>
        <v/>
      </c>
      <c r="H1082" s="11" t="str">
        <f aca="false">IF(C1082="","",IF(G1082="","Thiếu thông tin",IF(G1082&lt;6,"Trẻ em",IF(G1082&lt;23,"Học sinh / Sinh viên",IF(G1082&lt;60,"Đang đi làm","Nghỉ hưu")))))</f>
        <v/>
      </c>
      <c r="I1082" s="6"/>
      <c r="J1082" s="11" t="str">
        <f aca="false">IF(B1082="","",IFERROR(INDEX('Hộ gia đình'!$B$2:$B$2000,MATCH(B1082,'Hộ gia đình'!$A$2:$A$2000,0)),"Mã hộ không tồn tại"))</f>
        <v/>
      </c>
      <c r="K1082" s="14"/>
      <c r="L1082" s="14"/>
      <c r="M1082" s="6"/>
      <c r="N1082" s="6"/>
      <c r="O1082" s="6"/>
      <c r="P1082" s="6"/>
      <c r="Q1082" s="6"/>
      <c r="R1082" s="12"/>
    </row>
    <row r="1083" customFormat="false" ht="15" hidden="false" customHeight="true" outlineLevel="0" collapsed="false">
      <c r="A1083" s="6"/>
      <c r="B1083" s="6"/>
      <c r="C1083" s="6"/>
      <c r="D1083" s="6"/>
      <c r="E1083" s="13"/>
      <c r="F1083" s="6"/>
      <c r="G1083" s="11" t="str">
        <f aca="true">IF(F1083="","",YEAR(TODAY())-F1083)</f>
        <v/>
      </c>
      <c r="H1083" s="11" t="str">
        <f aca="false">IF(C1083="","",IF(G1083="","Thiếu thông tin",IF(G1083&lt;6,"Trẻ em",IF(G1083&lt;23,"Học sinh / Sinh viên",IF(G1083&lt;60,"Đang đi làm","Nghỉ hưu")))))</f>
        <v/>
      </c>
      <c r="I1083" s="6"/>
      <c r="J1083" s="11" t="str">
        <f aca="false">IF(B1083="","",IFERROR(INDEX('Hộ gia đình'!$B$2:$B$2000,MATCH(B1083,'Hộ gia đình'!$A$2:$A$2000,0)),"Mã hộ không tồn tại"))</f>
        <v/>
      </c>
      <c r="K1083" s="14"/>
      <c r="L1083" s="14"/>
      <c r="M1083" s="6"/>
      <c r="N1083" s="6"/>
      <c r="O1083" s="6"/>
      <c r="P1083" s="6"/>
      <c r="Q1083" s="6"/>
      <c r="R1083" s="12"/>
    </row>
    <row r="1084" customFormat="false" ht="15" hidden="false" customHeight="true" outlineLevel="0" collapsed="false">
      <c r="A1084" s="6"/>
      <c r="B1084" s="6"/>
      <c r="C1084" s="6"/>
      <c r="D1084" s="6"/>
      <c r="E1084" s="13"/>
      <c r="F1084" s="6"/>
      <c r="G1084" s="11" t="str">
        <f aca="true">IF(F1084="","",YEAR(TODAY())-F1084)</f>
        <v/>
      </c>
      <c r="H1084" s="11" t="str">
        <f aca="false">IF(C1084="","",IF(G1084="","Thiếu thông tin",IF(G1084&lt;6,"Trẻ em",IF(G1084&lt;23,"Học sinh / Sinh viên",IF(G1084&lt;60,"Đang đi làm","Nghỉ hưu")))))</f>
        <v/>
      </c>
      <c r="I1084" s="6"/>
      <c r="J1084" s="11" t="str">
        <f aca="false">IF(B1084="","",IFERROR(INDEX('Hộ gia đình'!$B$2:$B$2000,MATCH(B1084,'Hộ gia đình'!$A$2:$A$2000,0)),"Mã hộ không tồn tại"))</f>
        <v/>
      </c>
      <c r="K1084" s="14"/>
      <c r="L1084" s="14"/>
      <c r="M1084" s="6"/>
      <c r="N1084" s="6"/>
      <c r="O1084" s="6"/>
      <c r="P1084" s="6"/>
      <c r="Q1084" s="6"/>
      <c r="R1084" s="12"/>
    </row>
    <row r="1085" customFormat="false" ht="15" hidden="false" customHeight="true" outlineLevel="0" collapsed="false">
      <c r="A1085" s="6"/>
      <c r="B1085" s="6"/>
      <c r="C1085" s="6"/>
      <c r="D1085" s="6"/>
      <c r="E1085" s="13"/>
      <c r="F1085" s="6"/>
      <c r="G1085" s="11" t="str">
        <f aca="true">IF(F1085="","",YEAR(TODAY())-F1085)</f>
        <v/>
      </c>
      <c r="H1085" s="11" t="str">
        <f aca="false">IF(C1085="","",IF(G1085="","Thiếu thông tin",IF(G1085&lt;6,"Trẻ em",IF(G1085&lt;23,"Học sinh / Sinh viên",IF(G1085&lt;60,"Đang đi làm","Nghỉ hưu")))))</f>
        <v/>
      </c>
      <c r="I1085" s="6"/>
      <c r="J1085" s="11" t="str">
        <f aca="false">IF(B1085="","",IFERROR(INDEX('Hộ gia đình'!$B$2:$B$2000,MATCH(B1085,'Hộ gia đình'!$A$2:$A$2000,0)),"Mã hộ không tồn tại"))</f>
        <v/>
      </c>
      <c r="K1085" s="14"/>
      <c r="L1085" s="14"/>
      <c r="M1085" s="6"/>
      <c r="N1085" s="6"/>
      <c r="O1085" s="6"/>
      <c r="P1085" s="6"/>
      <c r="Q1085" s="6"/>
      <c r="R1085" s="12"/>
    </row>
    <row r="1086" customFormat="false" ht="15" hidden="false" customHeight="true" outlineLevel="0" collapsed="false">
      <c r="A1086" s="6"/>
      <c r="B1086" s="6"/>
      <c r="C1086" s="6"/>
      <c r="D1086" s="6"/>
      <c r="E1086" s="13"/>
      <c r="F1086" s="6"/>
      <c r="G1086" s="11" t="str">
        <f aca="true">IF(F1086="","",YEAR(TODAY())-F1086)</f>
        <v/>
      </c>
      <c r="H1086" s="11" t="str">
        <f aca="false">IF(C1086="","",IF(G1086="","Thiếu thông tin",IF(G1086&lt;6,"Trẻ em",IF(G1086&lt;23,"Học sinh / Sinh viên",IF(G1086&lt;60,"Đang đi làm","Nghỉ hưu")))))</f>
        <v/>
      </c>
      <c r="I1086" s="6"/>
      <c r="J1086" s="11" t="str">
        <f aca="false">IF(B1086="","",IFERROR(INDEX('Hộ gia đình'!$B$2:$B$2000,MATCH(B1086,'Hộ gia đình'!$A$2:$A$2000,0)),"Mã hộ không tồn tại"))</f>
        <v/>
      </c>
      <c r="K1086" s="14"/>
      <c r="L1086" s="14"/>
      <c r="M1086" s="6"/>
      <c r="N1086" s="6"/>
      <c r="O1086" s="6"/>
      <c r="P1086" s="6"/>
      <c r="Q1086" s="6"/>
      <c r="R1086" s="12"/>
    </row>
    <row r="1087" customFormat="false" ht="15" hidden="false" customHeight="true" outlineLevel="0" collapsed="false">
      <c r="A1087" s="6"/>
      <c r="B1087" s="6"/>
      <c r="C1087" s="6"/>
      <c r="D1087" s="6"/>
      <c r="E1087" s="13"/>
      <c r="F1087" s="6"/>
      <c r="G1087" s="11" t="str">
        <f aca="true">IF(F1087="","",YEAR(TODAY())-F1087)</f>
        <v/>
      </c>
      <c r="H1087" s="11" t="str">
        <f aca="false">IF(C1087="","",IF(G1087="","Thiếu thông tin",IF(G1087&lt;6,"Trẻ em",IF(G1087&lt;23,"Học sinh / Sinh viên",IF(G1087&lt;60,"Đang đi làm","Nghỉ hưu")))))</f>
        <v/>
      </c>
      <c r="I1087" s="6"/>
      <c r="J1087" s="11" t="str">
        <f aca="false">IF(B1087="","",IFERROR(INDEX('Hộ gia đình'!$B$2:$B$2000,MATCH(B1087,'Hộ gia đình'!$A$2:$A$2000,0)),"Mã hộ không tồn tại"))</f>
        <v/>
      </c>
      <c r="K1087" s="14"/>
      <c r="L1087" s="14"/>
      <c r="M1087" s="6"/>
      <c r="N1087" s="6"/>
      <c r="O1087" s="6"/>
      <c r="P1087" s="6"/>
      <c r="Q1087" s="6"/>
      <c r="R1087" s="12"/>
    </row>
    <row r="1088" customFormat="false" ht="15" hidden="false" customHeight="true" outlineLevel="0" collapsed="false">
      <c r="A1088" s="6"/>
      <c r="B1088" s="6"/>
      <c r="C1088" s="6"/>
      <c r="D1088" s="6"/>
      <c r="E1088" s="13"/>
      <c r="F1088" s="6"/>
      <c r="G1088" s="11" t="str">
        <f aca="true">IF(F1088="","",YEAR(TODAY())-F1088)</f>
        <v/>
      </c>
      <c r="H1088" s="11" t="str">
        <f aca="false">IF(C1088="","",IF(G1088="","Thiếu thông tin",IF(G1088&lt;6,"Trẻ em",IF(G1088&lt;23,"Học sinh / Sinh viên",IF(G1088&lt;60,"Đang đi làm","Nghỉ hưu")))))</f>
        <v/>
      </c>
      <c r="I1088" s="6"/>
      <c r="J1088" s="11" t="str">
        <f aca="false">IF(B1088="","",IFERROR(INDEX('Hộ gia đình'!$B$2:$B$2000,MATCH(B1088,'Hộ gia đình'!$A$2:$A$2000,0)),"Mã hộ không tồn tại"))</f>
        <v/>
      </c>
      <c r="K1088" s="14"/>
      <c r="L1088" s="14"/>
      <c r="M1088" s="6"/>
      <c r="N1088" s="6"/>
      <c r="O1088" s="6"/>
      <c r="P1088" s="6"/>
      <c r="Q1088" s="6"/>
      <c r="R1088" s="12"/>
    </row>
    <row r="1089" customFormat="false" ht="15" hidden="false" customHeight="true" outlineLevel="0" collapsed="false">
      <c r="A1089" s="6"/>
      <c r="B1089" s="6"/>
      <c r="C1089" s="6"/>
      <c r="D1089" s="6"/>
      <c r="E1089" s="13"/>
      <c r="F1089" s="6"/>
      <c r="G1089" s="11" t="str">
        <f aca="true">IF(F1089="","",YEAR(TODAY())-F1089)</f>
        <v/>
      </c>
      <c r="H1089" s="11" t="str">
        <f aca="false">IF(C1089="","",IF(G1089="","Thiếu thông tin",IF(G1089&lt;6,"Trẻ em",IF(G1089&lt;23,"Học sinh / Sinh viên",IF(G1089&lt;60,"Đang đi làm","Nghỉ hưu")))))</f>
        <v/>
      </c>
      <c r="I1089" s="6"/>
      <c r="J1089" s="11" t="str">
        <f aca="false">IF(B1089="","",IFERROR(INDEX('Hộ gia đình'!$B$2:$B$2000,MATCH(B1089,'Hộ gia đình'!$A$2:$A$2000,0)),"Mã hộ không tồn tại"))</f>
        <v/>
      </c>
      <c r="K1089" s="14"/>
      <c r="L1089" s="14"/>
      <c r="M1089" s="6"/>
      <c r="N1089" s="6"/>
      <c r="O1089" s="6"/>
      <c r="P1089" s="6"/>
      <c r="Q1089" s="6"/>
      <c r="R1089" s="12"/>
    </row>
    <row r="1090" customFormat="false" ht="15" hidden="false" customHeight="true" outlineLevel="0" collapsed="false">
      <c r="A1090" s="6"/>
      <c r="B1090" s="6"/>
      <c r="C1090" s="6"/>
      <c r="D1090" s="6"/>
      <c r="E1090" s="13"/>
      <c r="F1090" s="6"/>
      <c r="G1090" s="11" t="str">
        <f aca="true">IF(F1090="","",YEAR(TODAY())-F1090)</f>
        <v/>
      </c>
      <c r="H1090" s="11" t="str">
        <f aca="false">IF(C1090="","",IF(G1090="","Thiếu thông tin",IF(G1090&lt;6,"Trẻ em",IF(G1090&lt;23,"Học sinh / Sinh viên",IF(G1090&lt;60,"Đang đi làm","Nghỉ hưu")))))</f>
        <v/>
      </c>
      <c r="I1090" s="6"/>
      <c r="J1090" s="11" t="str">
        <f aca="false">IF(B1090="","",IFERROR(INDEX('Hộ gia đình'!$B$2:$B$2000,MATCH(B1090,'Hộ gia đình'!$A$2:$A$2000,0)),"Mã hộ không tồn tại"))</f>
        <v/>
      </c>
      <c r="K1090" s="14"/>
      <c r="L1090" s="14"/>
      <c r="M1090" s="6"/>
      <c r="N1090" s="6"/>
      <c r="O1090" s="6"/>
      <c r="P1090" s="6"/>
      <c r="Q1090" s="6"/>
      <c r="R1090" s="12"/>
    </row>
    <row r="1091" customFormat="false" ht="15" hidden="false" customHeight="true" outlineLevel="0" collapsed="false">
      <c r="A1091" s="6"/>
      <c r="B1091" s="6"/>
      <c r="C1091" s="6"/>
      <c r="D1091" s="6"/>
      <c r="E1091" s="13"/>
      <c r="F1091" s="6"/>
      <c r="G1091" s="11" t="str">
        <f aca="true">IF(F1091="","",YEAR(TODAY())-F1091)</f>
        <v/>
      </c>
      <c r="H1091" s="11" t="str">
        <f aca="false">IF(C1091="","",IF(G1091="","Thiếu thông tin",IF(G1091&lt;6,"Trẻ em",IF(G1091&lt;23,"Học sinh / Sinh viên",IF(G1091&lt;60,"Đang đi làm","Nghỉ hưu")))))</f>
        <v/>
      </c>
      <c r="I1091" s="6"/>
      <c r="J1091" s="11" t="str">
        <f aca="false">IF(B1091="","",IFERROR(INDEX('Hộ gia đình'!$B$2:$B$2000,MATCH(B1091,'Hộ gia đình'!$A$2:$A$2000,0)),"Mã hộ không tồn tại"))</f>
        <v/>
      </c>
      <c r="K1091" s="14"/>
      <c r="L1091" s="14"/>
      <c r="M1091" s="6"/>
      <c r="N1091" s="6"/>
      <c r="O1091" s="6"/>
      <c r="P1091" s="6"/>
      <c r="Q1091" s="6"/>
      <c r="R1091" s="12"/>
    </row>
    <row r="1092" customFormat="false" ht="15" hidden="false" customHeight="true" outlineLevel="0" collapsed="false">
      <c r="A1092" s="6"/>
      <c r="B1092" s="6"/>
      <c r="C1092" s="6"/>
      <c r="D1092" s="6"/>
      <c r="E1092" s="13"/>
      <c r="F1092" s="6"/>
      <c r="G1092" s="11" t="str">
        <f aca="true">IF(F1092="","",YEAR(TODAY())-F1092)</f>
        <v/>
      </c>
      <c r="H1092" s="11" t="str">
        <f aca="false">IF(C1092="","",IF(G1092="","Thiếu thông tin",IF(G1092&lt;6,"Trẻ em",IF(G1092&lt;23,"Học sinh / Sinh viên",IF(G1092&lt;60,"Đang đi làm","Nghỉ hưu")))))</f>
        <v/>
      </c>
      <c r="I1092" s="6"/>
      <c r="J1092" s="11" t="str">
        <f aca="false">IF(B1092="","",IFERROR(INDEX('Hộ gia đình'!$B$2:$B$2000,MATCH(B1092,'Hộ gia đình'!$A$2:$A$2000,0)),"Mã hộ không tồn tại"))</f>
        <v/>
      </c>
      <c r="K1092" s="14"/>
      <c r="L1092" s="14"/>
      <c r="M1092" s="6"/>
      <c r="N1092" s="6"/>
      <c r="O1092" s="6"/>
      <c r="P1092" s="6"/>
      <c r="Q1092" s="6"/>
      <c r="R1092" s="12"/>
    </row>
    <row r="1093" customFormat="false" ht="15" hidden="false" customHeight="true" outlineLevel="0" collapsed="false">
      <c r="A1093" s="6"/>
      <c r="B1093" s="6"/>
      <c r="C1093" s="6"/>
      <c r="D1093" s="6"/>
      <c r="E1093" s="13"/>
      <c r="F1093" s="6"/>
      <c r="G1093" s="11" t="str">
        <f aca="true">IF(F1093="","",YEAR(TODAY())-F1093)</f>
        <v/>
      </c>
      <c r="H1093" s="11" t="str">
        <f aca="false">IF(C1093="","",IF(G1093="","Thiếu thông tin",IF(G1093&lt;6,"Trẻ em",IF(G1093&lt;23,"Học sinh / Sinh viên",IF(G1093&lt;60,"Đang đi làm","Nghỉ hưu")))))</f>
        <v/>
      </c>
      <c r="I1093" s="6"/>
      <c r="J1093" s="11" t="str">
        <f aca="false">IF(B1093="","",IFERROR(INDEX('Hộ gia đình'!$B$2:$B$2000,MATCH(B1093,'Hộ gia đình'!$A$2:$A$2000,0)),"Mã hộ không tồn tại"))</f>
        <v/>
      </c>
      <c r="K1093" s="14"/>
      <c r="L1093" s="14"/>
      <c r="M1093" s="6"/>
      <c r="N1093" s="6"/>
      <c r="O1093" s="6"/>
      <c r="P1093" s="6"/>
      <c r="Q1093" s="6"/>
      <c r="R1093" s="12"/>
    </row>
    <row r="1094" customFormat="false" ht="15" hidden="false" customHeight="true" outlineLevel="0" collapsed="false">
      <c r="A1094" s="6"/>
      <c r="B1094" s="6"/>
      <c r="C1094" s="6"/>
      <c r="D1094" s="6"/>
      <c r="E1094" s="13"/>
      <c r="F1094" s="6"/>
      <c r="G1094" s="11" t="str">
        <f aca="true">IF(F1094="","",YEAR(TODAY())-F1094)</f>
        <v/>
      </c>
      <c r="H1094" s="11" t="str">
        <f aca="false">IF(C1094="","",IF(G1094="","Thiếu thông tin",IF(G1094&lt;6,"Trẻ em",IF(G1094&lt;23,"Học sinh / Sinh viên",IF(G1094&lt;60,"Đang đi làm","Nghỉ hưu")))))</f>
        <v/>
      </c>
      <c r="I1094" s="6"/>
      <c r="J1094" s="11" t="str">
        <f aca="false">IF(B1094="","",IFERROR(INDEX('Hộ gia đình'!$B$2:$B$2000,MATCH(B1094,'Hộ gia đình'!$A$2:$A$2000,0)),"Mã hộ không tồn tại"))</f>
        <v/>
      </c>
      <c r="K1094" s="14"/>
      <c r="L1094" s="14"/>
      <c r="M1094" s="6"/>
      <c r="N1094" s="6"/>
      <c r="O1094" s="6"/>
      <c r="P1094" s="6"/>
      <c r="Q1094" s="6"/>
      <c r="R1094" s="12"/>
    </row>
    <row r="1095" customFormat="false" ht="15" hidden="false" customHeight="true" outlineLevel="0" collapsed="false">
      <c r="A1095" s="6"/>
      <c r="B1095" s="6"/>
      <c r="C1095" s="6"/>
      <c r="D1095" s="6"/>
      <c r="E1095" s="13"/>
      <c r="F1095" s="6"/>
      <c r="G1095" s="11" t="str">
        <f aca="true">IF(F1095="","",YEAR(TODAY())-F1095)</f>
        <v/>
      </c>
      <c r="H1095" s="11" t="str">
        <f aca="false">IF(C1095="","",IF(G1095="","Thiếu thông tin",IF(G1095&lt;6,"Trẻ em",IF(G1095&lt;23,"Học sinh / Sinh viên",IF(G1095&lt;60,"Đang đi làm","Nghỉ hưu")))))</f>
        <v/>
      </c>
      <c r="I1095" s="6"/>
      <c r="J1095" s="11" t="str">
        <f aca="false">IF(B1095="","",IFERROR(INDEX('Hộ gia đình'!$B$2:$B$2000,MATCH(B1095,'Hộ gia đình'!$A$2:$A$2000,0)),"Mã hộ không tồn tại"))</f>
        <v/>
      </c>
      <c r="K1095" s="14"/>
      <c r="L1095" s="14"/>
      <c r="M1095" s="6"/>
      <c r="N1095" s="6"/>
      <c r="O1095" s="6"/>
      <c r="P1095" s="6"/>
      <c r="Q1095" s="6"/>
      <c r="R1095" s="12"/>
    </row>
    <row r="1096" customFormat="false" ht="15" hidden="false" customHeight="true" outlineLevel="0" collapsed="false">
      <c r="A1096" s="6"/>
      <c r="B1096" s="6"/>
      <c r="C1096" s="6"/>
      <c r="D1096" s="6"/>
      <c r="E1096" s="13"/>
      <c r="F1096" s="6"/>
      <c r="G1096" s="11" t="str">
        <f aca="true">IF(F1096="","",YEAR(TODAY())-F1096)</f>
        <v/>
      </c>
      <c r="H1096" s="11" t="str">
        <f aca="false">IF(C1096="","",IF(G1096="","Thiếu thông tin",IF(G1096&lt;6,"Trẻ em",IF(G1096&lt;23,"Học sinh / Sinh viên",IF(G1096&lt;60,"Đang đi làm","Nghỉ hưu")))))</f>
        <v/>
      </c>
      <c r="I1096" s="6"/>
      <c r="J1096" s="11" t="str">
        <f aca="false">IF(B1096="","",IFERROR(INDEX('Hộ gia đình'!$B$2:$B$2000,MATCH(B1096,'Hộ gia đình'!$A$2:$A$2000,0)),"Mã hộ không tồn tại"))</f>
        <v/>
      </c>
      <c r="K1096" s="14"/>
      <c r="L1096" s="14"/>
      <c r="M1096" s="6"/>
      <c r="N1096" s="6"/>
      <c r="O1096" s="6"/>
      <c r="P1096" s="6"/>
      <c r="Q1096" s="6"/>
      <c r="R1096" s="12"/>
    </row>
    <row r="1097" customFormat="false" ht="15" hidden="false" customHeight="true" outlineLevel="0" collapsed="false">
      <c r="A1097" s="6"/>
      <c r="B1097" s="6"/>
      <c r="C1097" s="6"/>
      <c r="D1097" s="6"/>
      <c r="E1097" s="13"/>
      <c r="F1097" s="6"/>
      <c r="G1097" s="11" t="str">
        <f aca="true">IF(F1097="","",YEAR(TODAY())-F1097)</f>
        <v/>
      </c>
      <c r="H1097" s="11" t="str">
        <f aca="false">IF(C1097="","",IF(G1097="","Thiếu thông tin",IF(G1097&lt;6,"Trẻ em",IF(G1097&lt;23,"Học sinh / Sinh viên",IF(G1097&lt;60,"Đang đi làm","Nghỉ hưu")))))</f>
        <v/>
      </c>
      <c r="I1097" s="6"/>
      <c r="J1097" s="11" t="str">
        <f aca="false">IF(B1097="","",IFERROR(INDEX('Hộ gia đình'!$B$2:$B$2000,MATCH(B1097,'Hộ gia đình'!$A$2:$A$2000,0)),"Mã hộ không tồn tại"))</f>
        <v/>
      </c>
      <c r="K1097" s="14"/>
      <c r="L1097" s="14"/>
      <c r="M1097" s="6"/>
      <c r="N1097" s="6"/>
      <c r="O1097" s="6"/>
      <c r="P1097" s="6"/>
      <c r="Q1097" s="6"/>
      <c r="R1097" s="12"/>
    </row>
    <row r="1098" customFormat="false" ht="15" hidden="false" customHeight="true" outlineLevel="0" collapsed="false">
      <c r="A1098" s="6"/>
      <c r="B1098" s="6"/>
      <c r="C1098" s="6"/>
      <c r="D1098" s="6"/>
      <c r="E1098" s="13"/>
      <c r="F1098" s="6"/>
      <c r="G1098" s="11" t="str">
        <f aca="true">IF(F1098="","",YEAR(TODAY())-F1098)</f>
        <v/>
      </c>
      <c r="H1098" s="11" t="str">
        <f aca="false">IF(C1098="","",IF(G1098="","Thiếu thông tin",IF(G1098&lt;6,"Trẻ em",IF(G1098&lt;23,"Học sinh / Sinh viên",IF(G1098&lt;60,"Đang đi làm","Nghỉ hưu")))))</f>
        <v/>
      </c>
      <c r="I1098" s="6"/>
      <c r="J1098" s="11" t="str">
        <f aca="false">IF(B1098="","",IFERROR(INDEX('Hộ gia đình'!$B$2:$B$2000,MATCH(B1098,'Hộ gia đình'!$A$2:$A$2000,0)),"Mã hộ không tồn tại"))</f>
        <v/>
      </c>
      <c r="K1098" s="14"/>
      <c r="L1098" s="14"/>
      <c r="M1098" s="6"/>
      <c r="N1098" s="6"/>
      <c r="O1098" s="6"/>
      <c r="P1098" s="6"/>
      <c r="Q1098" s="6"/>
      <c r="R1098" s="12"/>
    </row>
    <row r="1099" customFormat="false" ht="15" hidden="false" customHeight="true" outlineLevel="0" collapsed="false">
      <c r="A1099" s="6"/>
      <c r="B1099" s="6"/>
      <c r="C1099" s="6"/>
      <c r="D1099" s="6"/>
      <c r="E1099" s="13"/>
      <c r="F1099" s="6"/>
      <c r="G1099" s="11" t="str">
        <f aca="true">IF(F1099="","",YEAR(TODAY())-F1099)</f>
        <v/>
      </c>
      <c r="H1099" s="11" t="str">
        <f aca="false">IF(C1099="","",IF(G1099="","Thiếu thông tin",IF(G1099&lt;6,"Trẻ em",IF(G1099&lt;23,"Học sinh / Sinh viên",IF(G1099&lt;60,"Đang đi làm","Nghỉ hưu")))))</f>
        <v/>
      </c>
      <c r="I1099" s="6"/>
      <c r="J1099" s="11" t="str">
        <f aca="false">IF(B1099="","",IFERROR(INDEX('Hộ gia đình'!$B$2:$B$2000,MATCH(B1099,'Hộ gia đình'!$A$2:$A$2000,0)),"Mã hộ không tồn tại"))</f>
        <v/>
      </c>
      <c r="K1099" s="14"/>
      <c r="L1099" s="14"/>
      <c r="M1099" s="6"/>
      <c r="N1099" s="6"/>
      <c r="O1099" s="6"/>
      <c r="P1099" s="6"/>
      <c r="Q1099" s="6"/>
      <c r="R1099" s="12"/>
    </row>
    <row r="1100" customFormat="false" ht="15" hidden="false" customHeight="true" outlineLevel="0" collapsed="false">
      <c r="A1100" s="6"/>
      <c r="B1100" s="6"/>
      <c r="C1100" s="6"/>
      <c r="D1100" s="6"/>
      <c r="E1100" s="13"/>
      <c r="F1100" s="6"/>
      <c r="G1100" s="11" t="str">
        <f aca="true">IF(F1100="","",YEAR(TODAY())-F1100)</f>
        <v/>
      </c>
      <c r="H1100" s="11" t="str">
        <f aca="false">IF(C1100="","",IF(G1100="","Thiếu thông tin",IF(G1100&lt;6,"Trẻ em",IF(G1100&lt;23,"Học sinh / Sinh viên",IF(G1100&lt;60,"Đang đi làm","Nghỉ hưu")))))</f>
        <v/>
      </c>
      <c r="I1100" s="6"/>
      <c r="J1100" s="11" t="str">
        <f aca="false">IF(B1100="","",IFERROR(INDEX('Hộ gia đình'!$B$2:$B$2000,MATCH(B1100,'Hộ gia đình'!$A$2:$A$2000,0)),"Mã hộ không tồn tại"))</f>
        <v/>
      </c>
      <c r="K1100" s="14"/>
      <c r="L1100" s="14"/>
      <c r="M1100" s="6"/>
      <c r="N1100" s="6"/>
      <c r="O1100" s="6"/>
      <c r="P1100" s="6"/>
      <c r="Q1100" s="6"/>
      <c r="R1100" s="12"/>
    </row>
    <row r="1101" customFormat="false" ht="15" hidden="false" customHeight="true" outlineLevel="0" collapsed="false">
      <c r="A1101" s="6"/>
      <c r="B1101" s="6"/>
      <c r="C1101" s="6"/>
      <c r="D1101" s="6"/>
      <c r="E1101" s="13"/>
      <c r="F1101" s="6"/>
      <c r="G1101" s="11" t="str">
        <f aca="true">IF(F1101="","",YEAR(TODAY())-F1101)</f>
        <v/>
      </c>
      <c r="H1101" s="11" t="str">
        <f aca="false">IF(C1101="","",IF(G1101="","Thiếu thông tin",IF(G1101&lt;6,"Trẻ em",IF(G1101&lt;23,"Học sinh / Sinh viên",IF(G1101&lt;60,"Đang đi làm","Nghỉ hưu")))))</f>
        <v/>
      </c>
      <c r="I1101" s="6"/>
      <c r="J1101" s="11" t="str">
        <f aca="false">IF(B1101="","",IFERROR(INDEX('Hộ gia đình'!$B$2:$B$2000,MATCH(B1101,'Hộ gia đình'!$A$2:$A$2000,0)),"Mã hộ không tồn tại"))</f>
        <v/>
      </c>
      <c r="K1101" s="14"/>
      <c r="L1101" s="14"/>
      <c r="M1101" s="6"/>
      <c r="N1101" s="6"/>
      <c r="O1101" s="6"/>
      <c r="P1101" s="6"/>
      <c r="Q1101" s="6"/>
      <c r="R1101" s="12"/>
    </row>
    <row r="1102" customFormat="false" ht="15" hidden="false" customHeight="true" outlineLevel="0" collapsed="false">
      <c r="A1102" s="6"/>
      <c r="B1102" s="6"/>
      <c r="C1102" s="6"/>
      <c r="D1102" s="6"/>
      <c r="E1102" s="13"/>
      <c r="F1102" s="6"/>
      <c r="G1102" s="11" t="str">
        <f aca="true">IF(F1102="","",YEAR(TODAY())-F1102)</f>
        <v/>
      </c>
      <c r="H1102" s="11" t="str">
        <f aca="false">IF(C1102="","",IF(G1102="","Thiếu thông tin",IF(G1102&lt;6,"Trẻ em",IF(G1102&lt;23,"Học sinh / Sinh viên",IF(G1102&lt;60,"Đang đi làm","Nghỉ hưu")))))</f>
        <v/>
      </c>
      <c r="I1102" s="6"/>
      <c r="J1102" s="11" t="str">
        <f aca="false">IF(B1102="","",IFERROR(INDEX('Hộ gia đình'!$B$2:$B$2000,MATCH(B1102,'Hộ gia đình'!$A$2:$A$2000,0)),"Mã hộ không tồn tại"))</f>
        <v/>
      </c>
      <c r="K1102" s="14"/>
      <c r="L1102" s="14"/>
      <c r="M1102" s="6"/>
      <c r="N1102" s="6"/>
      <c r="O1102" s="6"/>
      <c r="P1102" s="6"/>
      <c r="Q1102" s="6"/>
      <c r="R1102" s="12"/>
    </row>
    <row r="1103" customFormat="false" ht="15" hidden="false" customHeight="true" outlineLevel="0" collapsed="false">
      <c r="A1103" s="6"/>
      <c r="B1103" s="6"/>
      <c r="C1103" s="6"/>
      <c r="D1103" s="6"/>
      <c r="E1103" s="13"/>
      <c r="F1103" s="6"/>
      <c r="G1103" s="11" t="str">
        <f aca="true">IF(F1103="","",YEAR(TODAY())-F1103)</f>
        <v/>
      </c>
      <c r="H1103" s="11" t="str">
        <f aca="false">IF(C1103="","",IF(G1103="","Thiếu thông tin",IF(G1103&lt;6,"Trẻ em",IF(G1103&lt;23,"Học sinh / Sinh viên",IF(G1103&lt;60,"Đang đi làm","Nghỉ hưu")))))</f>
        <v/>
      </c>
      <c r="I1103" s="6"/>
      <c r="J1103" s="11" t="str">
        <f aca="false">IF(B1103="","",IFERROR(INDEX('Hộ gia đình'!$B$2:$B$2000,MATCH(B1103,'Hộ gia đình'!$A$2:$A$2000,0)),"Mã hộ không tồn tại"))</f>
        <v/>
      </c>
      <c r="K1103" s="14"/>
      <c r="L1103" s="14"/>
      <c r="M1103" s="6"/>
      <c r="N1103" s="6"/>
      <c r="O1103" s="6"/>
      <c r="P1103" s="6"/>
      <c r="Q1103" s="6"/>
      <c r="R1103" s="12"/>
    </row>
    <row r="1104" customFormat="false" ht="15" hidden="false" customHeight="true" outlineLevel="0" collapsed="false">
      <c r="A1104" s="6"/>
      <c r="B1104" s="6"/>
      <c r="C1104" s="6"/>
      <c r="D1104" s="6"/>
      <c r="E1104" s="13"/>
      <c r="F1104" s="6"/>
      <c r="G1104" s="11" t="str">
        <f aca="true">IF(F1104="","",YEAR(TODAY())-F1104)</f>
        <v/>
      </c>
      <c r="H1104" s="11" t="str">
        <f aca="false">IF(C1104="","",IF(G1104="","Thiếu thông tin",IF(G1104&lt;6,"Trẻ em",IF(G1104&lt;23,"Học sinh / Sinh viên",IF(G1104&lt;60,"Đang đi làm","Nghỉ hưu")))))</f>
        <v/>
      </c>
      <c r="I1104" s="6"/>
      <c r="J1104" s="11" t="str">
        <f aca="false">IF(B1104="","",IFERROR(INDEX('Hộ gia đình'!$B$2:$B$2000,MATCH(B1104,'Hộ gia đình'!$A$2:$A$2000,0)),"Mã hộ không tồn tại"))</f>
        <v/>
      </c>
      <c r="K1104" s="14"/>
      <c r="L1104" s="14"/>
      <c r="M1104" s="6"/>
      <c r="N1104" s="6"/>
      <c r="O1104" s="6"/>
      <c r="P1104" s="6"/>
      <c r="Q1104" s="6"/>
      <c r="R1104" s="12"/>
    </row>
    <row r="1105" customFormat="false" ht="15" hidden="false" customHeight="true" outlineLevel="0" collapsed="false">
      <c r="A1105" s="6"/>
      <c r="B1105" s="6"/>
      <c r="C1105" s="6"/>
      <c r="D1105" s="6"/>
      <c r="E1105" s="13"/>
      <c r="F1105" s="6"/>
      <c r="G1105" s="11" t="str">
        <f aca="true">IF(F1105="","",YEAR(TODAY())-F1105)</f>
        <v/>
      </c>
      <c r="H1105" s="11" t="str">
        <f aca="false">IF(C1105="","",IF(G1105="","Thiếu thông tin",IF(G1105&lt;6,"Trẻ em",IF(G1105&lt;23,"Học sinh / Sinh viên",IF(G1105&lt;60,"Đang đi làm","Nghỉ hưu")))))</f>
        <v/>
      </c>
      <c r="I1105" s="6"/>
      <c r="J1105" s="11" t="str">
        <f aca="false">IF(B1105="","",IFERROR(INDEX('Hộ gia đình'!$B$2:$B$2000,MATCH(B1105,'Hộ gia đình'!$A$2:$A$2000,0)),"Mã hộ không tồn tại"))</f>
        <v/>
      </c>
      <c r="K1105" s="14"/>
      <c r="L1105" s="14"/>
      <c r="M1105" s="6"/>
      <c r="N1105" s="6"/>
      <c r="O1105" s="6"/>
      <c r="P1105" s="6"/>
      <c r="Q1105" s="6"/>
      <c r="R1105" s="12"/>
    </row>
    <row r="1106" customFormat="false" ht="15" hidden="false" customHeight="true" outlineLevel="0" collapsed="false">
      <c r="A1106" s="6"/>
      <c r="B1106" s="6"/>
      <c r="C1106" s="6"/>
      <c r="D1106" s="6"/>
      <c r="E1106" s="13"/>
      <c r="F1106" s="6"/>
      <c r="G1106" s="11" t="str">
        <f aca="true">IF(F1106="","",YEAR(TODAY())-F1106)</f>
        <v/>
      </c>
      <c r="H1106" s="11" t="str">
        <f aca="false">IF(C1106="","",IF(G1106="","Thiếu thông tin",IF(G1106&lt;6,"Trẻ em",IF(G1106&lt;23,"Học sinh / Sinh viên",IF(G1106&lt;60,"Đang đi làm","Nghỉ hưu")))))</f>
        <v/>
      </c>
      <c r="I1106" s="6"/>
      <c r="J1106" s="11" t="str">
        <f aca="false">IF(B1106="","",IFERROR(INDEX('Hộ gia đình'!$B$2:$B$2000,MATCH(B1106,'Hộ gia đình'!$A$2:$A$2000,0)),"Mã hộ không tồn tại"))</f>
        <v/>
      </c>
      <c r="K1106" s="14"/>
      <c r="L1106" s="14"/>
      <c r="M1106" s="6"/>
      <c r="N1106" s="6"/>
      <c r="O1106" s="6"/>
      <c r="P1106" s="6"/>
      <c r="Q1106" s="6"/>
      <c r="R1106" s="12"/>
    </row>
    <row r="1107" customFormat="false" ht="15" hidden="false" customHeight="true" outlineLevel="0" collapsed="false">
      <c r="A1107" s="6"/>
      <c r="B1107" s="6"/>
      <c r="C1107" s="6"/>
      <c r="D1107" s="6"/>
      <c r="E1107" s="13"/>
      <c r="F1107" s="6"/>
      <c r="G1107" s="11" t="str">
        <f aca="true">IF(F1107="","",YEAR(TODAY())-F1107)</f>
        <v/>
      </c>
      <c r="H1107" s="11" t="str">
        <f aca="false">IF(C1107="","",IF(G1107="","Thiếu thông tin",IF(G1107&lt;6,"Trẻ em",IF(G1107&lt;23,"Học sinh / Sinh viên",IF(G1107&lt;60,"Đang đi làm","Nghỉ hưu")))))</f>
        <v/>
      </c>
      <c r="I1107" s="6"/>
      <c r="J1107" s="11" t="str">
        <f aca="false">IF(B1107="","",IFERROR(INDEX('Hộ gia đình'!$B$2:$B$2000,MATCH(B1107,'Hộ gia đình'!$A$2:$A$2000,0)),"Mã hộ không tồn tại"))</f>
        <v/>
      </c>
      <c r="K1107" s="14"/>
      <c r="L1107" s="14"/>
      <c r="M1107" s="6"/>
      <c r="N1107" s="6"/>
      <c r="O1107" s="6"/>
      <c r="P1107" s="6"/>
      <c r="Q1107" s="6"/>
      <c r="R1107" s="12"/>
    </row>
    <row r="1108" customFormat="false" ht="15" hidden="false" customHeight="true" outlineLevel="0" collapsed="false">
      <c r="A1108" s="6"/>
      <c r="B1108" s="6"/>
      <c r="C1108" s="6"/>
      <c r="D1108" s="6"/>
      <c r="E1108" s="13"/>
      <c r="F1108" s="6"/>
      <c r="G1108" s="11" t="str">
        <f aca="true">IF(F1108="","",YEAR(TODAY())-F1108)</f>
        <v/>
      </c>
      <c r="H1108" s="11" t="str">
        <f aca="false">IF(C1108="","",IF(G1108="","Thiếu thông tin",IF(G1108&lt;6,"Trẻ em",IF(G1108&lt;23,"Học sinh / Sinh viên",IF(G1108&lt;60,"Đang đi làm","Nghỉ hưu")))))</f>
        <v/>
      </c>
      <c r="I1108" s="6"/>
      <c r="J1108" s="11" t="str">
        <f aca="false">IF(B1108="","",IFERROR(INDEX('Hộ gia đình'!$B$2:$B$2000,MATCH(B1108,'Hộ gia đình'!$A$2:$A$2000,0)),"Mã hộ không tồn tại"))</f>
        <v/>
      </c>
      <c r="K1108" s="14"/>
      <c r="L1108" s="14"/>
      <c r="M1108" s="6"/>
      <c r="N1108" s="6"/>
      <c r="O1108" s="6"/>
      <c r="P1108" s="6"/>
      <c r="Q1108" s="6"/>
      <c r="R1108" s="12"/>
    </row>
    <row r="1109" customFormat="false" ht="15" hidden="false" customHeight="true" outlineLevel="0" collapsed="false">
      <c r="A1109" s="6"/>
      <c r="B1109" s="6"/>
      <c r="C1109" s="6"/>
      <c r="D1109" s="6"/>
      <c r="E1109" s="13"/>
      <c r="F1109" s="6"/>
      <c r="G1109" s="11" t="str">
        <f aca="true">IF(F1109="","",YEAR(TODAY())-F1109)</f>
        <v/>
      </c>
      <c r="H1109" s="11" t="str">
        <f aca="false">IF(C1109="","",IF(G1109="","Thiếu thông tin",IF(G1109&lt;6,"Trẻ em",IF(G1109&lt;23,"Học sinh / Sinh viên",IF(G1109&lt;60,"Đang đi làm","Nghỉ hưu")))))</f>
        <v/>
      </c>
      <c r="I1109" s="6"/>
      <c r="J1109" s="11" t="str">
        <f aca="false">IF(B1109="","",IFERROR(INDEX('Hộ gia đình'!$B$2:$B$2000,MATCH(B1109,'Hộ gia đình'!$A$2:$A$2000,0)),"Mã hộ không tồn tại"))</f>
        <v/>
      </c>
      <c r="K1109" s="14"/>
      <c r="L1109" s="14"/>
      <c r="M1109" s="6"/>
      <c r="N1109" s="6"/>
      <c r="O1109" s="6"/>
      <c r="P1109" s="6"/>
      <c r="Q1109" s="6"/>
      <c r="R1109" s="12"/>
    </row>
    <row r="1110" customFormat="false" ht="15" hidden="false" customHeight="true" outlineLevel="0" collapsed="false">
      <c r="A1110" s="6"/>
      <c r="B1110" s="6"/>
      <c r="C1110" s="6"/>
      <c r="D1110" s="6"/>
      <c r="E1110" s="13"/>
      <c r="F1110" s="6"/>
      <c r="G1110" s="11" t="str">
        <f aca="true">IF(F1110="","",YEAR(TODAY())-F1110)</f>
        <v/>
      </c>
      <c r="H1110" s="11" t="str">
        <f aca="false">IF(C1110="","",IF(G1110="","Thiếu thông tin",IF(G1110&lt;6,"Trẻ em",IF(G1110&lt;23,"Học sinh / Sinh viên",IF(G1110&lt;60,"Đang đi làm","Nghỉ hưu")))))</f>
        <v/>
      </c>
      <c r="I1110" s="6"/>
      <c r="J1110" s="11" t="str">
        <f aca="false">IF(B1110="","",IFERROR(INDEX('Hộ gia đình'!$B$2:$B$2000,MATCH(B1110,'Hộ gia đình'!$A$2:$A$2000,0)),"Mã hộ không tồn tại"))</f>
        <v/>
      </c>
      <c r="K1110" s="14"/>
      <c r="L1110" s="14"/>
      <c r="M1110" s="6"/>
      <c r="N1110" s="6"/>
      <c r="O1110" s="6"/>
      <c r="P1110" s="6"/>
      <c r="Q1110" s="6"/>
      <c r="R1110" s="12"/>
    </row>
    <row r="1111" customFormat="false" ht="15" hidden="false" customHeight="true" outlineLevel="0" collapsed="false">
      <c r="A1111" s="6"/>
      <c r="B1111" s="6"/>
      <c r="C1111" s="6"/>
      <c r="D1111" s="6"/>
      <c r="E1111" s="13"/>
      <c r="F1111" s="6"/>
      <c r="G1111" s="11" t="str">
        <f aca="true">IF(F1111="","",YEAR(TODAY())-F1111)</f>
        <v/>
      </c>
      <c r="H1111" s="11" t="str">
        <f aca="false">IF(C1111="","",IF(G1111="","Thiếu thông tin",IF(G1111&lt;6,"Trẻ em",IF(G1111&lt;23,"Học sinh / Sinh viên",IF(G1111&lt;60,"Đang đi làm","Nghỉ hưu")))))</f>
        <v/>
      </c>
      <c r="I1111" s="6"/>
      <c r="J1111" s="11" t="str">
        <f aca="false">IF(B1111="","",IFERROR(INDEX('Hộ gia đình'!$B$2:$B$2000,MATCH(B1111,'Hộ gia đình'!$A$2:$A$2000,0)),"Mã hộ không tồn tại"))</f>
        <v/>
      </c>
      <c r="K1111" s="14"/>
      <c r="L1111" s="14"/>
      <c r="M1111" s="6"/>
      <c r="N1111" s="6"/>
      <c r="O1111" s="6"/>
      <c r="P1111" s="6"/>
      <c r="Q1111" s="6"/>
      <c r="R1111" s="12"/>
    </row>
    <row r="1112" customFormat="false" ht="15" hidden="false" customHeight="true" outlineLevel="0" collapsed="false">
      <c r="A1112" s="6"/>
      <c r="B1112" s="6"/>
      <c r="C1112" s="6"/>
      <c r="D1112" s="6"/>
      <c r="E1112" s="13"/>
      <c r="F1112" s="6"/>
      <c r="G1112" s="11" t="str">
        <f aca="true">IF(F1112="","",YEAR(TODAY())-F1112)</f>
        <v/>
      </c>
      <c r="H1112" s="11" t="str">
        <f aca="false">IF(C1112="","",IF(G1112="","Thiếu thông tin",IF(G1112&lt;6,"Trẻ em",IF(G1112&lt;23,"Học sinh / Sinh viên",IF(G1112&lt;60,"Đang đi làm","Nghỉ hưu")))))</f>
        <v/>
      </c>
      <c r="I1112" s="6"/>
      <c r="J1112" s="11" t="str">
        <f aca="false">IF(B1112="","",IFERROR(INDEX('Hộ gia đình'!$B$2:$B$2000,MATCH(B1112,'Hộ gia đình'!$A$2:$A$2000,0)),"Mã hộ không tồn tại"))</f>
        <v/>
      </c>
      <c r="K1112" s="14"/>
      <c r="L1112" s="14"/>
      <c r="M1112" s="6"/>
      <c r="N1112" s="6"/>
      <c r="O1112" s="6"/>
      <c r="P1112" s="6"/>
      <c r="Q1112" s="6"/>
      <c r="R1112" s="12"/>
    </row>
    <row r="1113" customFormat="false" ht="15" hidden="false" customHeight="true" outlineLevel="0" collapsed="false">
      <c r="A1113" s="6"/>
      <c r="B1113" s="6"/>
      <c r="C1113" s="6"/>
      <c r="D1113" s="6"/>
      <c r="E1113" s="13"/>
      <c r="F1113" s="6"/>
      <c r="G1113" s="11" t="str">
        <f aca="true">IF(F1113="","",YEAR(TODAY())-F1113)</f>
        <v/>
      </c>
      <c r="H1113" s="11" t="str">
        <f aca="false">IF(C1113="","",IF(G1113="","Thiếu thông tin",IF(G1113&lt;6,"Trẻ em",IF(G1113&lt;23,"Học sinh / Sinh viên",IF(G1113&lt;60,"Đang đi làm","Nghỉ hưu")))))</f>
        <v/>
      </c>
      <c r="I1113" s="6"/>
      <c r="J1113" s="11" t="str">
        <f aca="false">IF(B1113="","",IFERROR(INDEX('Hộ gia đình'!$B$2:$B$2000,MATCH(B1113,'Hộ gia đình'!$A$2:$A$2000,0)),"Mã hộ không tồn tại"))</f>
        <v/>
      </c>
      <c r="K1113" s="14"/>
      <c r="L1113" s="14"/>
      <c r="M1113" s="6"/>
      <c r="N1113" s="6"/>
      <c r="O1113" s="6"/>
      <c r="P1113" s="6"/>
      <c r="Q1113" s="6"/>
      <c r="R1113" s="12"/>
    </row>
    <row r="1114" customFormat="false" ht="15" hidden="false" customHeight="true" outlineLevel="0" collapsed="false">
      <c r="A1114" s="6"/>
      <c r="B1114" s="6"/>
      <c r="C1114" s="6"/>
      <c r="D1114" s="6"/>
      <c r="E1114" s="13"/>
      <c r="F1114" s="6"/>
      <c r="G1114" s="11" t="str">
        <f aca="true">IF(F1114="","",YEAR(TODAY())-F1114)</f>
        <v/>
      </c>
      <c r="H1114" s="11" t="str">
        <f aca="false">IF(C1114="","",IF(G1114="","Thiếu thông tin",IF(G1114&lt;6,"Trẻ em",IF(G1114&lt;23,"Học sinh / Sinh viên",IF(G1114&lt;60,"Đang đi làm","Nghỉ hưu")))))</f>
        <v/>
      </c>
      <c r="I1114" s="6"/>
      <c r="J1114" s="11" t="str">
        <f aca="false">IF(B1114="","",IFERROR(INDEX('Hộ gia đình'!$B$2:$B$2000,MATCH(B1114,'Hộ gia đình'!$A$2:$A$2000,0)),"Mã hộ không tồn tại"))</f>
        <v/>
      </c>
      <c r="K1114" s="14"/>
      <c r="L1114" s="14"/>
      <c r="M1114" s="6"/>
      <c r="N1114" s="6"/>
      <c r="O1114" s="6"/>
      <c r="P1114" s="6"/>
      <c r="Q1114" s="6"/>
      <c r="R1114" s="12"/>
    </row>
    <row r="1115" customFormat="false" ht="15" hidden="false" customHeight="true" outlineLevel="0" collapsed="false">
      <c r="A1115" s="6"/>
      <c r="B1115" s="6"/>
      <c r="C1115" s="6"/>
      <c r="D1115" s="6"/>
      <c r="E1115" s="13"/>
      <c r="F1115" s="6"/>
      <c r="G1115" s="11" t="str">
        <f aca="true">IF(F1115="","",YEAR(TODAY())-F1115)</f>
        <v/>
      </c>
      <c r="H1115" s="11" t="str">
        <f aca="false">IF(C1115="","",IF(G1115="","Thiếu thông tin",IF(G1115&lt;6,"Trẻ em",IF(G1115&lt;23,"Học sinh / Sinh viên",IF(G1115&lt;60,"Đang đi làm","Nghỉ hưu")))))</f>
        <v/>
      </c>
      <c r="I1115" s="6"/>
      <c r="J1115" s="11" t="str">
        <f aca="false">IF(B1115="","",IFERROR(INDEX('Hộ gia đình'!$B$2:$B$2000,MATCH(B1115,'Hộ gia đình'!$A$2:$A$2000,0)),"Mã hộ không tồn tại"))</f>
        <v/>
      </c>
      <c r="K1115" s="14"/>
      <c r="L1115" s="14"/>
      <c r="M1115" s="6"/>
      <c r="N1115" s="6"/>
      <c r="O1115" s="6"/>
      <c r="P1115" s="6"/>
      <c r="Q1115" s="6"/>
      <c r="R1115" s="12"/>
    </row>
    <row r="1116" customFormat="false" ht="15" hidden="false" customHeight="true" outlineLevel="0" collapsed="false">
      <c r="A1116" s="6"/>
      <c r="B1116" s="6"/>
      <c r="C1116" s="6"/>
      <c r="D1116" s="6"/>
      <c r="E1116" s="13"/>
      <c r="F1116" s="6"/>
      <c r="G1116" s="11" t="str">
        <f aca="true">IF(F1116="","",YEAR(TODAY())-F1116)</f>
        <v/>
      </c>
      <c r="H1116" s="11" t="str">
        <f aca="false">IF(C1116="","",IF(G1116="","Thiếu thông tin",IF(G1116&lt;6,"Trẻ em",IF(G1116&lt;23,"Học sinh / Sinh viên",IF(G1116&lt;60,"Đang đi làm","Nghỉ hưu")))))</f>
        <v/>
      </c>
      <c r="I1116" s="6"/>
      <c r="J1116" s="11" t="str">
        <f aca="false">IF(B1116="","",IFERROR(INDEX('Hộ gia đình'!$B$2:$B$2000,MATCH(B1116,'Hộ gia đình'!$A$2:$A$2000,0)),"Mã hộ không tồn tại"))</f>
        <v/>
      </c>
      <c r="K1116" s="14"/>
      <c r="L1116" s="14"/>
      <c r="M1116" s="6"/>
      <c r="N1116" s="6"/>
      <c r="O1116" s="6"/>
      <c r="P1116" s="6"/>
      <c r="Q1116" s="6"/>
      <c r="R1116" s="12"/>
    </row>
    <row r="1117" customFormat="false" ht="15" hidden="false" customHeight="true" outlineLevel="0" collapsed="false">
      <c r="A1117" s="6"/>
      <c r="B1117" s="6"/>
      <c r="C1117" s="6"/>
      <c r="D1117" s="6"/>
      <c r="E1117" s="13"/>
      <c r="F1117" s="6"/>
      <c r="G1117" s="11" t="str">
        <f aca="true">IF(F1117="","",YEAR(TODAY())-F1117)</f>
        <v/>
      </c>
      <c r="H1117" s="11" t="str">
        <f aca="false">IF(C1117="","",IF(G1117="","Thiếu thông tin",IF(G1117&lt;6,"Trẻ em",IF(G1117&lt;23,"Học sinh / Sinh viên",IF(G1117&lt;60,"Đang đi làm","Nghỉ hưu")))))</f>
        <v/>
      </c>
      <c r="I1117" s="6"/>
      <c r="J1117" s="11" t="str">
        <f aca="false">IF(B1117="","",IFERROR(INDEX('Hộ gia đình'!$B$2:$B$2000,MATCH(B1117,'Hộ gia đình'!$A$2:$A$2000,0)),"Mã hộ không tồn tại"))</f>
        <v/>
      </c>
      <c r="K1117" s="14"/>
      <c r="L1117" s="14"/>
      <c r="M1117" s="6"/>
      <c r="N1117" s="6"/>
      <c r="O1117" s="6"/>
      <c r="P1117" s="6"/>
      <c r="Q1117" s="6"/>
      <c r="R1117" s="12"/>
    </row>
    <row r="1118" customFormat="false" ht="15" hidden="false" customHeight="true" outlineLevel="0" collapsed="false">
      <c r="A1118" s="6"/>
      <c r="B1118" s="6"/>
      <c r="C1118" s="6"/>
      <c r="D1118" s="6"/>
      <c r="E1118" s="13"/>
      <c r="F1118" s="6"/>
      <c r="G1118" s="11" t="str">
        <f aca="true">IF(F1118="","",YEAR(TODAY())-F1118)</f>
        <v/>
      </c>
      <c r="H1118" s="11" t="str">
        <f aca="false">IF(C1118="","",IF(G1118="","Thiếu thông tin",IF(G1118&lt;6,"Trẻ em",IF(G1118&lt;23,"Học sinh / Sinh viên",IF(G1118&lt;60,"Đang đi làm","Nghỉ hưu")))))</f>
        <v/>
      </c>
      <c r="I1118" s="6"/>
      <c r="J1118" s="11" t="str">
        <f aca="false">IF(B1118="","",IFERROR(INDEX('Hộ gia đình'!$B$2:$B$2000,MATCH(B1118,'Hộ gia đình'!$A$2:$A$2000,0)),"Mã hộ không tồn tại"))</f>
        <v/>
      </c>
      <c r="K1118" s="14"/>
      <c r="L1118" s="14"/>
      <c r="M1118" s="6"/>
      <c r="N1118" s="6"/>
      <c r="O1118" s="6"/>
      <c r="P1118" s="6"/>
      <c r="Q1118" s="6"/>
      <c r="R1118" s="12"/>
    </row>
    <row r="1119" customFormat="false" ht="15" hidden="false" customHeight="true" outlineLevel="0" collapsed="false">
      <c r="A1119" s="6"/>
      <c r="B1119" s="6"/>
      <c r="C1119" s="6"/>
      <c r="D1119" s="6"/>
      <c r="E1119" s="13"/>
      <c r="F1119" s="6"/>
      <c r="G1119" s="11" t="str">
        <f aca="true">IF(F1119="","",YEAR(TODAY())-F1119)</f>
        <v/>
      </c>
      <c r="H1119" s="11" t="str">
        <f aca="false">IF(C1119="","",IF(G1119="","Thiếu thông tin",IF(G1119&lt;6,"Trẻ em",IF(G1119&lt;23,"Học sinh / Sinh viên",IF(G1119&lt;60,"Đang đi làm","Nghỉ hưu")))))</f>
        <v/>
      </c>
      <c r="I1119" s="6"/>
      <c r="J1119" s="11" t="str">
        <f aca="false">IF(B1119="","",IFERROR(INDEX('Hộ gia đình'!$B$2:$B$2000,MATCH(B1119,'Hộ gia đình'!$A$2:$A$2000,0)),"Mã hộ không tồn tại"))</f>
        <v/>
      </c>
      <c r="K1119" s="14"/>
      <c r="L1119" s="14"/>
      <c r="M1119" s="6"/>
      <c r="N1119" s="6"/>
      <c r="O1119" s="6"/>
      <c r="P1119" s="6"/>
      <c r="Q1119" s="6"/>
      <c r="R1119" s="12"/>
    </row>
    <row r="1120" customFormat="false" ht="15" hidden="false" customHeight="true" outlineLevel="0" collapsed="false">
      <c r="A1120" s="6"/>
      <c r="B1120" s="6"/>
      <c r="C1120" s="6"/>
      <c r="D1120" s="6"/>
      <c r="E1120" s="13"/>
      <c r="F1120" s="6"/>
      <c r="G1120" s="11" t="str">
        <f aca="true">IF(F1120="","",YEAR(TODAY())-F1120)</f>
        <v/>
      </c>
      <c r="H1120" s="11" t="str">
        <f aca="false">IF(C1120="","",IF(G1120="","Thiếu thông tin",IF(G1120&lt;6,"Trẻ em",IF(G1120&lt;23,"Học sinh / Sinh viên",IF(G1120&lt;60,"Đang đi làm","Nghỉ hưu")))))</f>
        <v/>
      </c>
      <c r="I1120" s="6"/>
      <c r="J1120" s="11" t="str">
        <f aca="false">IF(B1120="","",IFERROR(INDEX('Hộ gia đình'!$B$2:$B$2000,MATCH(B1120,'Hộ gia đình'!$A$2:$A$2000,0)),"Mã hộ không tồn tại"))</f>
        <v/>
      </c>
      <c r="K1120" s="14"/>
      <c r="L1120" s="14"/>
      <c r="M1120" s="6"/>
      <c r="N1120" s="6"/>
      <c r="O1120" s="6"/>
      <c r="P1120" s="6"/>
      <c r="Q1120" s="6"/>
      <c r="R1120" s="12"/>
    </row>
    <row r="1121" customFormat="false" ht="15" hidden="false" customHeight="true" outlineLevel="0" collapsed="false">
      <c r="A1121" s="6"/>
      <c r="B1121" s="6"/>
      <c r="C1121" s="6"/>
      <c r="D1121" s="6"/>
      <c r="E1121" s="13"/>
      <c r="F1121" s="6"/>
      <c r="G1121" s="11" t="str">
        <f aca="true">IF(F1121="","",YEAR(TODAY())-F1121)</f>
        <v/>
      </c>
      <c r="H1121" s="11" t="str">
        <f aca="false">IF(C1121="","",IF(G1121="","Thiếu thông tin",IF(G1121&lt;6,"Trẻ em",IF(G1121&lt;23,"Học sinh / Sinh viên",IF(G1121&lt;60,"Đang đi làm","Nghỉ hưu")))))</f>
        <v/>
      </c>
      <c r="I1121" s="6"/>
      <c r="J1121" s="11" t="str">
        <f aca="false">IF(B1121="","",IFERROR(INDEX('Hộ gia đình'!$B$2:$B$2000,MATCH(B1121,'Hộ gia đình'!$A$2:$A$2000,0)),"Mã hộ không tồn tại"))</f>
        <v/>
      </c>
      <c r="K1121" s="14"/>
      <c r="L1121" s="14"/>
      <c r="M1121" s="6"/>
      <c r="N1121" s="6"/>
      <c r="O1121" s="6"/>
      <c r="P1121" s="6"/>
      <c r="Q1121" s="6"/>
      <c r="R1121" s="12"/>
    </row>
    <row r="1122" customFormat="false" ht="15" hidden="false" customHeight="true" outlineLevel="0" collapsed="false">
      <c r="A1122" s="6"/>
      <c r="B1122" s="6"/>
      <c r="C1122" s="6"/>
      <c r="D1122" s="6"/>
      <c r="E1122" s="13"/>
      <c r="F1122" s="6"/>
      <c r="G1122" s="11" t="str">
        <f aca="true">IF(F1122="","",YEAR(TODAY())-F1122)</f>
        <v/>
      </c>
      <c r="H1122" s="11" t="str">
        <f aca="false">IF(C1122="","",IF(G1122="","Thiếu thông tin",IF(G1122&lt;6,"Trẻ em",IF(G1122&lt;23,"Học sinh / Sinh viên",IF(G1122&lt;60,"Đang đi làm","Nghỉ hưu")))))</f>
        <v/>
      </c>
      <c r="I1122" s="6"/>
      <c r="J1122" s="11" t="str">
        <f aca="false">IF(B1122="","",IFERROR(INDEX('Hộ gia đình'!$B$2:$B$2000,MATCH(B1122,'Hộ gia đình'!$A$2:$A$2000,0)),"Mã hộ không tồn tại"))</f>
        <v/>
      </c>
      <c r="K1122" s="14"/>
      <c r="L1122" s="14"/>
      <c r="M1122" s="6"/>
      <c r="N1122" s="6"/>
      <c r="O1122" s="6"/>
      <c r="P1122" s="6"/>
      <c r="Q1122" s="6"/>
      <c r="R1122" s="12"/>
    </row>
    <row r="1123" customFormat="false" ht="15" hidden="false" customHeight="true" outlineLevel="0" collapsed="false">
      <c r="A1123" s="6"/>
      <c r="B1123" s="6"/>
      <c r="C1123" s="6"/>
      <c r="D1123" s="6"/>
      <c r="E1123" s="13"/>
      <c r="F1123" s="6"/>
      <c r="G1123" s="11" t="str">
        <f aca="true">IF(F1123="","",YEAR(TODAY())-F1123)</f>
        <v/>
      </c>
      <c r="H1123" s="11" t="str">
        <f aca="false">IF(C1123="","",IF(G1123="","Thiếu thông tin",IF(G1123&lt;6,"Trẻ em",IF(G1123&lt;23,"Học sinh / Sinh viên",IF(G1123&lt;60,"Đang đi làm","Nghỉ hưu")))))</f>
        <v/>
      </c>
      <c r="I1123" s="6"/>
      <c r="J1123" s="11" t="str">
        <f aca="false">IF(B1123="","",IFERROR(INDEX('Hộ gia đình'!$B$2:$B$2000,MATCH(B1123,'Hộ gia đình'!$A$2:$A$2000,0)),"Mã hộ không tồn tại"))</f>
        <v/>
      </c>
      <c r="K1123" s="14"/>
      <c r="L1123" s="14"/>
      <c r="M1123" s="6"/>
      <c r="N1123" s="6"/>
      <c r="O1123" s="6"/>
      <c r="P1123" s="6"/>
      <c r="Q1123" s="6"/>
      <c r="R1123" s="12"/>
    </row>
    <row r="1124" customFormat="false" ht="15" hidden="false" customHeight="true" outlineLevel="0" collapsed="false">
      <c r="A1124" s="6"/>
      <c r="B1124" s="6"/>
      <c r="C1124" s="6"/>
      <c r="D1124" s="6"/>
      <c r="E1124" s="13"/>
      <c r="F1124" s="6"/>
      <c r="G1124" s="11" t="str">
        <f aca="true">IF(F1124="","",YEAR(TODAY())-F1124)</f>
        <v/>
      </c>
      <c r="H1124" s="11" t="str">
        <f aca="false">IF(C1124="","",IF(G1124="","Thiếu thông tin",IF(G1124&lt;6,"Trẻ em",IF(G1124&lt;23,"Học sinh / Sinh viên",IF(G1124&lt;60,"Đang đi làm","Nghỉ hưu")))))</f>
        <v/>
      </c>
      <c r="I1124" s="6"/>
      <c r="J1124" s="11" t="str">
        <f aca="false">IF(B1124="","",IFERROR(INDEX('Hộ gia đình'!$B$2:$B$2000,MATCH(B1124,'Hộ gia đình'!$A$2:$A$2000,0)),"Mã hộ không tồn tại"))</f>
        <v/>
      </c>
      <c r="K1124" s="14"/>
      <c r="L1124" s="14"/>
      <c r="M1124" s="6"/>
      <c r="N1124" s="6"/>
      <c r="O1124" s="6"/>
      <c r="P1124" s="6"/>
      <c r="Q1124" s="6"/>
      <c r="R1124" s="12"/>
    </row>
    <row r="1125" customFormat="false" ht="15" hidden="false" customHeight="true" outlineLevel="0" collapsed="false">
      <c r="A1125" s="6"/>
      <c r="B1125" s="6"/>
      <c r="C1125" s="6"/>
      <c r="D1125" s="6"/>
      <c r="E1125" s="13"/>
      <c r="F1125" s="6"/>
      <c r="G1125" s="11" t="str">
        <f aca="true">IF(F1125="","",YEAR(TODAY())-F1125)</f>
        <v/>
      </c>
      <c r="H1125" s="11" t="str">
        <f aca="false">IF(C1125="","",IF(G1125="","Thiếu thông tin",IF(G1125&lt;6,"Trẻ em",IF(G1125&lt;23,"Học sinh / Sinh viên",IF(G1125&lt;60,"Đang đi làm","Nghỉ hưu")))))</f>
        <v/>
      </c>
      <c r="I1125" s="6"/>
      <c r="J1125" s="11" t="str">
        <f aca="false">IF(B1125="","",IFERROR(INDEX('Hộ gia đình'!$B$2:$B$2000,MATCH(B1125,'Hộ gia đình'!$A$2:$A$2000,0)),"Mã hộ không tồn tại"))</f>
        <v/>
      </c>
      <c r="K1125" s="14"/>
      <c r="L1125" s="14"/>
      <c r="M1125" s="6"/>
      <c r="N1125" s="6"/>
      <c r="O1125" s="6"/>
      <c r="P1125" s="6"/>
      <c r="Q1125" s="6"/>
      <c r="R1125" s="12"/>
    </row>
    <row r="1126" customFormat="false" ht="15" hidden="false" customHeight="true" outlineLevel="0" collapsed="false">
      <c r="A1126" s="6"/>
      <c r="B1126" s="6"/>
      <c r="C1126" s="6"/>
      <c r="D1126" s="6"/>
      <c r="E1126" s="13"/>
      <c r="F1126" s="6"/>
      <c r="G1126" s="11" t="str">
        <f aca="true">IF(F1126="","",YEAR(TODAY())-F1126)</f>
        <v/>
      </c>
      <c r="H1126" s="11" t="str">
        <f aca="false">IF(C1126="","",IF(G1126="","Thiếu thông tin",IF(G1126&lt;6,"Trẻ em",IF(G1126&lt;23,"Học sinh / Sinh viên",IF(G1126&lt;60,"Đang đi làm","Nghỉ hưu")))))</f>
        <v/>
      </c>
      <c r="I1126" s="6"/>
      <c r="J1126" s="11" t="str">
        <f aca="false">IF(B1126="","",IFERROR(INDEX('Hộ gia đình'!$B$2:$B$2000,MATCH(B1126,'Hộ gia đình'!$A$2:$A$2000,0)),"Mã hộ không tồn tại"))</f>
        <v/>
      </c>
      <c r="K1126" s="14"/>
      <c r="L1126" s="14"/>
      <c r="M1126" s="6"/>
      <c r="N1126" s="6"/>
      <c r="O1126" s="6"/>
      <c r="P1126" s="6"/>
      <c r="Q1126" s="6"/>
      <c r="R1126" s="12"/>
    </row>
    <row r="1127" customFormat="false" ht="15" hidden="false" customHeight="true" outlineLevel="0" collapsed="false">
      <c r="A1127" s="6"/>
      <c r="B1127" s="6"/>
      <c r="C1127" s="6"/>
      <c r="D1127" s="6"/>
      <c r="E1127" s="13"/>
      <c r="F1127" s="6"/>
      <c r="G1127" s="11" t="str">
        <f aca="true">IF(F1127="","",YEAR(TODAY())-F1127)</f>
        <v/>
      </c>
      <c r="H1127" s="11" t="str">
        <f aca="false">IF(C1127="","",IF(G1127="","Thiếu thông tin",IF(G1127&lt;6,"Trẻ em",IF(G1127&lt;23,"Học sinh / Sinh viên",IF(G1127&lt;60,"Đang đi làm","Nghỉ hưu")))))</f>
        <v/>
      </c>
      <c r="I1127" s="6"/>
      <c r="J1127" s="11" t="str">
        <f aca="false">IF(B1127="","",IFERROR(INDEX('Hộ gia đình'!$B$2:$B$2000,MATCH(B1127,'Hộ gia đình'!$A$2:$A$2000,0)),"Mã hộ không tồn tại"))</f>
        <v/>
      </c>
      <c r="K1127" s="14"/>
      <c r="L1127" s="14"/>
      <c r="M1127" s="6"/>
      <c r="N1127" s="6"/>
      <c r="O1127" s="6"/>
      <c r="P1127" s="6"/>
      <c r="Q1127" s="6"/>
      <c r="R1127" s="12"/>
    </row>
    <row r="1128" customFormat="false" ht="15" hidden="false" customHeight="true" outlineLevel="0" collapsed="false">
      <c r="A1128" s="6"/>
      <c r="B1128" s="6"/>
      <c r="C1128" s="6"/>
      <c r="D1128" s="6"/>
      <c r="E1128" s="13"/>
      <c r="F1128" s="6"/>
      <c r="G1128" s="11" t="str">
        <f aca="true">IF(F1128="","",YEAR(TODAY())-F1128)</f>
        <v/>
      </c>
      <c r="H1128" s="11" t="str">
        <f aca="false">IF(C1128="","",IF(G1128="","Thiếu thông tin",IF(G1128&lt;6,"Trẻ em",IF(G1128&lt;23,"Học sinh / Sinh viên",IF(G1128&lt;60,"Đang đi làm","Nghỉ hưu")))))</f>
        <v/>
      </c>
      <c r="I1128" s="6"/>
      <c r="J1128" s="11" t="str">
        <f aca="false">IF(B1128="","",IFERROR(INDEX('Hộ gia đình'!$B$2:$B$2000,MATCH(B1128,'Hộ gia đình'!$A$2:$A$2000,0)),"Mã hộ không tồn tại"))</f>
        <v/>
      </c>
      <c r="K1128" s="14"/>
      <c r="L1128" s="14"/>
      <c r="M1128" s="6"/>
      <c r="N1128" s="6"/>
      <c r="O1128" s="6"/>
      <c r="P1128" s="6"/>
      <c r="Q1128" s="6"/>
      <c r="R1128" s="12"/>
    </row>
    <row r="1129" customFormat="false" ht="15" hidden="false" customHeight="true" outlineLevel="0" collapsed="false">
      <c r="A1129" s="6"/>
      <c r="B1129" s="6"/>
      <c r="C1129" s="6"/>
      <c r="D1129" s="6"/>
      <c r="E1129" s="13"/>
      <c r="F1129" s="6"/>
      <c r="G1129" s="11" t="str">
        <f aca="true">IF(F1129="","",YEAR(TODAY())-F1129)</f>
        <v/>
      </c>
      <c r="H1129" s="11" t="str">
        <f aca="false">IF(C1129="","",IF(G1129="","Thiếu thông tin",IF(G1129&lt;6,"Trẻ em",IF(G1129&lt;23,"Học sinh / Sinh viên",IF(G1129&lt;60,"Đang đi làm","Nghỉ hưu")))))</f>
        <v/>
      </c>
      <c r="I1129" s="6"/>
      <c r="J1129" s="11" t="str">
        <f aca="false">IF(B1129="","",IFERROR(INDEX('Hộ gia đình'!$B$2:$B$2000,MATCH(B1129,'Hộ gia đình'!$A$2:$A$2000,0)),"Mã hộ không tồn tại"))</f>
        <v/>
      </c>
      <c r="K1129" s="14"/>
      <c r="L1129" s="14"/>
      <c r="M1129" s="6"/>
      <c r="N1129" s="6"/>
      <c r="O1129" s="6"/>
      <c r="P1129" s="6"/>
      <c r="Q1129" s="6"/>
      <c r="R1129" s="12"/>
    </row>
    <row r="1130" customFormat="false" ht="15" hidden="false" customHeight="true" outlineLevel="0" collapsed="false">
      <c r="A1130" s="6"/>
      <c r="B1130" s="6"/>
      <c r="C1130" s="6"/>
      <c r="D1130" s="6"/>
      <c r="E1130" s="13"/>
      <c r="F1130" s="6"/>
      <c r="G1130" s="11" t="str">
        <f aca="true">IF(F1130="","",YEAR(TODAY())-F1130)</f>
        <v/>
      </c>
      <c r="H1130" s="11" t="str">
        <f aca="false">IF(C1130="","",IF(G1130="","Thiếu thông tin",IF(G1130&lt;6,"Trẻ em",IF(G1130&lt;23,"Học sinh / Sinh viên",IF(G1130&lt;60,"Đang đi làm","Nghỉ hưu")))))</f>
        <v/>
      </c>
      <c r="I1130" s="6"/>
      <c r="J1130" s="11" t="str">
        <f aca="false">IF(B1130="","",IFERROR(INDEX('Hộ gia đình'!$B$2:$B$2000,MATCH(B1130,'Hộ gia đình'!$A$2:$A$2000,0)),"Mã hộ không tồn tại"))</f>
        <v/>
      </c>
      <c r="K1130" s="14"/>
      <c r="L1130" s="14"/>
      <c r="M1130" s="6"/>
      <c r="N1130" s="6"/>
      <c r="O1130" s="6"/>
      <c r="P1130" s="6"/>
      <c r="Q1130" s="6"/>
      <c r="R1130" s="12"/>
    </row>
    <row r="1131" customFormat="false" ht="15" hidden="false" customHeight="true" outlineLevel="0" collapsed="false">
      <c r="A1131" s="6"/>
      <c r="B1131" s="6"/>
      <c r="C1131" s="6"/>
      <c r="D1131" s="6"/>
      <c r="E1131" s="13"/>
      <c r="F1131" s="6"/>
      <c r="G1131" s="11" t="str">
        <f aca="true">IF(F1131="","",YEAR(TODAY())-F1131)</f>
        <v/>
      </c>
      <c r="H1131" s="11" t="str">
        <f aca="false">IF(C1131="","",IF(G1131="","Thiếu thông tin",IF(G1131&lt;6,"Trẻ em",IF(G1131&lt;23,"Học sinh / Sinh viên",IF(G1131&lt;60,"Đang đi làm","Nghỉ hưu")))))</f>
        <v/>
      </c>
      <c r="I1131" s="6"/>
      <c r="J1131" s="11" t="str">
        <f aca="false">IF(B1131="","",IFERROR(INDEX('Hộ gia đình'!$B$2:$B$2000,MATCH(B1131,'Hộ gia đình'!$A$2:$A$2000,0)),"Mã hộ không tồn tại"))</f>
        <v/>
      </c>
      <c r="K1131" s="14"/>
      <c r="L1131" s="14"/>
      <c r="M1131" s="6"/>
      <c r="N1131" s="6"/>
      <c r="O1131" s="6"/>
      <c r="P1131" s="6"/>
      <c r="Q1131" s="6"/>
      <c r="R1131" s="12"/>
    </row>
    <row r="1132" customFormat="false" ht="15" hidden="false" customHeight="true" outlineLevel="0" collapsed="false">
      <c r="A1132" s="6"/>
      <c r="B1132" s="6"/>
      <c r="C1132" s="6"/>
      <c r="D1132" s="6"/>
      <c r="E1132" s="13"/>
      <c r="F1132" s="6"/>
      <c r="G1132" s="11" t="str">
        <f aca="true">IF(F1132="","",YEAR(TODAY())-F1132)</f>
        <v/>
      </c>
      <c r="H1132" s="11" t="str">
        <f aca="false">IF(C1132="","",IF(G1132="","Thiếu thông tin",IF(G1132&lt;6,"Trẻ em",IF(G1132&lt;23,"Học sinh / Sinh viên",IF(G1132&lt;60,"Đang đi làm","Nghỉ hưu")))))</f>
        <v/>
      </c>
      <c r="I1132" s="6"/>
      <c r="J1132" s="11" t="str">
        <f aca="false">IF(B1132="","",IFERROR(INDEX('Hộ gia đình'!$B$2:$B$2000,MATCH(B1132,'Hộ gia đình'!$A$2:$A$2000,0)),"Mã hộ không tồn tại"))</f>
        <v/>
      </c>
      <c r="K1132" s="14"/>
      <c r="L1132" s="14"/>
      <c r="M1132" s="6"/>
      <c r="N1132" s="6"/>
      <c r="O1132" s="6"/>
      <c r="P1132" s="6"/>
      <c r="Q1132" s="6"/>
      <c r="R1132" s="12"/>
    </row>
    <row r="1133" customFormat="false" ht="15" hidden="false" customHeight="true" outlineLevel="0" collapsed="false">
      <c r="A1133" s="6"/>
      <c r="B1133" s="6"/>
      <c r="C1133" s="6"/>
      <c r="D1133" s="6"/>
      <c r="E1133" s="13"/>
      <c r="F1133" s="6"/>
      <c r="G1133" s="11" t="str">
        <f aca="true">IF(F1133="","",YEAR(TODAY())-F1133)</f>
        <v/>
      </c>
      <c r="H1133" s="11" t="str">
        <f aca="false">IF(C1133="","",IF(G1133="","Thiếu thông tin",IF(G1133&lt;6,"Trẻ em",IF(G1133&lt;23,"Học sinh / Sinh viên",IF(G1133&lt;60,"Đang đi làm","Nghỉ hưu")))))</f>
        <v/>
      </c>
      <c r="I1133" s="6"/>
      <c r="J1133" s="11" t="str">
        <f aca="false">IF(B1133="","",IFERROR(INDEX('Hộ gia đình'!$B$2:$B$2000,MATCH(B1133,'Hộ gia đình'!$A$2:$A$2000,0)),"Mã hộ không tồn tại"))</f>
        <v/>
      </c>
      <c r="K1133" s="14"/>
      <c r="L1133" s="14"/>
      <c r="M1133" s="6"/>
      <c r="N1133" s="6"/>
      <c r="O1133" s="6"/>
      <c r="P1133" s="6"/>
      <c r="Q1133" s="6"/>
      <c r="R1133" s="12"/>
    </row>
    <row r="1134" customFormat="false" ht="15" hidden="false" customHeight="true" outlineLevel="0" collapsed="false">
      <c r="A1134" s="6"/>
      <c r="B1134" s="6"/>
      <c r="C1134" s="6"/>
      <c r="D1134" s="6"/>
      <c r="E1134" s="13"/>
      <c r="F1134" s="6"/>
      <c r="G1134" s="11" t="str">
        <f aca="true">IF(F1134="","",YEAR(TODAY())-F1134)</f>
        <v/>
      </c>
      <c r="H1134" s="11" t="str">
        <f aca="false">IF(C1134="","",IF(G1134="","Thiếu thông tin",IF(G1134&lt;6,"Trẻ em",IF(G1134&lt;23,"Học sinh / Sinh viên",IF(G1134&lt;60,"Đang đi làm","Nghỉ hưu")))))</f>
        <v/>
      </c>
      <c r="I1134" s="6"/>
      <c r="J1134" s="11" t="str">
        <f aca="false">IF(B1134="","",IFERROR(INDEX('Hộ gia đình'!$B$2:$B$2000,MATCH(B1134,'Hộ gia đình'!$A$2:$A$2000,0)),"Mã hộ không tồn tại"))</f>
        <v/>
      </c>
      <c r="K1134" s="14"/>
      <c r="L1134" s="14"/>
      <c r="M1134" s="6"/>
      <c r="N1134" s="6"/>
      <c r="O1134" s="6"/>
      <c r="P1134" s="6"/>
      <c r="Q1134" s="6"/>
      <c r="R1134" s="12"/>
    </row>
    <row r="1135" customFormat="false" ht="15" hidden="false" customHeight="true" outlineLevel="0" collapsed="false">
      <c r="A1135" s="6"/>
      <c r="B1135" s="6"/>
      <c r="C1135" s="6"/>
      <c r="D1135" s="6"/>
      <c r="E1135" s="13"/>
      <c r="F1135" s="6"/>
      <c r="G1135" s="11" t="str">
        <f aca="true">IF(F1135="","",YEAR(TODAY())-F1135)</f>
        <v/>
      </c>
      <c r="H1135" s="11" t="str">
        <f aca="false">IF(C1135="","",IF(G1135="","Thiếu thông tin",IF(G1135&lt;6,"Trẻ em",IF(G1135&lt;23,"Học sinh / Sinh viên",IF(G1135&lt;60,"Đang đi làm","Nghỉ hưu")))))</f>
        <v/>
      </c>
      <c r="I1135" s="6"/>
      <c r="J1135" s="11" t="str">
        <f aca="false">IF(B1135="","",IFERROR(INDEX('Hộ gia đình'!$B$2:$B$2000,MATCH(B1135,'Hộ gia đình'!$A$2:$A$2000,0)),"Mã hộ không tồn tại"))</f>
        <v/>
      </c>
      <c r="K1135" s="14"/>
      <c r="L1135" s="14"/>
      <c r="M1135" s="6"/>
      <c r="N1135" s="6"/>
      <c r="O1135" s="6"/>
      <c r="P1135" s="6"/>
      <c r="Q1135" s="6"/>
      <c r="R1135" s="12"/>
    </row>
    <row r="1136" customFormat="false" ht="15" hidden="false" customHeight="true" outlineLevel="0" collapsed="false">
      <c r="A1136" s="6"/>
      <c r="B1136" s="6"/>
      <c r="C1136" s="6"/>
      <c r="D1136" s="6"/>
      <c r="E1136" s="13"/>
      <c r="F1136" s="6"/>
      <c r="G1136" s="11" t="str">
        <f aca="true">IF(F1136="","",YEAR(TODAY())-F1136)</f>
        <v/>
      </c>
      <c r="H1136" s="11" t="str">
        <f aca="false">IF(C1136="","",IF(G1136="","Thiếu thông tin",IF(G1136&lt;6,"Trẻ em",IF(G1136&lt;23,"Học sinh / Sinh viên",IF(G1136&lt;60,"Đang đi làm","Nghỉ hưu")))))</f>
        <v/>
      </c>
      <c r="I1136" s="6"/>
      <c r="J1136" s="11" t="str">
        <f aca="false">IF(B1136="","",IFERROR(INDEX('Hộ gia đình'!$B$2:$B$2000,MATCH(B1136,'Hộ gia đình'!$A$2:$A$2000,0)),"Mã hộ không tồn tại"))</f>
        <v/>
      </c>
      <c r="K1136" s="14"/>
      <c r="L1136" s="14"/>
      <c r="M1136" s="6"/>
      <c r="N1136" s="6"/>
      <c r="O1136" s="6"/>
      <c r="P1136" s="6"/>
      <c r="Q1136" s="6"/>
      <c r="R1136" s="12"/>
    </row>
    <row r="1137" customFormat="false" ht="15" hidden="false" customHeight="true" outlineLevel="0" collapsed="false">
      <c r="A1137" s="6"/>
      <c r="B1137" s="6"/>
      <c r="C1137" s="6"/>
      <c r="D1137" s="6"/>
      <c r="E1137" s="13"/>
      <c r="F1137" s="6"/>
      <c r="G1137" s="11" t="str">
        <f aca="true">IF(F1137="","",YEAR(TODAY())-F1137)</f>
        <v/>
      </c>
      <c r="H1137" s="11" t="str">
        <f aca="false">IF(C1137="","",IF(G1137="","Thiếu thông tin",IF(G1137&lt;6,"Trẻ em",IF(G1137&lt;23,"Học sinh / Sinh viên",IF(G1137&lt;60,"Đang đi làm","Nghỉ hưu")))))</f>
        <v/>
      </c>
      <c r="I1137" s="6"/>
      <c r="J1137" s="11" t="str">
        <f aca="false">IF(B1137="","",IFERROR(INDEX('Hộ gia đình'!$B$2:$B$2000,MATCH(B1137,'Hộ gia đình'!$A$2:$A$2000,0)),"Mã hộ không tồn tại"))</f>
        <v/>
      </c>
      <c r="K1137" s="14"/>
      <c r="L1137" s="14"/>
      <c r="M1137" s="6"/>
      <c r="N1137" s="6"/>
      <c r="O1137" s="6"/>
      <c r="P1137" s="6"/>
      <c r="Q1137" s="6"/>
      <c r="R1137" s="12"/>
    </row>
    <row r="1138" customFormat="false" ht="15" hidden="false" customHeight="true" outlineLevel="0" collapsed="false">
      <c r="A1138" s="6"/>
      <c r="B1138" s="6"/>
      <c r="C1138" s="6"/>
      <c r="D1138" s="6"/>
      <c r="E1138" s="13"/>
      <c r="F1138" s="6"/>
      <c r="G1138" s="11" t="str">
        <f aca="true">IF(F1138="","",YEAR(TODAY())-F1138)</f>
        <v/>
      </c>
      <c r="H1138" s="11" t="str">
        <f aca="false">IF(C1138="","",IF(G1138="","Thiếu thông tin",IF(G1138&lt;6,"Trẻ em",IF(G1138&lt;23,"Học sinh / Sinh viên",IF(G1138&lt;60,"Đang đi làm","Nghỉ hưu")))))</f>
        <v/>
      </c>
      <c r="I1138" s="6"/>
      <c r="J1138" s="11" t="str">
        <f aca="false">IF(B1138="","",IFERROR(INDEX('Hộ gia đình'!$B$2:$B$2000,MATCH(B1138,'Hộ gia đình'!$A$2:$A$2000,0)),"Mã hộ không tồn tại"))</f>
        <v/>
      </c>
      <c r="K1138" s="14"/>
      <c r="L1138" s="14"/>
      <c r="M1138" s="6"/>
      <c r="N1138" s="6"/>
      <c r="O1138" s="6"/>
      <c r="P1138" s="6"/>
      <c r="Q1138" s="6"/>
      <c r="R1138" s="12"/>
    </row>
    <row r="1139" customFormat="false" ht="15" hidden="false" customHeight="true" outlineLevel="0" collapsed="false">
      <c r="A1139" s="6"/>
      <c r="B1139" s="6"/>
      <c r="C1139" s="6"/>
      <c r="D1139" s="6"/>
      <c r="E1139" s="13"/>
      <c r="F1139" s="6"/>
      <c r="G1139" s="11" t="str">
        <f aca="true">IF(F1139="","",YEAR(TODAY())-F1139)</f>
        <v/>
      </c>
      <c r="H1139" s="11" t="str">
        <f aca="false">IF(C1139="","",IF(G1139="","Thiếu thông tin",IF(G1139&lt;6,"Trẻ em",IF(G1139&lt;23,"Học sinh / Sinh viên",IF(G1139&lt;60,"Đang đi làm","Nghỉ hưu")))))</f>
        <v/>
      </c>
      <c r="I1139" s="6"/>
      <c r="J1139" s="11" t="str">
        <f aca="false">IF(B1139="","",IFERROR(INDEX('Hộ gia đình'!$B$2:$B$2000,MATCH(B1139,'Hộ gia đình'!$A$2:$A$2000,0)),"Mã hộ không tồn tại"))</f>
        <v/>
      </c>
      <c r="K1139" s="14"/>
      <c r="L1139" s="14"/>
      <c r="M1139" s="6"/>
      <c r="N1139" s="6"/>
      <c r="O1139" s="6"/>
      <c r="P1139" s="6"/>
      <c r="Q1139" s="6"/>
      <c r="R1139" s="12"/>
    </row>
    <row r="1140" customFormat="false" ht="15" hidden="false" customHeight="true" outlineLevel="0" collapsed="false">
      <c r="A1140" s="6"/>
      <c r="B1140" s="6"/>
      <c r="C1140" s="6"/>
      <c r="D1140" s="6"/>
      <c r="E1140" s="13"/>
      <c r="F1140" s="6"/>
      <c r="G1140" s="11" t="str">
        <f aca="true">IF(F1140="","",YEAR(TODAY())-F1140)</f>
        <v/>
      </c>
      <c r="H1140" s="11" t="str">
        <f aca="false">IF(C1140="","",IF(G1140="","Thiếu thông tin",IF(G1140&lt;6,"Trẻ em",IF(G1140&lt;23,"Học sinh / Sinh viên",IF(G1140&lt;60,"Đang đi làm","Nghỉ hưu")))))</f>
        <v/>
      </c>
      <c r="I1140" s="6"/>
      <c r="J1140" s="11" t="str">
        <f aca="false">IF(B1140="","",IFERROR(INDEX('Hộ gia đình'!$B$2:$B$2000,MATCH(B1140,'Hộ gia đình'!$A$2:$A$2000,0)),"Mã hộ không tồn tại"))</f>
        <v/>
      </c>
      <c r="K1140" s="14"/>
      <c r="L1140" s="14"/>
      <c r="M1140" s="6"/>
      <c r="N1140" s="6"/>
      <c r="O1140" s="6"/>
      <c r="P1140" s="6"/>
      <c r="Q1140" s="6"/>
      <c r="R1140" s="12"/>
    </row>
    <row r="1141" customFormat="false" ht="15" hidden="false" customHeight="true" outlineLevel="0" collapsed="false">
      <c r="A1141" s="6"/>
      <c r="B1141" s="6"/>
      <c r="C1141" s="6"/>
      <c r="D1141" s="6"/>
      <c r="E1141" s="13"/>
      <c r="F1141" s="6"/>
      <c r="G1141" s="11" t="str">
        <f aca="true">IF(F1141="","",YEAR(TODAY())-F1141)</f>
        <v/>
      </c>
      <c r="H1141" s="11" t="str">
        <f aca="false">IF(C1141="","",IF(G1141="","Thiếu thông tin",IF(G1141&lt;6,"Trẻ em",IF(G1141&lt;23,"Học sinh / Sinh viên",IF(G1141&lt;60,"Đang đi làm","Nghỉ hưu")))))</f>
        <v/>
      </c>
      <c r="I1141" s="6"/>
      <c r="J1141" s="11" t="str">
        <f aca="false">IF(B1141="","",IFERROR(INDEX('Hộ gia đình'!$B$2:$B$2000,MATCH(B1141,'Hộ gia đình'!$A$2:$A$2000,0)),"Mã hộ không tồn tại"))</f>
        <v/>
      </c>
      <c r="K1141" s="14"/>
      <c r="L1141" s="14"/>
      <c r="M1141" s="6"/>
      <c r="N1141" s="6"/>
      <c r="O1141" s="6"/>
      <c r="P1141" s="6"/>
      <c r="Q1141" s="6"/>
      <c r="R1141" s="12"/>
    </row>
    <row r="1142" customFormat="false" ht="15" hidden="false" customHeight="true" outlineLevel="0" collapsed="false">
      <c r="A1142" s="6"/>
      <c r="B1142" s="6"/>
      <c r="C1142" s="6"/>
      <c r="D1142" s="6"/>
      <c r="E1142" s="13"/>
      <c r="F1142" s="6"/>
      <c r="G1142" s="11" t="str">
        <f aca="true">IF(F1142="","",YEAR(TODAY())-F1142)</f>
        <v/>
      </c>
      <c r="H1142" s="11" t="str">
        <f aca="false">IF(C1142="","",IF(G1142="","Thiếu thông tin",IF(G1142&lt;6,"Trẻ em",IF(G1142&lt;23,"Học sinh / Sinh viên",IF(G1142&lt;60,"Đang đi làm","Nghỉ hưu")))))</f>
        <v/>
      </c>
      <c r="I1142" s="6"/>
      <c r="J1142" s="11" t="str">
        <f aca="false">IF(B1142="","",IFERROR(INDEX('Hộ gia đình'!$B$2:$B$2000,MATCH(B1142,'Hộ gia đình'!$A$2:$A$2000,0)),"Mã hộ không tồn tại"))</f>
        <v/>
      </c>
      <c r="K1142" s="14"/>
      <c r="L1142" s="14"/>
      <c r="M1142" s="6"/>
      <c r="N1142" s="6"/>
      <c r="O1142" s="6"/>
      <c r="P1142" s="6"/>
      <c r="Q1142" s="6"/>
      <c r="R1142" s="12"/>
    </row>
    <row r="1143" customFormat="false" ht="15" hidden="false" customHeight="true" outlineLevel="0" collapsed="false">
      <c r="A1143" s="6"/>
      <c r="B1143" s="6"/>
      <c r="C1143" s="6"/>
      <c r="D1143" s="6"/>
      <c r="E1143" s="13"/>
      <c r="F1143" s="6"/>
      <c r="G1143" s="11" t="str">
        <f aca="true">IF(F1143="","",YEAR(TODAY())-F1143)</f>
        <v/>
      </c>
      <c r="H1143" s="11" t="str">
        <f aca="false">IF(C1143="","",IF(G1143="","Thiếu thông tin",IF(G1143&lt;6,"Trẻ em",IF(G1143&lt;23,"Học sinh / Sinh viên",IF(G1143&lt;60,"Đang đi làm","Nghỉ hưu")))))</f>
        <v/>
      </c>
      <c r="I1143" s="6"/>
      <c r="J1143" s="11" t="str">
        <f aca="false">IF(B1143="","",IFERROR(INDEX('Hộ gia đình'!$B$2:$B$2000,MATCH(B1143,'Hộ gia đình'!$A$2:$A$2000,0)),"Mã hộ không tồn tại"))</f>
        <v/>
      </c>
      <c r="K1143" s="14"/>
      <c r="L1143" s="14"/>
      <c r="M1143" s="6"/>
      <c r="N1143" s="6"/>
      <c r="O1143" s="6"/>
      <c r="P1143" s="6"/>
      <c r="Q1143" s="6"/>
      <c r="R1143" s="12"/>
    </row>
    <row r="1144" customFormat="false" ht="15" hidden="false" customHeight="true" outlineLevel="0" collapsed="false">
      <c r="A1144" s="6"/>
      <c r="B1144" s="6"/>
      <c r="C1144" s="6"/>
      <c r="D1144" s="6"/>
      <c r="E1144" s="13"/>
      <c r="F1144" s="6"/>
      <c r="G1144" s="11" t="str">
        <f aca="true">IF(F1144="","",YEAR(TODAY())-F1144)</f>
        <v/>
      </c>
      <c r="H1144" s="11" t="str">
        <f aca="false">IF(C1144="","",IF(G1144="","Thiếu thông tin",IF(G1144&lt;6,"Trẻ em",IF(G1144&lt;23,"Học sinh / Sinh viên",IF(G1144&lt;60,"Đang đi làm","Nghỉ hưu")))))</f>
        <v/>
      </c>
      <c r="I1144" s="6"/>
      <c r="J1144" s="11" t="str">
        <f aca="false">IF(B1144="","",IFERROR(INDEX('Hộ gia đình'!$B$2:$B$2000,MATCH(B1144,'Hộ gia đình'!$A$2:$A$2000,0)),"Mã hộ không tồn tại"))</f>
        <v/>
      </c>
      <c r="K1144" s="14"/>
      <c r="L1144" s="14"/>
      <c r="M1144" s="6"/>
      <c r="N1144" s="6"/>
      <c r="O1144" s="6"/>
      <c r="P1144" s="6"/>
      <c r="Q1144" s="6"/>
      <c r="R1144" s="12"/>
    </row>
    <row r="1145" customFormat="false" ht="15" hidden="false" customHeight="true" outlineLevel="0" collapsed="false">
      <c r="A1145" s="6"/>
      <c r="B1145" s="6"/>
      <c r="C1145" s="6"/>
      <c r="D1145" s="6"/>
      <c r="E1145" s="13"/>
      <c r="F1145" s="6"/>
      <c r="G1145" s="11" t="str">
        <f aca="true">IF(F1145="","",YEAR(TODAY())-F1145)</f>
        <v/>
      </c>
      <c r="H1145" s="11" t="str">
        <f aca="false">IF(C1145="","",IF(G1145="","Thiếu thông tin",IF(G1145&lt;6,"Trẻ em",IF(G1145&lt;23,"Học sinh / Sinh viên",IF(G1145&lt;60,"Đang đi làm","Nghỉ hưu")))))</f>
        <v/>
      </c>
      <c r="I1145" s="6"/>
      <c r="J1145" s="11" t="str">
        <f aca="false">IF(B1145="","",IFERROR(INDEX('Hộ gia đình'!$B$2:$B$2000,MATCH(B1145,'Hộ gia đình'!$A$2:$A$2000,0)),"Mã hộ không tồn tại"))</f>
        <v/>
      </c>
      <c r="K1145" s="14"/>
      <c r="L1145" s="14"/>
      <c r="M1145" s="6"/>
      <c r="N1145" s="6"/>
      <c r="O1145" s="6"/>
      <c r="P1145" s="6"/>
      <c r="Q1145" s="6"/>
      <c r="R1145" s="12"/>
    </row>
    <row r="1146" customFormat="false" ht="15" hidden="false" customHeight="true" outlineLevel="0" collapsed="false">
      <c r="A1146" s="6"/>
      <c r="B1146" s="6"/>
      <c r="C1146" s="6"/>
      <c r="D1146" s="6"/>
      <c r="E1146" s="13"/>
      <c r="F1146" s="6"/>
      <c r="G1146" s="11" t="str">
        <f aca="true">IF(F1146="","",YEAR(TODAY())-F1146)</f>
        <v/>
      </c>
      <c r="H1146" s="11" t="str">
        <f aca="false">IF(C1146="","",IF(G1146="","Thiếu thông tin",IF(G1146&lt;6,"Trẻ em",IF(G1146&lt;23,"Học sinh / Sinh viên",IF(G1146&lt;60,"Đang đi làm","Nghỉ hưu")))))</f>
        <v/>
      </c>
      <c r="I1146" s="6"/>
      <c r="J1146" s="11" t="str">
        <f aca="false">IF(B1146="","",IFERROR(INDEX('Hộ gia đình'!$B$2:$B$2000,MATCH(B1146,'Hộ gia đình'!$A$2:$A$2000,0)),"Mã hộ không tồn tại"))</f>
        <v/>
      </c>
      <c r="K1146" s="14"/>
      <c r="L1146" s="14"/>
      <c r="M1146" s="6"/>
      <c r="N1146" s="6"/>
      <c r="O1146" s="6"/>
      <c r="P1146" s="6"/>
      <c r="Q1146" s="6"/>
      <c r="R1146" s="12"/>
    </row>
    <row r="1147" customFormat="false" ht="15" hidden="false" customHeight="true" outlineLevel="0" collapsed="false">
      <c r="A1147" s="6"/>
      <c r="B1147" s="6"/>
      <c r="C1147" s="6"/>
      <c r="D1147" s="6"/>
      <c r="E1147" s="13"/>
      <c r="F1147" s="6"/>
      <c r="G1147" s="11" t="str">
        <f aca="true">IF(F1147="","",YEAR(TODAY())-F1147)</f>
        <v/>
      </c>
      <c r="H1147" s="11" t="str">
        <f aca="false">IF(C1147="","",IF(G1147="","Thiếu thông tin",IF(G1147&lt;6,"Trẻ em",IF(G1147&lt;23,"Học sinh / Sinh viên",IF(G1147&lt;60,"Đang đi làm","Nghỉ hưu")))))</f>
        <v/>
      </c>
      <c r="I1147" s="6"/>
      <c r="J1147" s="11" t="str">
        <f aca="false">IF(B1147="","",IFERROR(INDEX('Hộ gia đình'!$B$2:$B$2000,MATCH(B1147,'Hộ gia đình'!$A$2:$A$2000,0)),"Mã hộ không tồn tại"))</f>
        <v/>
      </c>
      <c r="K1147" s="14"/>
      <c r="L1147" s="14"/>
      <c r="M1147" s="6"/>
      <c r="N1147" s="6"/>
      <c r="O1147" s="6"/>
      <c r="P1147" s="6"/>
      <c r="Q1147" s="6"/>
      <c r="R1147" s="12"/>
    </row>
    <row r="1148" customFormat="false" ht="15" hidden="false" customHeight="true" outlineLevel="0" collapsed="false">
      <c r="A1148" s="6"/>
      <c r="B1148" s="6"/>
      <c r="C1148" s="6"/>
      <c r="D1148" s="6"/>
      <c r="E1148" s="13"/>
      <c r="F1148" s="6"/>
      <c r="G1148" s="11" t="str">
        <f aca="true">IF(F1148="","",YEAR(TODAY())-F1148)</f>
        <v/>
      </c>
      <c r="H1148" s="11" t="str">
        <f aca="false">IF(C1148="","",IF(G1148="","Thiếu thông tin",IF(G1148&lt;6,"Trẻ em",IF(G1148&lt;23,"Học sinh / Sinh viên",IF(G1148&lt;60,"Đang đi làm","Nghỉ hưu")))))</f>
        <v/>
      </c>
      <c r="I1148" s="6"/>
      <c r="J1148" s="11" t="str">
        <f aca="false">IF(B1148="","",IFERROR(INDEX('Hộ gia đình'!$B$2:$B$2000,MATCH(B1148,'Hộ gia đình'!$A$2:$A$2000,0)),"Mã hộ không tồn tại"))</f>
        <v/>
      </c>
      <c r="K1148" s="14"/>
      <c r="L1148" s="14"/>
      <c r="M1148" s="6"/>
      <c r="N1148" s="6"/>
      <c r="O1148" s="6"/>
      <c r="P1148" s="6"/>
      <c r="Q1148" s="6"/>
      <c r="R1148" s="12"/>
    </row>
    <row r="1149" customFormat="false" ht="15" hidden="false" customHeight="true" outlineLevel="0" collapsed="false">
      <c r="A1149" s="6"/>
      <c r="B1149" s="6"/>
      <c r="C1149" s="6"/>
      <c r="D1149" s="6"/>
      <c r="E1149" s="13"/>
      <c r="F1149" s="6"/>
      <c r="G1149" s="11" t="str">
        <f aca="true">IF(F1149="","",YEAR(TODAY())-F1149)</f>
        <v/>
      </c>
      <c r="H1149" s="11" t="str">
        <f aca="false">IF(C1149="","",IF(G1149="","Thiếu thông tin",IF(G1149&lt;6,"Trẻ em",IF(G1149&lt;23,"Học sinh / Sinh viên",IF(G1149&lt;60,"Đang đi làm","Nghỉ hưu")))))</f>
        <v/>
      </c>
      <c r="I1149" s="6"/>
      <c r="J1149" s="11" t="str">
        <f aca="false">IF(B1149="","",IFERROR(INDEX('Hộ gia đình'!$B$2:$B$2000,MATCH(B1149,'Hộ gia đình'!$A$2:$A$2000,0)),"Mã hộ không tồn tại"))</f>
        <v/>
      </c>
      <c r="K1149" s="14"/>
      <c r="L1149" s="14"/>
      <c r="M1149" s="6"/>
      <c r="N1149" s="6"/>
      <c r="O1149" s="6"/>
      <c r="P1149" s="6"/>
      <c r="Q1149" s="6"/>
      <c r="R1149" s="12"/>
    </row>
    <row r="1150" customFormat="false" ht="15" hidden="false" customHeight="true" outlineLevel="0" collapsed="false">
      <c r="A1150" s="6"/>
      <c r="B1150" s="6"/>
      <c r="C1150" s="6"/>
      <c r="D1150" s="6"/>
      <c r="E1150" s="13"/>
      <c r="F1150" s="6"/>
      <c r="G1150" s="11" t="str">
        <f aca="true">IF(F1150="","",YEAR(TODAY())-F1150)</f>
        <v/>
      </c>
      <c r="H1150" s="11" t="str">
        <f aca="false">IF(C1150="","",IF(G1150="","Thiếu thông tin",IF(G1150&lt;6,"Trẻ em",IF(G1150&lt;23,"Học sinh / Sinh viên",IF(G1150&lt;60,"Đang đi làm","Nghỉ hưu")))))</f>
        <v/>
      </c>
      <c r="I1150" s="6"/>
      <c r="J1150" s="11" t="str">
        <f aca="false">IF(B1150="","",IFERROR(INDEX('Hộ gia đình'!$B$2:$B$2000,MATCH(B1150,'Hộ gia đình'!$A$2:$A$2000,0)),"Mã hộ không tồn tại"))</f>
        <v/>
      </c>
      <c r="K1150" s="14"/>
      <c r="L1150" s="14"/>
      <c r="M1150" s="6"/>
      <c r="N1150" s="6"/>
      <c r="O1150" s="6"/>
      <c r="P1150" s="6"/>
      <c r="Q1150" s="6"/>
      <c r="R1150" s="12"/>
    </row>
    <row r="1151" customFormat="false" ht="15" hidden="false" customHeight="true" outlineLevel="0" collapsed="false">
      <c r="A1151" s="6"/>
      <c r="B1151" s="6"/>
      <c r="C1151" s="6"/>
      <c r="D1151" s="6"/>
      <c r="E1151" s="13"/>
      <c r="F1151" s="6"/>
      <c r="G1151" s="11" t="str">
        <f aca="true">IF(F1151="","",YEAR(TODAY())-F1151)</f>
        <v/>
      </c>
      <c r="H1151" s="11" t="str">
        <f aca="false">IF(C1151="","",IF(G1151="","Thiếu thông tin",IF(G1151&lt;6,"Trẻ em",IF(G1151&lt;23,"Học sinh / Sinh viên",IF(G1151&lt;60,"Đang đi làm","Nghỉ hưu")))))</f>
        <v/>
      </c>
      <c r="I1151" s="6"/>
      <c r="J1151" s="11" t="str">
        <f aca="false">IF(B1151="","",IFERROR(INDEX('Hộ gia đình'!$B$2:$B$2000,MATCH(B1151,'Hộ gia đình'!$A$2:$A$2000,0)),"Mã hộ không tồn tại"))</f>
        <v/>
      </c>
      <c r="K1151" s="14"/>
      <c r="L1151" s="14"/>
      <c r="M1151" s="6"/>
      <c r="N1151" s="6"/>
      <c r="O1151" s="6"/>
      <c r="P1151" s="6"/>
      <c r="Q1151" s="6"/>
      <c r="R1151" s="12"/>
    </row>
    <row r="1152" customFormat="false" ht="15" hidden="false" customHeight="true" outlineLevel="0" collapsed="false">
      <c r="A1152" s="6"/>
      <c r="B1152" s="6"/>
      <c r="C1152" s="6"/>
      <c r="D1152" s="6"/>
      <c r="E1152" s="13"/>
      <c r="F1152" s="6"/>
      <c r="G1152" s="11" t="str">
        <f aca="true">IF(F1152="","",YEAR(TODAY())-F1152)</f>
        <v/>
      </c>
      <c r="H1152" s="11" t="str">
        <f aca="false">IF(C1152="","",IF(G1152="","Thiếu thông tin",IF(G1152&lt;6,"Trẻ em",IF(G1152&lt;23,"Học sinh / Sinh viên",IF(G1152&lt;60,"Đang đi làm","Nghỉ hưu")))))</f>
        <v/>
      </c>
      <c r="I1152" s="6"/>
      <c r="J1152" s="11" t="str">
        <f aca="false">IF(B1152="","",IFERROR(INDEX('Hộ gia đình'!$B$2:$B$2000,MATCH(B1152,'Hộ gia đình'!$A$2:$A$2000,0)),"Mã hộ không tồn tại"))</f>
        <v/>
      </c>
      <c r="K1152" s="14"/>
      <c r="L1152" s="14"/>
      <c r="M1152" s="6"/>
      <c r="N1152" s="6"/>
      <c r="O1152" s="6"/>
      <c r="P1152" s="6"/>
      <c r="Q1152" s="6"/>
      <c r="R1152" s="12"/>
    </row>
    <row r="1153" customFormat="false" ht="15" hidden="false" customHeight="true" outlineLevel="0" collapsed="false">
      <c r="A1153" s="6"/>
      <c r="B1153" s="6"/>
      <c r="C1153" s="6"/>
      <c r="D1153" s="6"/>
      <c r="E1153" s="13"/>
      <c r="F1153" s="6"/>
      <c r="G1153" s="11" t="str">
        <f aca="true">IF(F1153="","",YEAR(TODAY())-F1153)</f>
        <v/>
      </c>
      <c r="H1153" s="11" t="str">
        <f aca="false">IF(C1153="","",IF(G1153="","Thiếu thông tin",IF(G1153&lt;6,"Trẻ em",IF(G1153&lt;23,"Học sinh / Sinh viên",IF(G1153&lt;60,"Đang đi làm","Nghỉ hưu")))))</f>
        <v/>
      </c>
      <c r="I1153" s="6"/>
      <c r="J1153" s="11" t="str">
        <f aca="false">IF(B1153="","",IFERROR(INDEX('Hộ gia đình'!$B$2:$B$2000,MATCH(B1153,'Hộ gia đình'!$A$2:$A$2000,0)),"Mã hộ không tồn tại"))</f>
        <v/>
      </c>
      <c r="K1153" s="14"/>
      <c r="L1153" s="14"/>
      <c r="M1153" s="6"/>
      <c r="N1153" s="6"/>
      <c r="O1153" s="6"/>
      <c r="P1153" s="6"/>
      <c r="Q1153" s="6"/>
      <c r="R1153" s="12"/>
    </row>
    <row r="1154" customFormat="false" ht="15" hidden="false" customHeight="true" outlineLevel="0" collapsed="false">
      <c r="A1154" s="6"/>
      <c r="B1154" s="6"/>
      <c r="C1154" s="6"/>
      <c r="D1154" s="6"/>
      <c r="E1154" s="13"/>
      <c r="F1154" s="6"/>
      <c r="G1154" s="11" t="str">
        <f aca="true">IF(F1154="","",YEAR(TODAY())-F1154)</f>
        <v/>
      </c>
      <c r="H1154" s="11" t="str">
        <f aca="false">IF(C1154="","",IF(G1154="","Thiếu thông tin",IF(G1154&lt;6,"Trẻ em",IF(G1154&lt;23,"Học sinh / Sinh viên",IF(G1154&lt;60,"Đang đi làm","Nghỉ hưu")))))</f>
        <v/>
      </c>
      <c r="I1154" s="6"/>
      <c r="J1154" s="11" t="str">
        <f aca="false">IF(B1154="","",IFERROR(INDEX('Hộ gia đình'!$B$2:$B$2000,MATCH(B1154,'Hộ gia đình'!$A$2:$A$2000,0)),"Mã hộ không tồn tại"))</f>
        <v/>
      </c>
      <c r="K1154" s="14"/>
      <c r="L1154" s="14"/>
      <c r="M1154" s="6"/>
      <c r="N1154" s="6"/>
      <c r="O1154" s="6"/>
      <c r="P1154" s="6"/>
      <c r="Q1154" s="6"/>
      <c r="R1154" s="12"/>
    </row>
    <row r="1155" customFormat="false" ht="15" hidden="false" customHeight="true" outlineLevel="0" collapsed="false">
      <c r="A1155" s="6"/>
      <c r="B1155" s="6"/>
      <c r="C1155" s="6"/>
      <c r="D1155" s="6"/>
      <c r="E1155" s="13"/>
      <c r="F1155" s="6"/>
      <c r="G1155" s="11" t="str">
        <f aca="true">IF(F1155="","",YEAR(TODAY())-F1155)</f>
        <v/>
      </c>
      <c r="H1155" s="11" t="str">
        <f aca="false">IF(C1155="","",IF(G1155="","Thiếu thông tin",IF(G1155&lt;6,"Trẻ em",IF(G1155&lt;23,"Học sinh / Sinh viên",IF(G1155&lt;60,"Đang đi làm","Nghỉ hưu")))))</f>
        <v/>
      </c>
      <c r="I1155" s="6"/>
      <c r="J1155" s="11" t="str">
        <f aca="false">IF(B1155="","",IFERROR(INDEX('Hộ gia đình'!$B$2:$B$2000,MATCH(B1155,'Hộ gia đình'!$A$2:$A$2000,0)),"Mã hộ không tồn tại"))</f>
        <v/>
      </c>
      <c r="K1155" s="14"/>
      <c r="L1155" s="14"/>
      <c r="M1155" s="6"/>
      <c r="N1155" s="6"/>
      <c r="O1155" s="6"/>
      <c r="P1155" s="6"/>
      <c r="Q1155" s="6"/>
      <c r="R1155" s="12"/>
    </row>
    <row r="1156" customFormat="false" ht="15" hidden="false" customHeight="true" outlineLevel="0" collapsed="false">
      <c r="A1156" s="6"/>
      <c r="B1156" s="6"/>
      <c r="C1156" s="6"/>
      <c r="D1156" s="6"/>
      <c r="E1156" s="13"/>
      <c r="F1156" s="6"/>
      <c r="G1156" s="11" t="str">
        <f aca="true">IF(F1156="","",YEAR(TODAY())-F1156)</f>
        <v/>
      </c>
      <c r="H1156" s="11" t="str">
        <f aca="false">IF(C1156="","",IF(G1156="","Thiếu thông tin",IF(G1156&lt;6,"Trẻ em",IF(G1156&lt;23,"Học sinh / Sinh viên",IF(G1156&lt;60,"Đang đi làm","Nghỉ hưu")))))</f>
        <v/>
      </c>
      <c r="I1156" s="6"/>
      <c r="J1156" s="11" t="str">
        <f aca="false">IF(B1156="","",IFERROR(INDEX('Hộ gia đình'!$B$2:$B$2000,MATCH(B1156,'Hộ gia đình'!$A$2:$A$2000,0)),"Mã hộ không tồn tại"))</f>
        <v/>
      </c>
      <c r="K1156" s="14"/>
      <c r="L1156" s="14"/>
      <c r="M1156" s="6"/>
      <c r="N1156" s="6"/>
      <c r="O1156" s="6"/>
      <c r="P1156" s="6"/>
      <c r="Q1156" s="6"/>
      <c r="R1156" s="12"/>
    </row>
    <row r="1157" customFormat="false" ht="15" hidden="false" customHeight="true" outlineLevel="0" collapsed="false">
      <c r="A1157" s="6"/>
      <c r="B1157" s="6"/>
      <c r="C1157" s="6"/>
      <c r="D1157" s="6"/>
      <c r="E1157" s="13"/>
      <c r="F1157" s="6"/>
      <c r="G1157" s="11" t="str">
        <f aca="true">IF(F1157="","",YEAR(TODAY())-F1157)</f>
        <v/>
      </c>
      <c r="H1157" s="11" t="str">
        <f aca="false">IF(C1157="","",IF(G1157="","Thiếu thông tin",IF(G1157&lt;6,"Trẻ em",IF(G1157&lt;23,"Học sinh / Sinh viên",IF(G1157&lt;60,"Đang đi làm","Nghỉ hưu")))))</f>
        <v/>
      </c>
      <c r="I1157" s="6"/>
      <c r="J1157" s="11" t="str">
        <f aca="false">IF(B1157="","",IFERROR(INDEX('Hộ gia đình'!$B$2:$B$2000,MATCH(B1157,'Hộ gia đình'!$A$2:$A$2000,0)),"Mã hộ không tồn tại"))</f>
        <v/>
      </c>
      <c r="K1157" s="14"/>
      <c r="L1157" s="14"/>
      <c r="M1157" s="6"/>
      <c r="N1157" s="6"/>
      <c r="O1157" s="6"/>
      <c r="P1157" s="6"/>
      <c r="Q1157" s="6"/>
      <c r="R1157" s="12"/>
    </row>
    <row r="1158" customFormat="false" ht="15" hidden="false" customHeight="true" outlineLevel="0" collapsed="false">
      <c r="A1158" s="6"/>
      <c r="B1158" s="6"/>
      <c r="C1158" s="6"/>
      <c r="D1158" s="6"/>
      <c r="E1158" s="13"/>
      <c r="F1158" s="6"/>
      <c r="G1158" s="11" t="str">
        <f aca="true">IF(F1158="","",YEAR(TODAY())-F1158)</f>
        <v/>
      </c>
      <c r="H1158" s="11" t="str">
        <f aca="false">IF(C1158="","",IF(G1158="","Thiếu thông tin",IF(G1158&lt;6,"Trẻ em",IF(G1158&lt;23,"Học sinh / Sinh viên",IF(G1158&lt;60,"Đang đi làm","Nghỉ hưu")))))</f>
        <v/>
      </c>
      <c r="I1158" s="6"/>
      <c r="J1158" s="11" t="str">
        <f aca="false">IF(B1158="","",IFERROR(INDEX('Hộ gia đình'!$B$2:$B$2000,MATCH(B1158,'Hộ gia đình'!$A$2:$A$2000,0)),"Mã hộ không tồn tại"))</f>
        <v/>
      </c>
      <c r="K1158" s="14"/>
      <c r="L1158" s="14"/>
      <c r="M1158" s="6"/>
      <c r="N1158" s="6"/>
      <c r="O1158" s="6"/>
      <c r="P1158" s="6"/>
      <c r="Q1158" s="6"/>
      <c r="R1158" s="12"/>
    </row>
    <row r="1159" customFormat="false" ht="15" hidden="false" customHeight="true" outlineLevel="0" collapsed="false">
      <c r="A1159" s="6"/>
      <c r="B1159" s="6"/>
      <c r="C1159" s="6"/>
      <c r="D1159" s="6"/>
      <c r="E1159" s="13"/>
      <c r="F1159" s="6"/>
      <c r="G1159" s="11" t="str">
        <f aca="true">IF(F1159="","",YEAR(TODAY())-F1159)</f>
        <v/>
      </c>
      <c r="H1159" s="11" t="str">
        <f aca="false">IF(C1159="","",IF(G1159="","Thiếu thông tin",IF(G1159&lt;6,"Trẻ em",IF(G1159&lt;23,"Học sinh / Sinh viên",IF(G1159&lt;60,"Đang đi làm","Nghỉ hưu")))))</f>
        <v/>
      </c>
      <c r="I1159" s="6"/>
      <c r="J1159" s="11" t="str">
        <f aca="false">IF(B1159="","",IFERROR(INDEX('Hộ gia đình'!$B$2:$B$2000,MATCH(B1159,'Hộ gia đình'!$A$2:$A$2000,0)),"Mã hộ không tồn tại"))</f>
        <v/>
      </c>
      <c r="K1159" s="14"/>
      <c r="L1159" s="14"/>
      <c r="M1159" s="6"/>
      <c r="N1159" s="6"/>
      <c r="O1159" s="6"/>
      <c r="P1159" s="6"/>
      <c r="Q1159" s="6"/>
      <c r="R1159" s="12"/>
    </row>
    <row r="1160" customFormat="false" ht="15" hidden="false" customHeight="true" outlineLevel="0" collapsed="false">
      <c r="A1160" s="6"/>
      <c r="B1160" s="6"/>
      <c r="C1160" s="6"/>
      <c r="D1160" s="6"/>
      <c r="E1160" s="13"/>
      <c r="F1160" s="6"/>
      <c r="G1160" s="11" t="str">
        <f aca="true">IF(F1160="","",YEAR(TODAY())-F1160)</f>
        <v/>
      </c>
      <c r="H1160" s="11" t="str">
        <f aca="false">IF(C1160="","",IF(G1160="","Thiếu thông tin",IF(G1160&lt;6,"Trẻ em",IF(G1160&lt;23,"Học sinh / Sinh viên",IF(G1160&lt;60,"Đang đi làm","Nghỉ hưu")))))</f>
        <v/>
      </c>
      <c r="I1160" s="6"/>
      <c r="J1160" s="11" t="str">
        <f aca="false">IF(B1160="","",IFERROR(INDEX('Hộ gia đình'!$B$2:$B$2000,MATCH(B1160,'Hộ gia đình'!$A$2:$A$2000,0)),"Mã hộ không tồn tại"))</f>
        <v/>
      </c>
      <c r="K1160" s="14"/>
      <c r="L1160" s="14"/>
      <c r="M1160" s="6"/>
      <c r="N1160" s="6"/>
      <c r="O1160" s="6"/>
      <c r="P1160" s="6"/>
      <c r="Q1160" s="6"/>
      <c r="R1160" s="12"/>
    </row>
    <row r="1161" customFormat="false" ht="15" hidden="false" customHeight="true" outlineLevel="0" collapsed="false">
      <c r="A1161" s="6"/>
      <c r="B1161" s="6"/>
      <c r="C1161" s="6"/>
      <c r="D1161" s="6"/>
      <c r="E1161" s="13"/>
      <c r="F1161" s="6"/>
      <c r="G1161" s="11" t="str">
        <f aca="true">IF(F1161="","",YEAR(TODAY())-F1161)</f>
        <v/>
      </c>
      <c r="H1161" s="11" t="str">
        <f aca="false">IF(C1161="","",IF(G1161="","Thiếu thông tin",IF(G1161&lt;6,"Trẻ em",IF(G1161&lt;23,"Học sinh / Sinh viên",IF(G1161&lt;60,"Đang đi làm","Nghỉ hưu")))))</f>
        <v/>
      </c>
      <c r="I1161" s="6"/>
      <c r="J1161" s="11" t="str">
        <f aca="false">IF(B1161="","",IFERROR(INDEX('Hộ gia đình'!$B$2:$B$2000,MATCH(B1161,'Hộ gia đình'!$A$2:$A$2000,0)),"Mã hộ không tồn tại"))</f>
        <v/>
      </c>
      <c r="K1161" s="14"/>
      <c r="L1161" s="14"/>
      <c r="M1161" s="6"/>
      <c r="N1161" s="6"/>
      <c r="O1161" s="6"/>
      <c r="P1161" s="6"/>
      <c r="Q1161" s="6"/>
      <c r="R1161" s="12"/>
    </row>
    <row r="1162" customFormat="false" ht="15" hidden="false" customHeight="true" outlineLevel="0" collapsed="false">
      <c r="A1162" s="6"/>
      <c r="B1162" s="6"/>
      <c r="C1162" s="6"/>
      <c r="D1162" s="6"/>
      <c r="E1162" s="13"/>
      <c r="F1162" s="6"/>
      <c r="G1162" s="11" t="str">
        <f aca="true">IF(F1162="","",YEAR(TODAY())-F1162)</f>
        <v/>
      </c>
      <c r="H1162" s="11" t="str">
        <f aca="false">IF(C1162="","",IF(G1162="","Thiếu thông tin",IF(G1162&lt;6,"Trẻ em",IF(G1162&lt;23,"Học sinh / Sinh viên",IF(G1162&lt;60,"Đang đi làm","Nghỉ hưu")))))</f>
        <v/>
      </c>
      <c r="I1162" s="6"/>
      <c r="J1162" s="11" t="str">
        <f aca="false">IF(B1162="","",IFERROR(INDEX('Hộ gia đình'!$B$2:$B$2000,MATCH(B1162,'Hộ gia đình'!$A$2:$A$2000,0)),"Mã hộ không tồn tại"))</f>
        <v/>
      </c>
      <c r="K1162" s="14"/>
      <c r="L1162" s="14"/>
      <c r="M1162" s="6"/>
      <c r="N1162" s="6"/>
      <c r="O1162" s="6"/>
      <c r="P1162" s="6"/>
      <c r="Q1162" s="6"/>
      <c r="R1162" s="12"/>
    </row>
    <row r="1163" customFormat="false" ht="15" hidden="false" customHeight="true" outlineLevel="0" collapsed="false">
      <c r="A1163" s="6"/>
      <c r="B1163" s="6"/>
      <c r="C1163" s="6"/>
      <c r="D1163" s="6"/>
      <c r="E1163" s="13"/>
      <c r="F1163" s="6"/>
      <c r="G1163" s="11" t="str">
        <f aca="true">IF(F1163="","",YEAR(TODAY())-F1163)</f>
        <v/>
      </c>
      <c r="H1163" s="11" t="str">
        <f aca="false">IF(C1163="","",IF(G1163="","Thiếu thông tin",IF(G1163&lt;6,"Trẻ em",IF(G1163&lt;23,"Học sinh / Sinh viên",IF(G1163&lt;60,"Đang đi làm","Nghỉ hưu")))))</f>
        <v/>
      </c>
      <c r="I1163" s="6"/>
      <c r="J1163" s="11" t="str">
        <f aca="false">IF(B1163="","",IFERROR(INDEX('Hộ gia đình'!$B$2:$B$2000,MATCH(B1163,'Hộ gia đình'!$A$2:$A$2000,0)),"Mã hộ không tồn tại"))</f>
        <v/>
      </c>
      <c r="K1163" s="14"/>
      <c r="L1163" s="14"/>
      <c r="M1163" s="6"/>
      <c r="N1163" s="6"/>
      <c r="O1163" s="6"/>
      <c r="P1163" s="6"/>
      <c r="Q1163" s="6"/>
      <c r="R1163" s="12"/>
    </row>
    <row r="1164" customFormat="false" ht="15" hidden="false" customHeight="true" outlineLevel="0" collapsed="false">
      <c r="A1164" s="6"/>
      <c r="B1164" s="6"/>
      <c r="C1164" s="6"/>
      <c r="D1164" s="6"/>
      <c r="E1164" s="13"/>
      <c r="F1164" s="6"/>
      <c r="G1164" s="11" t="str">
        <f aca="true">IF(F1164="","",YEAR(TODAY())-F1164)</f>
        <v/>
      </c>
      <c r="H1164" s="11" t="str">
        <f aca="false">IF(C1164="","",IF(G1164="","Thiếu thông tin",IF(G1164&lt;6,"Trẻ em",IF(G1164&lt;23,"Học sinh / Sinh viên",IF(G1164&lt;60,"Đang đi làm","Nghỉ hưu")))))</f>
        <v/>
      </c>
      <c r="I1164" s="6"/>
      <c r="J1164" s="11" t="str">
        <f aca="false">IF(B1164="","",IFERROR(INDEX('Hộ gia đình'!$B$2:$B$2000,MATCH(B1164,'Hộ gia đình'!$A$2:$A$2000,0)),"Mã hộ không tồn tại"))</f>
        <v/>
      </c>
      <c r="K1164" s="14"/>
      <c r="L1164" s="14"/>
      <c r="M1164" s="6"/>
      <c r="N1164" s="6"/>
      <c r="O1164" s="6"/>
      <c r="P1164" s="6"/>
      <c r="Q1164" s="6"/>
      <c r="R1164" s="12"/>
    </row>
    <row r="1165" customFormat="false" ht="15" hidden="false" customHeight="true" outlineLevel="0" collapsed="false">
      <c r="A1165" s="6"/>
      <c r="B1165" s="6"/>
      <c r="C1165" s="6"/>
      <c r="D1165" s="6"/>
      <c r="E1165" s="13"/>
      <c r="F1165" s="6"/>
      <c r="G1165" s="11" t="str">
        <f aca="true">IF(F1165="","",YEAR(TODAY())-F1165)</f>
        <v/>
      </c>
      <c r="H1165" s="11" t="str">
        <f aca="false">IF(C1165="","",IF(G1165="","Thiếu thông tin",IF(G1165&lt;6,"Trẻ em",IF(G1165&lt;23,"Học sinh / Sinh viên",IF(G1165&lt;60,"Đang đi làm","Nghỉ hưu")))))</f>
        <v/>
      </c>
      <c r="I1165" s="6"/>
      <c r="J1165" s="11" t="str">
        <f aca="false">IF(B1165="","",IFERROR(INDEX('Hộ gia đình'!$B$2:$B$2000,MATCH(B1165,'Hộ gia đình'!$A$2:$A$2000,0)),"Mã hộ không tồn tại"))</f>
        <v/>
      </c>
      <c r="K1165" s="14"/>
      <c r="L1165" s="14"/>
      <c r="M1165" s="6"/>
      <c r="N1165" s="6"/>
      <c r="O1165" s="6"/>
      <c r="P1165" s="6"/>
      <c r="Q1165" s="6"/>
      <c r="R1165" s="12"/>
    </row>
    <row r="1166" customFormat="false" ht="15" hidden="false" customHeight="true" outlineLevel="0" collapsed="false">
      <c r="A1166" s="6"/>
      <c r="B1166" s="6"/>
      <c r="C1166" s="6"/>
      <c r="D1166" s="6"/>
      <c r="E1166" s="13"/>
      <c r="F1166" s="6"/>
      <c r="G1166" s="11" t="str">
        <f aca="true">IF(F1166="","",YEAR(TODAY())-F1166)</f>
        <v/>
      </c>
      <c r="H1166" s="11" t="str">
        <f aca="false">IF(C1166="","",IF(G1166="","Thiếu thông tin",IF(G1166&lt;6,"Trẻ em",IF(G1166&lt;23,"Học sinh / Sinh viên",IF(G1166&lt;60,"Đang đi làm","Nghỉ hưu")))))</f>
        <v/>
      </c>
      <c r="I1166" s="6"/>
      <c r="J1166" s="11" t="str">
        <f aca="false">IF(B1166="","",IFERROR(INDEX('Hộ gia đình'!$B$2:$B$2000,MATCH(B1166,'Hộ gia đình'!$A$2:$A$2000,0)),"Mã hộ không tồn tại"))</f>
        <v/>
      </c>
      <c r="K1166" s="14"/>
      <c r="L1166" s="14"/>
      <c r="M1166" s="6"/>
      <c r="N1166" s="6"/>
      <c r="O1166" s="6"/>
      <c r="P1166" s="6"/>
      <c r="Q1166" s="6"/>
      <c r="R1166" s="12"/>
    </row>
    <row r="1167" customFormat="false" ht="15" hidden="false" customHeight="true" outlineLevel="0" collapsed="false">
      <c r="A1167" s="6"/>
      <c r="B1167" s="6"/>
      <c r="C1167" s="6"/>
      <c r="D1167" s="6"/>
      <c r="E1167" s="13"/>
      <c r="F1167" s="6"/>
      <c r="G1167" s="11" t="str">
        <f aca="true">IF(F1167="","",YEAR(TODAY())-F1167)</f>
        <v/>
      </c>
      <c r="H1167" s="11" t="str">
        <f aca="false">IF(C1167="","",IF(G1167="","Thiếu thông tin",IF(G1167&lt;6,"Trẻ em",IF(G1167&lt;23,"Học sinh / Sinh viên",IF(G1167&lt;60,"Đang đi làm","Nghỉ hưu")))))</f>
        <v/>
      </c>
      <c r="I1167" s="6"/>
      <c r="J1167" s="11" t="str">
        <f aca="false">IF(B1167="","",IFERROR(INDEX('Hộ gia đình'!$B$2:$B$2000,MATCH(B1167,'Hộ gia đình'!$A$2:$A$2000,0)),"Mã hộ không tồn tại"))</f>
        <v/>
      </c>
      <c r="K1167" s="14"/>
      <c r="L1167" s="14"/>
      <c r="M1167" s="6"/>
      <c r="N1167" s="6"/>
      <c r="O1167" s="6"/>
      <c r="P1167" s="6"/>
      <c r="Q1167" s="6"/>
      <c r="R1167" s="12"/>
    </row>
    <row r="1168" customFormat="false" ht="15" hidden="false" customHeight="true" outlineLevel="0" collapsed="false">
      <c r="A1168" s="6"/>
      <c r="B1168" s="6"/>
      <c r="C1168" s="6"/>
      <c r="D1168" s="6"/>
      <c r="E1168" s="13"/>
      <c r="F1168" s="6"/>
      <c r="G1168" s="11" t="str">
        <f aca="true">IF(F1168="","",YEAR(TODAY())-F1168)</f>
        <v/>
      </c>
      <c r="H1168" s="11" t="str">
        <f aca="false">IF(C1168="","",IF(G1168="","Thiếu thông tin",IF(G1168&lt;6,"Trẻ em",IF(G1168&lt;23,"Học sinh / Sinh viên",IF(G1168&lt;60,"Đang đi làm","Nghỉ hưu")))))</f>
        <v/>
      </c>
      <c r="I1168" s="6"/>
      <c r="J1168" s="11" t="str">
        <f aca="false">IF(B1168="","",IFERROR(INDEX('Hộ gia đình'!$B$2:$B$2000,MATCH(B1168,'Hộ gia đình'!$A$2:$A$2000,0)),"Mã hộ không tồn tại"))</f>
        <v/>
      </c>
      <c r="K1168" s="14"/>
      <c r="L1168" s="14"/>
      <c r="M1168" s="6"/>
      <c r="N1168" s="6"/>
      <c r="O1168" s="6"/>
      <c r="P1168" s="6"/>
      <c r="Q1168" s="6"/>
      <c r="R1168" s="12"/>
    </row>
    <row r="1169" customFormat="false" ht="15" hidden="false" customHeight="true" outlineLevel="0" collapsed="false">
      <c r="A1169" s="6"/>
      <c r="B1169" s="6"/>
      <c r="C1169" s="6"/>
      <c r="D1169" s="6"/>
      <c r="E1169" s="13"/>
      <c r="F1169" s="6"/>
      <c r="G1169" s="11" t="str">
        <f aca="true">IF(F1169="","",YEAR(TODAY())-F1169)</f>
        <v/>
      </c>
      <c r="H1169" s="11" t="str">
        <f aca="false">IF(C1169="","",IF(G1169="","Thiếu thông tin",IF(G1169&lt;6,"Trẻ em",IF(G1169&lt;23,"Học sinh / Sinh viên",IF(G1169&lt;60,"Đang đi làm","Nghỉ hưu")))))</f>
        <v/>
      </c>
      <c r="I1169" s="6"/>
      <c r="J1169" s="11" t="str">
        <f aca="false">IF(B1169="","",IFERROR(INDEX('Hộ gia đình'!$B$2:$B$2000,MATCH(B1169,'Hộ gia đình'!$A$2:$A$2000,0)),"Mã hộ không tồn tại"))</f>
        <v/>
      </c>
      <c r="K1169" s="14"/>
      <c r="L1169" s="14"/>
      <c r="M1169" s="6"/>
      <c r="N1169" s="6"/>
      <c r="O1169" s="6"/>
      <c r="P1169" s="6"/>
      <c r="Q1169" s="6"/>
      <c r="R1169" s="12"/>
    </row>
    <row r="1170" customFormat="false" ht="15" hidden="false" customHeight="true" outlineLevel="0" collapsed="false">
      <c r="A1170" s="6"/>
      <c r="B1170" s="6"/>
      <c r="C1170" s="6"/>
      <c r="D1170" s="6"/>
      <c r="E1170" s="13"/>
      <c r="F1170" s="6"/>
      <c r="G1170" s="11" t="str">
        <f aca="true">IF(F1170="","",YEAR(TODAY())-F1170)</f>
        <v/>
      </c>
      <c r="H1170" s="11" t="str">
        <f aca="false">IF(C1170="","",IF(G1170="","Thiếu thông tin",IF(G1170&lt;6,"Trẻ em",IF(G1170&lt;23,"Học sinh / Sinh viên",IF(G1170&lt;60,"Đang đi làm","Nghỉ hưu")))))</f>
        <v/>
      </c>
      <c r="I1170" s="6"/>
      <c r="J1170" s="11" t="str">
        <f aca="false">IF(B1170="","",IFERROR(INDEX('Hộ gia đình'!$B$2:$B$2000,MATCH(B1170,'Hộ gia đình'!$A$2:$A$2000,0)),"Mã hộ không tồn tại"))</f>
        <v/>
      </c>
      <c r="K1170" s="14"/>
      <c r="L1170" s="14"/>
      <c r="M1170" s="6"/>
      <c r="N1170" s="6"/>
      <c r="O1170" s="6"/>
      <c r="P1170" s="6"/>
      <c r="Q1170" s="6"/>
      <c r="R1170" s="12"/>
    </row>
    <row r="1171" customFormat="false" ht="15" hidden="false" customHeight="true" outlineLevel="0" collapsed="false">
      <c r="A1171" s="6"/>
      <c r="B1171" s="6"/>
      <c r="C1171" s="6"/>
      <c r="D1171" s="6"/>
      <c r="E1171" s="13"/>
      <c r="F1171" s="6"/>
      <c r="G1171" s="11" t="str">
        <f aca="true">IF(F1171="","",YEAR(TODAY())-F1171)</f>
        <v/>
      </c>
      <c r="H1171" s="11" t="str">
        <f aca="false">IF(C1171="","",IF(G1171="","Thiếu thông tin",IF(G1171&lt;6,"Trẻ em",IF(G1171&lt;23,"Học sinh / Sinh viên",IF(G1171&lt;60,"Đang đi làm","Nghỉ hưu")))))</f>
        <v/>
      </c>
      <c r="I1171" s="6"/>
      <c r="J1171" s="11" t="str">
        <f aca="false">IF(B1171="","",IFERROR(INDEX('Hộ gia đình'!$B$2:$B$2000,MATCH(B1171,'Hộ gia đình'!$A$2:$A$2000,0)),"Mã hộ không tồn tại"))</f>
        <v/>
      </c>
      <c r="K1171" s="14"/>
      <c r="L1171" s="14"/>
      <c r="M1171" s="6"/>
      <c r="N1171" s="6"/>
      <c r="O1171" s="6"/>
      <c r="P1171" s="6"/>
      <c r="Q1171" s="6"/>
      <c r="R1171" s="12"/>
    </row>
    <row r="1172" customFormat="false" ht="15" hidden="false" customHeight="true" outlineLevel="0" collapsed="false">
      <c r="A1172" s="6"/>
      <c r="B1172" s="6"/>
      <c r="C1172" s="6"/>
      <c r="D1172" s="6"/>
      <c r="E1172" s="13"/>
      <c r="F1172" s="6"/>
      <c r="G1172" s="11" t="str">
        <f aca="true">IF(F1172="","",YEAR(TODAY())-F1172)</f>
        <v/>
      </c>
      <c r="H1172" s="11" t="str">
        <f aca="false">IF(C1172="","",IF(G1172="","Thiếu thông tin",IF(G1172&lt;6,"Trẻ em",IF(G1172&lt;23,"Học sinh / Sinh viên",IF(G1172&lt;60,"Đang đi làm","Nghỉ hưu")))))</f>
        <v/>
      </c>
      <c r="I1172" s="6"/>
      <c r="J1172" s="11" t="str">
        <f aca="false">IF(B1172="","",IFERROR(INDEX('Hộ gia đình'!$B$2:$B$2000,MATCH(B1172,'Hộ gia đình'!$A$2:$A$2000,0)),"Mã hộ không tồn tại"))</f>
        <v/>
      </c>
      <c r="K1172" s="14"/>
      <c r="L1172" s="14"/>
      <c r="M1172" s="6"/>
      <c r="N1172" s="6"/>
      <c r="O1172" s="6"/>
      <c r="P1172" s="6"/>
      <c r="Q1172" s="6"/>
      <c r="R1172" s="12"/>
    </row>
    <row r="1173" customFormat="false" ht="15" hidden="false" customHeight="true" outlineLevel="0" collapsed="false">
      <c r="A1173" s="6"/>
      <c r="B1173" s="6"/>
      <c r="C1173" s="6"/>
      <c r="D1173" s="6"/>
      <c r="E1173" s="13"/>
      <c r="F1173" s="6"/>
      <c r="G1173" s="11" t="str">
        <f aca="true">IF(F1173="","",YEAR(TODAY())-F1173)</f>
        <v/>
      </c>
      <c r="H1173" s="11" t="str">
        <f aca="false">IF(C1173="","",IF(G1173="","Thiếu thông tin",IF(G1173&lt;6,"Trẻ em",IF(G1173&lt;23,"Học sinh / Sinh viên",IF(G1173&lt;60,"Đang đi làm","Nghỉ hưu")))))</f>
        <v/>
      </c>
      <c r="I1173" s="6"/>
      <c r="J1173" s="11" t="str">
        <f aca="false">IF(B1173="","",IFERROR(INDEX('Hộ gia đình'!$B$2:$B$2000,MATCH(B1173,'Hộ gia đình'!$A$2:$A$2000,0)),"Mã hộ không tồn tại"))</f>
        <v/>
      </c>
      <c r="K1173" s="14"/>
      <c r="L1173" s="14"/>
      <c r="M1173" s="6"/>
      <c r="N1173" s="6"/>
      <c r="O1173" s="6"/>
      <c r="P1173" s="6"/>
      <c r="Q1173" s="6"/>
      <c r="R1173" s="12"/>
    </row>
    <row r="1174" customFormat="false" ht="15" hidden="false" customHeight="true" outlineLevel="0" collapsed="false">
      <c r="A1174" s="6"/>
      <c r="B1174" s="6"/>
      <c r="C1174" s="6"/>
      <c r="D1174" s="6"/>
      <c r="E1174" s="13"/>
      <c r="F1174" s="6"/>
      <c r="G1174" s="11" t="str">
        <f aca="true">IF(F1174="","",YEAR(TODAY())-F1174)</f>
        <v/>
      </c>
      <c r="H1174" s="11" t="str">
        <f aca="false">IF(C1174="","",IF(G1174="","Thiếu thông tin",IF(G1174&lt;6,"Trẻ em",IF(G1174&lt;23,"Học sinh / Sinh viên",IF(G1174&lt;60,"Đang đi làm","Nghỉ hưu")))))</f>
        <v/>
      </c>
      <c r="I1174" s="6"/>
      <c r="J1174" s="11" t="str">
        <f aca="false">IF(B1174="","",IFERROR(INDEX('Hộ gia đình'!$B$2:$B$2000,MATCH(B1174,'Hộ gia đình'!$A$2:$A$2000,0)),"Mã hộ không tồn tại"))</f>
        <v/>
      </c>
      <c r="K1174" s="14"/>
      <c r="L1174" s="14"/>
      <c r="M1174" s="6"/>
      <c r="N1174" s="6"/>
      <c r="O1174" s="6"/>
      <c r="P1174" s="6"/>
      <c r="Q1174" s="6"/>
      <c r="R1174" s="12"/>
    </row>
    <row r="1175" customFormat="false" ht="15" hidden="false" customHeight="true" outlineLevel="0" collapsed="false">
      <c r="A1175" s="6"/>
      <c r="B1175" s="6"/>
      <c r="C1175" s="6"/>
      <c r="D1175" s="6"/>
      <c r="E1175" s="13"/>
      <c r="F1175" s="6"/>
      <c r="G1175" s="11" t="str">
        <f aca="true">IF(F1175="","",YEAR(TODAY())-F1175)</f>
        <v/>
      </c>
      <c r="H1175" s="11" t="str">
        <f aca="false">IF(C1175="","",IF(G1175="","Thiếu thông tin",IF(G1175&lt;6,"Trẻ em",IF(G1175&lt;23,"Học sinh / Sinh viên",IF(G1175&lt;60,"Đang đi làm","Nghỉ hưu")))))</f>
        <v/>
      </c>
      <c r="I1175" s="6"/>
      <c r="J1175" s="11" t="str">
        <f aca="false">IF(B1175="","",IFERROR(INDEX('Hộ gia đình'!$B$2:$B$2000,MATCH(B1175,'Hộ gia đình'!$A$2:$A$2000,0)),"Mã hộ không tồn tại"))</f>
        <v/>
      </c>
      <c r="K1175" s="14"/>
      <c r="L1175" s="14"/>
      <c r="M1175" s="6"/>
      <c r="N1175" s="6"/>
      <c r="O1175" s="6"/>
      <c r="P1175" s="6"/>
      <c r="Q1175" s="6"/>
      <c r="R1175" s="12"/>
    </row>
    <row r="1176" customFormat="false" ht="15" hidden="false" customHeight="true" outlineLevel="0" collapsed="false">
      <c r="A1176" s="6"/>
      <c r="B1176" s="6"/>
      <c r="C1176" s="6"/>
      <c r="D1176" s="6"/>
      <c r="E1176" s="13"/>
      <c r="F1176" s="6"/>
      <c r="G1176" s="11" t="str">
        <f aca="true">IF(F1176="","",YEAR(TODAY())-F1176)</f>
        <v/>
      </c>
      <c r="H1176" s="11" t="str">
        <f aca="false">IF(C1176="","",IF(G1176="","Thiếu thông tin",IF(G1176&lt;6,"Trẻ em",IF(G1176&lt;23,"Học sinh / Sinh viên",IF(G1176&lt;60,"Đang đi làm","Nghỉ hưu")))))</f>
        <v/>
      </c>
      <c r="I1176" s="6"/>
      <c r="J1176" s="11" t="str">
        <f aca="false">IF(B1176="","",IFERROR(INDEX('Hộ gia đình'!$B$2:$B$2000,MATCH(B1176,'Hộ gia đình'!$A$2:$A$2000,0)),"Mã hộ không tồn tại"))</f>
        <v/>
      </c>
      <c r="K1176" s="14"/>
      <c r="L1176" s="14"/>
      <c r="M1176" s="6"/>
      <c r="N1176" s="6"/>
      <c r="O1176" s="6"/>
      <c r="P1176" s="6"/>
      <c r="Q1176" s="6"/>
      <c r="R1176" s="12"/>
    </row>
    <row r="1177" customFormat="false" ht="15" hidden="false" customHeight="true" outlineLevel="0" collapsed="false">
      <c r="A1177" s="6"/>
      <c r="B1177" s="6"/>
      <c r="C1177" s="6"/>
      <c r="D1177" s="6"/>
      <c r="E1177" s="13"/>
      <c r="F1177" s="6"/>
      <c r="G1177" s="11" t="str">
        <f aca="true">IF(F1177="","",YEAR(TODAY())-F1177)</f>
        <v/>
      </c>
      <c r="H1177" s="11" t="str">
        <f aca="false">IF(C1177="","",IF(G1177="","Thiếu thông tin",IF(G1177&lt;6,"Trẻ em",IF(G1177&lt;23,"Học sinh / Sinh viên",IF(G1177&lt;60,"Đang đi làm","Nghỉ hưu")))))</f>
        <v/>
      </c>
      <c r="I1177" s="6"/>
      <c r="J1177" s="11" t="str">
        <f aca="false">IF(B1177="","",IFERROR(INDEX('Hộ gia đình'!$B$2:$B$2000,MATCH(B1177,'Hộ gia đình'!$A$2:$A$2000,0)),"Mã hộ không tồn tại"))</f>
        <v/>
      </c>
      <c r="K1177" s="14"/>
      <c r="L1177" s="14"/>
      <c r="M1177" s="6"/>
      <c r="N1177" s="6"/>
      <c r="O1177" s="6"/>
      <c r="P1177" s="6"/>
      <c r="Q1177" s="6"/>
      <c r="R1177" s="12"/>
    </row>
    <row r="1178" customFormat="false" ht="15" hidden="false" customHeight="true" outlineLevel="0" collapsed="false">
      <c r="A1178" s="6"/>
      <c r="B1178" s="6"/>
      <c r="C1178" s="6"/>
      <c r="D1178" s="6"/>
      <c r="E1178" s="13"/>
      <c r="F1178" s="6"/>
      <c r="G1178" s="11" t="str">
        <f aca="true">IF(F1178="","",YEAR(TODAY())-F1178)</f>
        <v/>
      </c>
      <c r="H1178" s="11" t="str">
        <f aca="false">IF(C1178="","",IF(G1178="","Thiếu thông tin",IF(G1178&lt;6,"Trẻ em",IF(G1178&lt;23,"Học sinh / Sinh viên",IF(G1178&lt;60,"Đang đi làm","Nghỉ hưu")))))</f>
        <v/>
      </c>
      <c r="I1178" s="6"/>
      <c r="J1178" s="11" t="str">
        <f aca="false">IF(B1178="","",IFERROR(INDEX('Hộ gia đình'!$B$2:$B$2000,MATCH(B1178,'Hộ gia đình'!$A$2:$A$2000,0)),"Mã hộ không tồn tại"))</f>
        <v/>
      </c>
      <c r="K1178" s="14"/>
      <c r="L1178" s="14"/>
      <c r="M1178" s="6"/>
      <c r="N1178" s="6"/>
      <c r="O1178" s="6"/>
      <c r="P1178" s="6"/>
      <c r="Q1178" s="6"/>
      <c r="R1178" s="12"/>
    </row>
    <row r="1179" customFormat="false" ht="15" hidden="false" customHeight="true" outlineLevel="0" collapsed="false">
      <c r="A1179" s="6"/>
      <c r="B1179" s="6"/>
      <c r="C1179" s="6"/>
      <c r="D1179" s="6"/>
      <c r="E1179" s="13"/>
      <c r="F1179" s="6"/>
      <c r="G1179" s="11" t="str">
        <f aca="true">IF(F1179="","",YEAR(TODAY())-F1179)</f>
        <v/>
      </c>
      <c r="H1179" s="11" t="str">
        <f aca="false">IF(C1179="","",IF(G1179="","Thiếu thông tin",IF(G1179&lt;6,"Trẻ em",IF(G1179&lt;23,"Học sinh / Sinh viên",IF(G1179&lt;60,"Đang đi làm","Nghỉ hưu")))))</f>
        <v/>
      </c>
      <c r="I1179" s="6"/>
      <c r="J1179" s="11" t="str">
        <f aca="false">IF(B1179="","",IFERROR(INDEX('Hộ gia đình'!$B$2:$B$2000,MATCH(B1179,'Hộ gia đình'!$A$2:$A$2000,0)),"Mã hộ không tồn tại"))</f>
        <v/>
      </c>
      <c r="K1179" s="14"/>
      <c r="L1179" s="14"/>
      <c r="M1179" s="6"/>
      <c r="N1179" s="6"/>
      <c r="O1179" s="6"/>
      <c r="P1179" s="6"/>
      <c r="Q1179" s="6"/>
      <c r="R1179" s="12"/>
    </row>
    <row r="1180" customFormat="false" ht="15" hidden="false" customHeight="true" outlineLevel="0" collapsed="false">
      <c r="A1180" s="6"/>
      <c r="B1180" s="6"/>
      <c r="C1180" s="6"/>
      <c r="D1180" s="6"/>
      <c r="E1180" s="13"/>
      <c r="F1180" s="6"/>
      <c r="G1180" s="11" t="str">
        <f aca="true">IF(F1180="","",YEAR(TODAY())-F1180)</f>
        <v/>
      </c>
      <c r="H1180" s="11" t="str">
        <f aca="false">IF(C1180="","",IF(G1180="","Thiếu thông tin",IF(G1180&lt;6,"Trẻ em",IF(G1180&lt;23,"Học sinh / Sinh viên",IF(G1180&lt;60,"Đang đi làm","Nghỉ hưu")))))</f>
        <v/>
      </c>
      <c r="I1180" s="6"/>
      <c r="J1180" s="11" t="str">
        <f aca="false">IF(B1180="","",IFERROR(INDEX('Hộ gia đình'!$B$2:$B$2000,MATCH(B1180,'Hộ gia đình'!$A$2:$A$2000,0)),"Mã hộ không tồn tại"))</f>
        <v/>
      </c>
      <c r="K1180" s="14"/>
      <c r="L1180" s="14"/>
      <c r="M1180" s="6"/>
      <c r="N1180" s="6"/>
      <c r="O1180" s="6"/>
      <c r="P1180" s="6"/>
      <c r="Q1180" s="6"/>
      <c r="R1180" s="12"/>
    </row>
    <row r="1181" customFormat="false" ht="15" hidden="false" customHeight="true" outlineLevel="0" collapsed="false">
      <c r="A1181" s="6"/>
      <c r="B1181" s="6"/>
      <c r="C1181" s="6"/>
      <c r="D1181" s="6"/>
      <c r="E1181" s="13"/>
      <c r="F1181" s="6"/>
      <c r="G1181" s="11" t="str">
        <f aca="true">IF(F1181="","",YEAR(TODAY())-F1181)</f>
        <v/>
      </c>
      <c r="H1181" s="11" t="str">
        <f aca="false">IF(C1181="","",IF(G1181="","Thiếu thông tin",IF(G1181&lt;6,"Trẻ em",IF(G1181&lt;23,"Học sinh / Sinh viên",IF(G1181&lt;60,"Đang đi làm","Nghỉ hưu")))))</f>
        <v/>
      </c>
      <c r="I1181" s="6"/>
      <c r="J1181" s="11" t="str">
        <f aca="false">IF(B1181="","",IFERROR(INDEX('Hộ gia đình'!$B$2:$B$2000,MATCH(B1181,'Hộ gia đình'!$A$2:$A$2000,0)),"Mã hộ không tồn tại"))</f>
        <v/>
      </c>
      <c r="K1181" s="14"/>
      <c r="L1181" s="14"/>
      <c r="M1181" s="6"/>
      <c r="N1181" s="6"/>
      <c r="O1181" s="6"/>
      <c r="P1181" s="6"/>
      <c r="Q1181" s="6"/>
      <c r="R1181" s="12"/>
    </row>
    <row r="1182" customFormat="false" ht="15" hidden="false" customHeight="true" outlineLevel="0" collapsed="false">
      <c r="A1182" s="6"/>
      <c r="B1182" s="6"/>
      <c r="C1182" s="6"/>
      <c r="D1182" s="6"/>
      <c r="E1182" s="13"/>
      <c r="F1182" s="6"/>
      <c r="G1182" s="11" t="str">
        <f aca="true">IF(F1182="","",YEAR(TODAY())-F1182)</f>
        <v/>
      </c>
      <c r="H1182" s="11" t="str">
        <f aca="false">IF(C1182="","",IF(G1182="","Thiếu thông tin",IF(G1182&lt;6,"Trẻ em",IF(G1182&lt;23,"Học sinh / Sinh viên",IF(G1182&lt;60,"Đang đi làm","Nghỉ hưu")))))</f>
        <v/>
      </c>
      <c r="I1182" s="6"/>
      <c r="J1182" s="11" t="str">
        <f aca="false">IF(B1182="","",IFERROR(INDEX('Hộ gia đình'!$B$2:$B$2000,MATCH(B1182,'Hộ gia đình'!$A$2:$A$2000,0)),"Mã hộ không tồn tại"))</f>
        <v/>
      </c>
      <c r="K1182" s="14"/>
      <c r="L1182" s="14"/>
      <c r="M1182" s="6"/>
      <c r="N1182" s="6"/>
      <c r="O1182" s="6"/>
      <c r="P1182" s="6"/>
      <c r="Q1182" s="6"/>
      <c r="R1182" s="12"/>
    </row>
    <row r="1183" customFormat="false" ht="15" hidden="false" customHeight="true" outlineLevel="0" collapsed="false">
      <c r="A1183" s="6"/>
      <c r="B1183" s="6"/>
      <c r="C1183" s="6"/>
      <c r="D1183" s="6"/>
      <c r="E1183" s="13"/>
      <c r="F1183" s="6"/>
      <c r="G1183" s="11" t="str">
        <f aca="true">IF(F1183="","",YEAR(TODAY())-F1183)</f>
        <v/>
      </c>
      <c r="H1183" s="11" t="str">
        <f aca="false">IF(C1183="","",IF(G1183="","Thiếu thông tin",IF(G1183&lt;6,"Trẻ em",IF(G1183&lt;23,"Học sinh / Sinh viên",IF(G1183&lt;60,"Đang đi làm","Nghỉ hưu")))))</f>
        <v/>
      </c>
      <c r="I1183" s="6"/>
      <c r="J1183" s="11" t="str">
        <f aca="false">IF(B1183="","",IFERROR(INDEX('Hộ gia đình'!$B$2:$B$2000,MATCH(B1183,'Hộ gia đình'!$A$2:$A$2000,0)),"Mã hộ không tồn tại"))</f>
        <v/>
      </c>
      <c r="K1183" s="14"/>
      <c r="L1183" s="14"/>
      <c r="M1183" s="6"/>
      <c r="N1183" s="6"/>
      <c r="O1183" s="6"/>
      <c r="P1183" s="6"/>
      <c r="Q1183" s="6"/>
      <c r="R1183" s="12"/>
    </row>
    <row r="1184" customFormat="false" ht="15" hidden="false" customHeight="true" outlineLevel="0" collapsed="false">
      <c r="A1184" s="6"/>
      <c r="B1184" s="6"/>
      <c r="C1184" s="6"/>
      <c r="D1184" s="6"/>
      <c r="E1184" s="13"/>
      <c r="F1184" s="6"/>
      <c r="G1184" s="11" t="str">
        <f aca="true">IF(F1184="","",YEAR(TODAY())-F1184)</f>
        <v/>
      </c>
      <c r="H1184" s="11" t="str">
        <f aca="false">IF(C1184="","",IF(G1184="","Thiếu thông tin",IF(G1184&lt;6,"Trẻ em",IF(G1184&lt;23,"Học sinh / Sinh viên",IF(G1184&lt;60,"Đang đi làm","Nghỉ hưu")))))</f>
        <v/>
      </c>
      <c r="I1184" s="6"/>
      <c r="J1184" s="11" t="str">
        <f aca="false">IF(B1184="","",IFERROR(INDEX('Hộ gia đình'!$B$2:$B$2000,MATCH(B1184,'Hộ gia đình'!$A$2:$A$2000,0)),"Mã hộ không tồn tại"))</f>
        <v/>
      </c>
      <c r="K1184" s="14"/>
      <c r="L1184" s="14"/>
      <c r="M1184" s="6"/>
      <c r="N1184" s="6"/>
      <c r="O1184" s="6"/>
      <c r="P1184" s="6"/>
      <c r="Q1184" s="6"/>
      <c r="R1184" s="12"/>
    </row>
    <row r="1185" customFormat="false" ht="15" hidden="false" customHeight="true" outlineLevel="0" collapsed="false">
      <c r="A1185" s="6"/>
      <c r="B1185" s="6"/>
      <c r="C1185" s="6"/>
      <c r="D1185" s="6"/>
      <c r="E1185" s="13"/>
      <c r="F1185" s="6"/>
      <c r="G1185" s="11" t="str">
        <f aca="true">IF(F1185="","",YEAR(TODAY())-F1185)</f>
        <v/>
      </c>
      <c r="H1185" s="11" t="str">
        <f aca="false">IF(C1185="","",IF(G1185="","Thiếu thông tin",IF(G1185&lt;6,"Trẻ em",IF(G1185&lt;23,"Học sinh / Sinh viên",IF(G1185&lt;60,"Đang đi làm","Nghỉ hưu")))))</f>
        <v/>
      </c>
      <c r="I1185" s="6"/>
      <c r="J1185" s="11" t="str">
        <f aca="false">IF(B1185="","",IFERROR(INDEX('Hộ gia đình'!$B$2:$B$2000,MATCH(B1185,'Hộ gia đình'!$A$2:$A$2000,0)),"Mã hộ không tồn tại"))</f>
        <v/>
      </c>
      <c r="K1185" s="14"/>
      <c r="L1185" s="14"/>
      <c r="M1185" s="6"/>
      <c r="N1185" s="6"/>
      <c r="O1185" s="6"/>
      <c r="P1185" s="6"/>
      <c r="Q1185" s="6"/>
      <c r="R1185" s="12"/>
    </row>
    <row r="1186" customFormat="false" ht="15" hidden="false" customHeight="true" outlineLevel="0" collapsed="false">
      <c r="A1186" s="6"/>
      <c r="B1186" s="6"/>
      <c r="C1186" s="6"/>
      <c r="D1186" s="6"/>
      <c r="E1186" s="13"/>
      <c r="F1186" s="6"/>
      <c r="G1186" s="11" t="str">
        <f aca="true">IF(F1186="","",YEAR(TODAY())-F1186)</f>
        <v/>
      </c>
      <c r="H1186" s="11" t="str">
        <f aca="false">IF(C1186="","",IF(G1186="","Thiếu thông tin",IF(G1186&lt;6,"Trẻ em",IF(G1186&lt;23,"Học sinh / Sinh viên",IF(G1186&lt;60,"Đang đi làm","Nghỉ hưu")))))</f>
        <v/>
      </c>
      <c r="I1186" s="6"/>
      <c r="J1186" s="11" t="str">
        <f aca="false">IF(B1186="","",IFERROR(INDEX('Hộ gia đình'!$B$2:$B$2000,MATCH(B1186,'Hộ gia đình'!$A$2:$A$2000,0)),"Mã hộ không tồn tại"))</f>
        <v/>
      </c>
      <c r="K1186" s="14"/>
      <c r="L1186" s="14"/>
      <c r="M1186" s="6"/>
      <c r="N1186" s="6"/>
      <c r="O1186" s="6"/>
      <c r="P1186" s="6"/>
      <c r="Q1186" s="6"/>
      <c r="R1186" s="12"/>
    </row>
    <row r="1187" customFormat="false" ht="15" hidden="false" customHeight="true" outlineLevel="0" collapsed="false">
      <c r="A1187" s="6"/>
      <c r="B1187" s="6"/>
      <c r="C1187" s="6"/>
      <c r="D1187" s="6"/>
      <c r="E1187" s="13"/>
      <c r="F1187" s="6"/>
      <c r="G1187" s="11" t="str">
        <f aca="true">IF(F1187="","",YEAR(TODAY())-F1187)</f>
        <v/>
      </c>
      <c r="H1187" s="11" t="str">
        <f aca="false">IF(C1187="","",IF(G1187="","Thiếu thông tin",IF(G1187&lt;6,"Trẻ em",IF(G1187&lt;23,"Học sinh / Sinh viên",IF(G1187&lt;60,"Đang đi làm","Nghỉ hưu")))))</f>
        <v/>
      </c>
      <c r="I1187" s="6"/>
      <c r="J1187" s="11" t="str">
        <f aca="false">IF(B1187="","",IFERROR(INDEX('Hộ gia đình'!$B$2:$B$2000,MATCH(B1187,'Hộ gia đình'!$A$2:$A$2000,0)),"Mã hộ không tồn tại"))</f>
        <v/>
      </c>
      <c r="K1187" s="14"/>
      <c r="L1187" s="14"/>
      <c r="M1187" s="6"/>
      <c r="N1187" s="6"/>
      <c r="O1187" s="6"/>
      <c r="P1187" s="6"/>
      <c r="Q1187" s="6"/>
      <c r="R1187" s="12"/>
    </row>
    <row r="1188" customFormat="false" ht="15" hidden="false" customHeight="true" outlineLevel="0" collapsed="false">
      <c r="A1188" s="6"/>
      <c r="B1188" s="6"/>
      <c r="C1188" s="6"/>
      <c r="D1188" s="6"/>
      <c r="E1188" s="13"/>
      <c r="F1188" s="6"/>
      <c r="G1188" s="11" t="str">
        <f aca="true">IF(F1188="","",YEAR(TODAY())-F1188)</f>
        <v/>
      </c>
      <c r="H1188" s="11" t="str">
        <f aca="false">IF(C1188="","",IF(G1188="","Thiếu thông tin",IF(G1188&lt;6,"Trẻ em",IF(G1188&lt;23,"Học sinh / Sinh viên",IF(G1188&lt;60,"Đang đi làm","Nghỉ hưu")))))</f>
        <v/>
      </c>
      <c r="I1188" s="6"/>
      <c r="J1188" s="11" t="str">
        <f aca="false">IF(B1188="","",IFERROR(INDEX('Hộ gia đình'!$B$2:$B$2000,MATCH(B1188,'Hộ gia đình'!$A$2:$A$2000,0)),"Mã hộ không tồn tại"))</f>
        <v/>
      </c>
      <c r="K1188" s="14"/>
      <c r="L1188" s="14"/>
      <c r="M1188" s="6"/>
      <c r="N1188" s="6"/>
      <c r="O1188" s="6"/>
      <c r="P1188" s="6"/>
      <c r="Q1188" s="6"/>
      <c r="R1188" s="12"/>
    </row>
    <row r="1189" customFormat="false" ht="15" hidden="false" customHeight="true" outlineLevel="0" collapsed="false">
      <c r="A1189" s="6"/>
      <c r="B1189" s="6"/>
      <c r="C1189" s="6"/>
      <c r="D1189" s="6"/>
      <c r="E1189" s="13"/>
      <c r="F1189" s="6"/>
      <c r="G1189" s="11" t="str">
        <f aca="true">IF(F1189="","",YEAR(TODAY())-F1189)</f>
        <v/>
      </c>
      <c r="H1189" s="11" t="str">
        <f aca="false">IF(C1189="","",IF(G1189="","Thiếu thông tin",IF(G1189&lt;6,"Trẻ em",IF(G1189&lt;23,"Học sinh / Sinh viên",IF(G1189&lt;60,"Đang đi làm","Nghỉ hưu")))))</f>
        <v/>
      </c>
      <c r="I1189" s="6"/>
      <c r="J1189" s="11" t="str">
        <f aca="false">IF(B1189="","",IFERROR(INDEX('Hộ gia đình'!$B$2:$B$2000,MATCH(B1189,'Hộ gia đình'!$A$2:$A$2000,0)),"Mã hộ không tồn tại"))</f>
        <v/>
      </c>
      <c r="K1189" s="14"/>
      <c r="L1189" s="14"/>
      <c r="M1189" s="6"/>
      <c r="N1189" s="6"/>
      <c r="O1189" s="6"/>
      <c r="P1189" s="6"/>
      <c r="Q1189" s="6"/>
      <c r="R1189" s="12"/>
    </row>
    <row r="1190" customFormat="false" ht="15" hidden="false" customHeight="true" outlineLevel="0" collapsed="false">
      <c r="A1190" s="6"/>
      <c r="B1190" s="6"/>
      <c r="C1190" s="6"/>
      <c r="D1190" s="6"/>
      <c r="E1190" s="13"/>
      <c r="F1190" s="6"/>
      <c r="G1190" s="11" t="str">
        <f aca="true">IF(F1190="","",YEAR(TODAY())-F1190)</f>
        <v/>
      </c>
      <c r="H1190" s="11" t="str">
        <f aca="false">IF(C1190="","",IF(G1190="","Thiếu thông tin",IF(G1190&lt;6,"Trẻ em",IF(G1190&lt;23,"Học sinh / Sinh viên",IF(G1190&lt;60,"Đang đi làm","Nghỉ hưu")))))</f>
        <v/>
      </c>
      <c r="I1190" s="6"/>
      <c r="J1190" s="11" t="str">
        <f aca="false">IF(B1190="","",IFERROR(INDEX('Hộ gia đình'!$B$2:$B$2000,MATCH(B1190,'Hộ gia đình'!$A$2:$A$2000,0)),"Mã hộ không tồn tại"))</f>
        <v/>
      </c>
      <c r="K1190" s="14"/>
      <c r="L1190" s="14"/>
      <c r="M1190" s="6"/>
      <c r="N1190" s="6"/>
      <c r="O1190" s="6"/>
      <c r="P1190" s="6"/>
      <c r="Q1190" s="6"/>
      <c r="R1190" s="12"/>
    </row>
    <row r="1191" customFormat="false" ht="15" hidden="false" customHeight="true" outlineLevel="0" collapsed="false">
      <c r="A1191" s="6"/>
      <c r="B1191" s="6"/>
      <c r="C1191" s="6"/>
      <c r="D1191" s="6"/>
      <c r="E1191" s="13"/>
      <c r="F1191" s="6"/>
      <c r="G1191" s="11" t="str">
        <f aca="true">IF(F1191="","",YEAR(TODAY())-F1191)</f>
        <v/>
      </c>
      <c r="H1191" s="11" t="str">
        <f aca="false">IF(C1191="","",IF(G1191="","Thiếu thông tin",IF(G1191&lt;6,"Trẻ em",IF(G1191&lt;23,"Học sinh / Sinh viên",IF(G1191&lt;60,"Đang đi làm","Nghỉ hưu")))))</f>
        <v/>
      </c>
      <c r="I1191" s="6"/>
      <c r="J1191" s="11" t="str">
        <f aca="false">IF(B1191="","",IFERROR(INDEX('Hộ gia đình'!$B$2:$B$2000,MATCH(B1191,'Hộ gia đình'!$A$2:$A$2000,0)),"Mã hộ không tồn tại"))</f>
        <v/>
      </c>
      <c r="K1191" s="14"/>
      <c r="L1191" s="14"/>
      <c r="M1191" s="6"/>
      <c r="N1191" s="6"/>
      <c r="O1191" s="6"/>
      <c r="P1191" s="6"/>
      <c r="Q1191" s="6"/>
      <c r="R1191" s="12"/>
    </row>
    <row r="1192" customFormat="false" ht="15" hidden="false" customHeight="true" outlineLevel="0" collapsed="false">
      <c r="A1192" s="6"/>
      <c r="B1192" s="6"/>
      <c r="C1192" s="6"/>
      <c r="D1192" s="6"/>
      <c r="E1192" s="13"/>
      <c r="F1192" s="6"/>
      <c r="G1192" s="11" t="str">
        <f aca="true">IF(F1192="","",YEAR(TODAY())-F1192)</f>
        <v/>
      </c>
      <c r="H1192" s="11" t="str">
        <f aca="false">IF(C1192="","",IF(G1192="","Thiếu thông tin",IF(G1192&lt;6,"Trẻ em",IF(G1192&lt;23,"Học sinh / Sinh viên",IF(G1192&lt;60,"Đang đi làm","Nghỉ hưu")))))</f>
        <v/>
      </c>
      <c r="I1192" s="6"/>
      <c r="J1192" s="11" t="str">
        <f aca="false">IF(B1192="","",IFERROR(INDEX('Hộ gia đình'!$B$2:$B$2000,MATCH(B1192,'Hộ gia đình'!$A$2:$A$2000,0)),"Mã hộ không tồn tại"))</f>
        <v/>
      </c>
      <c r="K1192" s="14"/>
      <c r="L1192" s="14"/>
      <c r="M1192" s="6"/>
      <c r="N1192" s="6"/>
      <c r="O1192" s="6"/>
      <c r="P1192" s="6"/>
      <c r="Q1192" s="6"/>
      <c r="R1192" s="12"/>
    </row>
    <row r="1193" customFormat="false" ht="15" hidden="false" customHeight="true" outlineLevel="0" collapsed="false">
      <c r="A1193" s="6"/>
      <c r="B1193" s="6"/>
      <c r="C1193" s="6"/>
      <c r="D1193" s="6"/>
      <c r="E1193" s="13"/>
      <c r="F1193" s="6"/>
      <c r="G1193" s="11" t="str">
        <f aca="true">IF(F1193="","",YEAR(TODAY())-F1193)</f>
        <v/>
      </c>
      <c r="H1193" s="11" t="str">
        <f aca="false">IF(C1193="","",IF(G1193="","Thiếu thông tin",IF(G1193&lt;6,"Trẻ em",IF(G1193&lt;23,"Học sinh / Sinh viên",IF(G1193&lt;60,"Đang đi làm","Nghỉ hưu")))))</f>
        <v/>
      </c>
      <c r="I1193" s="6"/>
      <c r="J1193" s="11" t="str">
        <f aca="false">IF(B1193="","",IFERROR(INDEX('Hộ gia đình'!$B$2:$B$2000,MATCH(B1193,'Hộ gia đình'!$A$2:$A$2000,0)),"Mã hộ không tồn tại"))</f>
        <v/>
      </c>
      <c r="K1193" s="14"/>
      <c r="L1193" s="14"/>
      <c r="M1193" s="6"/>
      <c r="N1193" s="6"/>
      <c r="O1193" s="6"/>
      <c r="P1193" s="6"/>
      <c r="Q1193" s="6"/>
      <c r="R1193" s="12"/>
    </row>
    <row r="1194" customFormat="false" ht="15" hidden="false" customHeight="true" outlineLevel="0" collapsed="false">
      <c r="A1194" s="6"/>
      <c r="B1194" s="6"/>
      <c r="C1194" s="6"/>
      <c r="D1194" s="6"/>
      <c r="E1194" s="13"/>
      <c r="F1194" s="6"/>
      <c r="G1194" s="11" t="str">
        <f aca="true">IF(F1194="","",YEAR(TODAY())-F1194)</f>
        <v/>
      </c>
      <c r="H1194" s="11" t="str">
        <f aca="false">IF(C1194="","",IF(G1194="","Thiếu thông tin",IF(G1194&lt;6,"Trẻ em",IF(G1194&lt;23,"Học sinh / Sinh viên",IF(G1194&lt;60,"Đang đi làm","Nghỉ hưu")))))</f>
        <v/>
      </c>
      <c r="I1194" s="6"/>
      <c r="J1194" s="11" t="str">
        <f aca="false">IF(B1194="","",IFERROR(INDEX('Hộ gia đình'!$B$2:$B$2000,MATCH(B1194,'Hộ gia đình'!$A$2:$A$2000,0)),"Mã hộ không tồn tại"))</f>
        <v/>
      </c>
      <c r="K1194" s="14"/>
      <c r="L1194" s="14"/>
      <c r="M1194" s="6"/>
      <c r="N1194" s="6"/>
      <c r="O1194" s="6"/>
      <c r="P1194" s="6"/>
      <c r="Q1194" s="6"/>
      <c r="R1194" s="12"/>
    </row>
    <row r="1195" customFormat="false" ht="15" hidden="false" customHeight="true" outlineLevel="0" collapsed="false">
      <c r="A1195" s="6"/>
      <c r="B1195" s="6"/>
      <c r="C1195" s="6"/>
      <c r="D1195" s="6"/>
      <c r="E1195" s="13"/>
      <c r="F1195" s="6"/>
      <c r="G1195" s="11" t="str">
        <f aca="true">IF(F1195="","",YEAR(TODAY())-F1195)</f>
        <v/>
      </c>
      <c r="H1195" s="11" t="str">
        <f aca="false">IF(C1195="","",IF(G1195="","Thiếu thông tin",IF(G1195&lt;6,"Trẻ em",IF(G1195&lt;23,"Học sinh / Sinh viên",IF(G1195&lt;60,"Đang đi làm","Nghỉ hưu")))))</f>
        <v/>
      </c>
      <c r="I1195" s="6"/>
      <c r="J1195" s="11" t="str">
        <f aca="false">IF(B1195="","",IFERROR(INDEX('Hộ gia đình'!$B$2:$B$2000,MATCH(B1195,'Hộ gia đình'!$A$2:$A$2000,0)),"Mã hộ không tồn tại"))</f>
        <v/>
      </c>
      <c r="K1195" s="14"/>
      <c r="L1195" s="14"/>
      <c r="M1195" s="6"/>
      <c r="N1195" s="6"/>
      <c r="O1195" s="6"/>
      <c r="P1195" s="6"/>
      <c r="Q1195" s="6"/>
      <c r="R1195" s="12"/>
    </row>
    <row r="1196" customFormat="false" ht="15" hidden="false" customHeight="true" outlineLevel="0" collapsed="false">
      <c r="A1196" s="6"/>
      <c r="B1196" s="6"/>
      <c r="C1196" s="6"/>
      <c r="D1196" s="6"/>
      <c r="E1196" s="13"/>
      <c r="F1196" s="6"/>
      <c r="G1196" s="11" t="str">
        <f aca="true">IF(F1196="","",YEAR(TODAY())-F1196)</f>
        <v/>
      </c>
      <c r="H1196" s="11" t="str">
        <f aca="false">IF(C1196="","",IF(G1196="","Thiếu thông tin",IF(G1196&lt;6,"Trẻ em",IF(G1196&lt;23,"Học sinh / Sinh viên",IF(G1196&lt;60,"Đang đi làm","Nghỉ hưu")))))</f>
        <v/>
      </c>
      <c r="I1196" s="6"/>
      <c r="J1196" s="11" t="str">
        <f aca="false">IF(B1196="","",IFERROR(INDEX('Hộ gia đình'!$B$2:$B$2000,MATCH(B1196,'Hộ gia đình'!$A$2:$A$2000,0)),"Mã hộ không tồn tại"))</f>
        <v/>
      </c>
      <c r="K1196" s="14"/>
      <c r="L1196" s="14"/>
      <c r="M1196" s="6"/>
      <c r="N1196" s="6"/>
      <c r="O1196" s="6"/>
      <c r="P1196" s="6"/>
      <c r="Q1196" s="6"/>
      <c r="R1196" s="12"/>
    </row>
    <row r="1197" customFormat="false" ht="15" hidden="false" customHeight="true" outlineLevel="0" collapsed="false">
      <c r="A1197" s="6"/>
      <c r="B1197" s="6"/>
      <c r="C1197" s="6"/>
      <c r="D1197" s="6"/>
      <c r="E1197" s="13"/>
      <c r="F1197" s="6"/>
      <c r="G1197" s="11" t="str">
        <f aca="true">IF(F1197="","",YEAR(TODAY())-F1197)</f>
        <v/>
      </c>
      <c r="H1197" s="11" t="str">
        <f aca="false">IF(C1197="","",IF(G1197="","Thiếu thông tin",IF(G1197&lt;6,"Trẻ em",IF(G1197&lt;23,"Học sinh / Sinh viên",IF(G1197&lt;60,"Đang đi làm","Nghỉ hưu")))))</f>
        <v/>
      </c>
      <c r="I1197" s="6"/>
      <c r="J1197" s="11" t="str">
        <f aca="false">IF(B1197="","",IFERROR(INDEX('Hộ gia đình'!$B$2:$B$2000,MATCH(B1197,'Hộ gia đình'!$A$2:$A$2000,0)),"Mã hộ không tồn tại"))</f>
        <v/>
      </c>
      <c r="K1197" s="14"/>
      <c r="L1197" s="14"/>
      <c r="M1197" s="6"/>
      <c r="N1197" s="6"/>
      <c r="O1197" s="6"/>
      <c r="P1197" s="6"/>
      <c r="Q1197" s="6"/>
      <c r="R1197" s="12"/>
    </row>
    <row r="1198" customFormat="false" ht="15" hidden="false" customHeight="true" outlineLevel="0" collapsed="false">
      <c r="A1198" s="6"/>
      <c r="B1198" s="6"/>
      <c r="C1198" s="6"/>
      <c r="D1198" s="6"/>
      <c r="E1198" s="13"/>
      <c r="F1198" s="6"/>
      <c r="G1198" s="11" t="str">
        <f aca="true">IF(F1198="","",YEAR(TODAY())-F1198)</f>
        <v/>
      </c>
      <c r="H1198" s="11" t="str">
        <f aca="false">IF(C1198="","",IF(G1198="","Thiếu thông tin",IF(G1198&lt;6,"Trẻ em",IF(G1198&lt;23,"Học sinh / Sinh viên",IF(G1198&lt;60,"Đang đi làm","Nghỉ hưu")))))</f>
        <v/>
      </c>
      <c r="I1198" s="6"/>
      <c r="J1198" s="11" t="str">
        <f aca="false">IF(B1198="","",IFERROR(INDEX('Hộ gia đình'!$B$2:$B$2000,MATCH(B1198,'Hộ gia đình'!$A$2:$A$2000,0)),"Mã hộ không tồn tại"))</f>
        <v/>
      </c>
      <c r="K1198" s="14"/>
      <c r="L1198" s="14"/>
      <c r="M1198" s="6"/>
      <c r="N1198" s="6"/>
      <c r="O1198" s="6"/>
      <c r="P1198" s="6"/>
      <c r="Q1198" s="6"/>
      <c r="R1198" s="12"/>
    </row>
    <row r="1199" customFormat="false" ht="15" hidden="false" customHeight="true" outlineLevel="0" collapsed="false">
      <c r="A1199" s="6"/>
      <c r="B1199" s="6"/>
      <c r="C1199" s="6"/>
      <c r="D1199" s="6"/>
      <c r="E1199" s="13"/>
      <c r="F1199" s="6"/>
      <c r="G1199" s="11" t="str">
        <f aca="true">IF(F1199="","",YEAR(TODAY())-F1199)</f>
        <v/>
      </c>
      <c r="H1199" s="11" t="str">
        <f aca="false">IF(C1199="","",IF(G1199="","Thiếu thông tin",IF(G1199&lt;6,"Trẻ em",IF(G1199&lt;23,"Học sinh / Sinh viên",IF(G1199&lt;60,"Đang đi làm","Nghỉ hưu")))))</f>
        <v/>
      </c>
      <c r="I1199" s="6"/>
      <c r="J1199" s="11" t="str">
        <f aca="false">IF(B1199="","",IFERROR(INDEX('Hộ gia đình'!$B$2:$B$2000,MATCH(B1199,'Hộ gia đình'!$A$2:$A$2000,0)),"Mã hộ không tồn tại"))</f>
        <v/>
      </c>
      <c r="K1199" s="14"/>
      <c r="L1199" s="14"/>
      <c r="M1199" s="6"/>
      <c r="N1199" s="6"/>
      <c r="O1199" s="6"/>
      <c r="P1199" s="6"/>
      <c r="Q1199" s="6"/>
      <c r="R1199" s="12"/>
    </row>
    <row r="1200" customFormat="false" ht="15" hidden="false" customHeight="true" outlineLevel="0" collapsed="false">
      <c r="A1200" s="6"/>
      <c r="B1200" s="6"/>
      <c r="C1200" s="6"/>
      <c r="D1200" s="6"/>
      <c r="E1200" s="13"/>
      <c r="F1200" s="6"/>
      <c r="G1200" s="11" t="str">
        <f aca="true">IF(F1200="","",YEAR(TODAY())-F1200)</f>
        <v/>
      </c>
      <c r="H1200" s="11" t="str">
        <f aca="false">IF(C1200="","",IF(G1200="","Thiếu thông tin",IF(G1200&lt;6,"Trẻ em",IF(G1200&lt;23,"Học sinh / Sinh viên",IF(G1200&lt;60,"Đang đi làm","Nghỉ hưu")))))</f>
        <v/>
      </c>
      <c r="I1200" s="6"/>
      <c r="J1200" s="11" t="str">
        <f aca="false">IF(B1200="","",IFERROR(INDEX('Hộ gia đình'!$B$2:$B$2000,MATCH(B1200,'Hộ gia đình'!$A$2:$A$2000,0)),"Mã hộ không tồn tại"))</f>
        <v/>
      </c>
      <c r="K1200" s="14"/>
      <c r="L1200" s="14"/>
      <c r="M1200" s="6"/>
      <c r="N1200" s="6"/>
      <c r="O1200" s="6"/>
      <c r="P1200" s="6"/>
      <c r="Q1200" s="6"/>
      <c r="R1200" s="12"/>
    </row>
    <row r="1201" customFormat="false" ht="15" hidden="false" customHeight="true" outlineLevel="0" collapsed="false">
      <c r="A1201" s="6"/>
      <c r="B1201" s="6"/>
      <c r="C1201" s="6"/>
      <c r="D1201" s="6"/>
      <c r="E1201" s="13"/>
      <c r="F1201" s="6"/>
      <c r="G1201" s="11" t="str">
        <f aca="true">IF(F1201="","",YEAR(TODAY())-F1201)</f>
        <v/>
      </c>
      <c r="H1201" s="11" t="str">
        <f aca="false">IF(C1201="","",IF(G1201="","Thiếu thông tin",IF(G1201&lt;6,"Trẻ em",IF(G1201&lt;23,"Học sinh / Sinh viên",IF(G1201&lt;60,"Đang đi làm","Nghỉ hưu")))))</f>
        <v/>
      </c>
      <c r="I1201" s="6"/>
      <c r="J1201" s="11" t="str">
        <f aca="false">IF(B1201="","",IFERROR(INDEX('Hộ gia đình'!$B$2:$B$2000,MATCH(B1201,'Hộ gia đình'!$A$2:$A$2000,0)),"Mã hộ không tồn tại"))</f>
        <v/>
      </c>
      <c r="K1201" s="14"/>
      <c r="L1201" s="14"/>
      <c r="M1201" s="6"/>
      <c r="N1201" s="6"/>
      <c r="O1201" s="6"/>
      <c r="P1201" s="6"/>
      <c r="Q1201" s="6"/>
      <c r="R1201" s="12"/>
    </row>
    <row r="1202" customFormat="false" ht="15" hidden="false" customHeight="true" outlineLevel="0" collapsed="false">
      <c r="A1202" s="6"/>
      <c r="B1202" s="6"/>
      <c r="C1202" s="6"/>
      <c r="D1202" s="6"/>
      <c r="E1202" s="13"/>
      <c r="F1202" s="6"/>
      <c r="G1202" s="11" t="str">
        <f aca="true">IF(F1202="","",YEAR(TODAY())-F1202)</f>
        <v/>
      </c>
      <c r="H1202" s="11" t="str">
        <f aca="false">IF(C1202="","",IF(G1202="","Thiếu thông tin",IF(G1202&lt;6,"Trẻ em",IF(G1202&lt;23,"Học sinh / Sinh viên",IF(G1202&lt;60,"Đang đi làm","Nghỉ hưu")))))</f>
        <v/>
      </c>
      <c r="I1202" s="6"/>
      <c r="J1202" s="11" t="str">
        <f aca="false">IF(B1202="","",IFERROR(INDEX('Hộ gia đình'!$B$2:$B$2000,MATCH(B1202,'Hộ gia đình'!$A$2:$A$2000,0)),"Mã hộ không tồn tại"))</f>
        <v/>
      </c>
      <c r="K1202" s="14"/>
      <c r="L1202" s="14"/>
      <c r="M1202" s="6"/>
      <c r="N1202" s="6"/>
      <c r="O1202" s="6"/>
      <c r="P1202" s="6"/>
      <c r="Q1202" s="6"/>
      <c r="R1202" s="12"/>
    </row>
    <row r="1203" customFormat="false" ht="15" hidden="false" customHeight="true" outlineLevel="0" collapsed="false">
      <c r="A1203" s="6"/>
      <c r="B1203" s="6"/>
      <c r="C1203" s="6"/>
      <c r="D1203" s="6"/>
      <c r="E1203" s="13"/>
      <c r="F1203" s="6"/>
      <c r="G1203" s="11" t="str">
        <f aca="true">IF(F1203="","",YEAR(TODAY())-F1203)</f>
        <v/>
      </c>
      <c r="H1203" s="11" t="str">
        <f aca="false">IF(C1203="","",IF(G1203="","Thiếu thông tin",IF(G1203&lt;6,"Trẻ em",IF(G1203&lt;23,"Học sinh / Sinh viên",IF(G1203&lt;60,"Đang đi làm","Nghỉ hưu")))))</f>
        <v/>
      </c>
      <c r="I1203" s="6"/>
      <c r="J1203" s="11" t="str">
        <f aca="false">IF(B1203="","",IFERROR(INDEX('Hộ gia đình'!$B$2:$B$2000,MATCH(B1203,'Hộ gia đình'!$A$2:$A$2000,0)),"Mã hộ không tồn tại"))</f>
        <v/>
      </c>
      <c r="K1203" s="14"/>
      <c r="L1203" s="14"/>
      <c r="M1203" s="6"/>
      <c r="N1203" s="6"/>
      <c r="O1203" s="6"/>
      <c r="P1203" s="6"/>
      <c r="Q1203" s="6"/>
      <c r="R1203" s="12"/>
    </row>
    <row r="1204" customFormat="false" ht="15" hidden="false" customHeight="true" outlineLevel="0" collapsed="false">
      <c r="A1204" s="6"/>
      <c r="B1204" s="6"/>
      <c r="C1204" s="6"/>
      <c r="D1204" s="6"/>
      <c r="E1204" s="13"/>
      <c r="F1204" s="6"/>
      <c r="G1204" s="11" t="str">
        <f aca="true">IF(F1204="","",YEAR(TODAY())-F1204)</f>
        <v/>
      </c>
      <c r="H1204" s="11" t="str">
        <f aca="false">IF(C1204="","",IF(G1204="","Thiếu thông tin",IF(G1204&lt;6,"Trẻ em",IF(G1204&lt;23,"Học sinh / Sinh viên",IF(G1204&lt;60,"Đang đi làm","Nghỉ hưu")))))</f>
        <v/>
      </c>
      <c r="I1204" s="6"/>
      <c r="J1204" s="11" t="str">
        <f aca="false">IF(B1204="","",IFERROR(INDEX('Hộ gia đình'!$B$2:$B$2000,MATCH(B1204,'Hộ gia đình'!$A$2:$A$2000,0)),"Mã hộ không tồn tại"))</f>
        <v/>
      </c>
      <c r="K1204" s="14"/>
      <c r="L1204" s="14"/>
      <c r="M1204" s="6"/>
      <c r="N1204" s="6"/>
      <c r="O1204" s="6"/>
      <c r="P1204" s="6"/>
      <c r="Q1204" s="6"/>
      <c r="R1204" s="12"/>
    </row>
    <row r="1205" customFormat="false" ht="15" hidden="false" customHeight="true" outlineLevel="0" collapsed="false">
      <c r="A1205" s="6"/>
      <c r="B1205" s="6"/>
      <c r="C1205" s="6"/>
      <c r="D1205" s="6"/>
      <c r="E1205" s="13"/>
      <c r="F1205" s="6"/>
      <c r="G1205" s="11" t="str">
        <f aca="true">IF(F1205="","",YEAR(TODAY())-F1205)</f>
        <v/>
      </c>
      <c r="H1205" s="11" t="str">
        <f aca="false">IF(C1205="","",IF(G1205="","Thiếu thông tin",IF(G1205&lt;6,"Trẻ em",IF(G1205&lt;23,"Học sinh / Sinh viên",IF(G1205&lt;60,"Đang đi làm","Nghỉ hưu")))))</f>
        <v/>
      </c>
      <c r="I1205" s="6"/>
      <c r="J1205" s="11" t="str">
        <f aca="false">IF(B1205="","",IFERROR(INDEX('Hộ gia đình'!$B$2:$B$2000,MATCH(B1205,'Hộ gia đình'!$A$2:$A$2000,0)),"Mã hộ không tồn tại"))</f>
        <v/>
      </c>
      <c r="K1205" s="14"/>
      <c r="L1205" s="14"/>
      <c r="M1205" s="6"/>
      <c r="N1205" s="6"/>
      <c r="O1205" s="6"/>
      <c r="P1205" s="6"/>
      <c r="Q1205" s="6"/>
      <c r="R1205" s="12"/>
    </row>
    <row r="1206" customFormat="false" ht="15" hidden="false" customHeight="true" outlineLevel="0" collapsed="false">
      <c r="A1206" s="6"/>
      <c r="B1206" s="6"/>
      <c r="C1206" s="6"/>
      <c r="D1206" s="6"/>
      <c r="E1206" s="13"/>
      <c r="F1206" s="6"/>
      <c r="G1206" s="11" t="str">
        <f aca="true">IF(F1206="","",YEAR(TODAY())-F1206)</f>
        <v/>
      </c>
      <c r="H1206" s="11" t="str">
        <f aca="false">IF(C1206="","",IF(G1206="","Thiếu thông tin",IF(G1206&lt;6,"Trẻ em",IF(G1206&lt;23,"Học sinh / Sinh viên",IF(G1206&lt;60,"Đang đi làm","Nghỉ hưu")))))</f>
        <v/>
      </c>
      <c r="I1206" s="6"/>
      <c r="J1206" s="11" t="str">
        <f aca="false">IF(B1206="","",IFERROR(INDEX('Hộ gia đình'!$B$2:$B$2000,MATCH(B1206,'Hộ gia đình'!$A$2:$A$2000,0)),"Mã hộ không tồn tại"))</f>
        <v/>
      </c>
      <c r="K1206" s="14"/>
      <c r="L1206" s="14"/>
      <c r="M1206" s="6"/>
      <c r="N1206" s="6"/>
      <c r="O1206" s="6"/>
      <c r="P1206" s="6"/>
      <c r="Q1206" s="6"/>
      <c r="R1206" s="12"/>
    </row>
    <row r="1207" customFormat="false" ht="15" hidden="false" customHeight="true" outlineLevel="0" collapsed="false">
      <c r="A1207" s="6"/>
      <c r="B1207" s="6"/>
      <c r="C1207" s="6"/>
      <c r="D1207" s="6"/>
      <c r="E1207" s="13"/>
      <c r="F1207" s="6"/>
      <c r="G1207" s="11" t="str">
        <f aca="true">IF(F1207="","",YEAR(TODAY())-F1207)</f>
        <v/>
      </c>
      <c r="H1207" s="11" t="str">
        <f aca="false">IF(C1207="","",IF(G1207="","Thiếu thông tin",IF(G1207&lt;6,"Trẻ em",IF(G1207&lt;23,"Học sinh / Sinh viên",IF(G1207&lt;60,"Đang đi làm","Nghỉ hưu")))))</f>
        <v/>
      </c>
      <c r="I1207" s="6"/>
      <c r="J1207" s="11" t="str">
        <f aca="false">IF(B1207="","",IFERROR(INDEX('Hộ gia đình'!$B$2:$B$2000,MATCH(B1207,'Hộ gia đình'!$A$2:$A$2000,0)),"Mã hộ không tồn tại"))</f>
        <v/>
      </c>
      <c r="K1207" s="14"/>
      <c r="L1207" s="14"/>
      <c r="M1207" s="6"/>
      <c r="N1207" s="6"/>
      <c r="O1207" s="6"/>
      <c r="P1207" s="6"/>
      <c r="Q1207" s="6"/>
      <c r="R1207" s="12"/>
    </row>
    <row r="1208" customFormat="false" ht="15" hidden="false" customHeight="true" outlineLevel="0" collapsed="false">
      <c r="A1208" s="6"/>
      <c r="B1208" s="6"/>
      <c r="C1208" s="6"/>
      <c r="D1208" s="6"/>
      <c r="E1208" s="13"/>
      <c r="F1208" s="6"/>
      <c r="G1208" s="11" t="str">
        <f aca="true">IF(F1208="","",YEAR(TODAY())-F1208)</f>
        <v/>
      </c>
      <c r="H1208" s="11" t="str">
        <f aca="false">IF(C1208="","",IF(G1208="","Thiếu thông tin",IF(G1208&lt;6,"Trẻ em",IF(G1208&lt;23,"Học sinh / Sinh viên",IF(G1208&lt;60,"Đang đi làm","Nghỉ hưu")))))</f>
        <v/>
      </c>
      <c r="I1208" s="6"/>
      <c r="J1208" s="11" t="str">
        <f aca="false">IF(B1208="","",IFERROR(INDEX('Hộ gia đình'!$B$2:$B$2000,MATCH(B1208,'Hộ gia đình'!$A$2:$A$2000,0)),"Mã hộ không tồn tại"))</f>
        <v/>
      </c>
      <c r="K1208" s="14"/>
      <c r="L1208" s="14"/>
      <c r="M1208" s="6"/>
      <c r="N1208" s="6"/>
      <c r="O1208" s="6"/>
      <c r="P1208" s="6"/>
      <c r="Q1208" s="6"/>
      <c r="R1208" s="12"/>
    </row>
    <row r="1209" customFormat="false" ht="15" hidden="false" customHeight="true" outlineLevel="0" collapsed="false">
      <c r="A1209" s="6"/>
      <c r="B1209" s="6"/>
      <c r="C1209" s="6"/>
      <c r="D1209" s="6"/>
      <c r="E1209" s="13"/>
      <c r="F1209" s="6"/>
      <c r="G1209" s="11" t="str">
        <f aca="true">IF(F1209="","",YEAR(TODAY())-F1209)</f>
        <v/>
      </c>
      <c r="H1209" s="11" t="str">
        <f aca="false">IF(C1209="","",IF(G1209="","Thiếu thông tin",IF(G1209&lt;6,"Trẻ em",IF(G1209&lt;23,"Học sinh / Sinh viên",IF(G1209&lt;60,"Đang đi làm","Nghỉ hưu")))))</f>
        <v/>
      </c>
      <c r="I1209" s="6"/>
      <c r="J1209" s="11" t="str">
        <f aca="false">IF(B1209="","",IFERROR(INDEX('Hộ gia đình'!$B$2:$B$2000,MATCH(B1209,'Hộ gia đình'!$A$2:$A$2000,0)),"Mã hộ không tồn tại"))</f>
        <v/>
      </c>
      <c r="K1209" s="14"/>
      <c r="L1209" s="14"/>
      <c r="M1209" s="6"/>
      <c r="N1209" s="6"/>
      <c r="O1209" s="6"/>
      <c r="P1209" s="6"/>
      <c r="Q1209" s="6"/>
      <c r="R1209" s="12"/>
    </row>
    <row r="1210" customFormat="false" ht="15" hidden="false" customHeight="true" outlineLevel="0" collapsed="false">
      <c r="A1210" s="6"/>
      <c r="B1210" s="6"/>
      <c r="C1210" s="6"/>
      <c r="D1210" s="6"/>
      <c r="E1210" s="13"/>
      <c r="F1210" s="6"/>
      <c r="G1210" s="11" t="str">
        <f aca="true">IF(F1210="","",YEAR(TODAY())-F1210)</f>
        <v/>
      </c>
      <c r="H1210" s="11" t="str">
        <f aca="false">IF(C1210="","",IF(G1210="","Thiếu thông tin",IF(G1210&lt;6,"Trẻ em",IF(G1210&lt;23,"Học sinh / Sinh viên",IF(G1210&lt;60,"Đang đi làm","Nghỉ hưu")))))</f>
        <v/>
      </c>
      <c r="I1210" s="6"/>
      <c r="J1210" s="11" t="str">
        <f aca="false">IF(B1210="","",IFERROR(INDEX('Hộ gia đình'!$B$2:$B$2000,MATCH(B1210,'Hộ gia đình'!$A$2:$A$2000,0)),"Mã hộ không tồn tại"))</f>
        <v/>
      </c>
      <c r="K1210" s="14"/>
      <c r="L1210" s="14"/>
      <c r="M1210" s="6"/>
      <c r="N1210" s="6"/>
      <c r="O1210" s="6"/>
      <c r="P1210" s="6"/>
      <c r="Q1210" s="6"/>
      <c r="R1210" s="12"/>
    </row>
    <row r="1211" customFormat="false" ht="15" hidden="false" customHeight="true" outlineLevel="0" collapsed="false">
      <c r="A1211" s="6"/>
      <c r="B1211" s="6"/>
      <c r="C1211" s="6"/>
      <c r="D1211" s="6"/>
      <c r="E1211" s="13"/>
      <c r="F1211" s="6"/>
      <c r="G1211" s="11" t="str">
        <f aca="true">IF(F1211="","",YEAR(TODAY())-F1211)</f>
        <v/>
      </c>
      <c r="H1211" s="11" t="str">
        <f aca="false">IF(C1211="","",IF(G1211="","Thiếu thông tin",IF(G1211&lt;6,"Trẻ em",IF(G1211&lt;23,"Học sinh / Sinh viên",IF(G1211&lt;60,"Đang đi làm","Nghỉ hưu")))))</f>
        <v/>
      </c>
      <c r="I1211" s="6"/>
      <c r="J1211" s="11" t="str">
        <f aca="false">IF(B1211="","",IFERROR(INDEX('Hộ gia đình'!$B$2:$B$2000,MATCH(B1211,'Hộ gia đình'!$A$2:$A$2000,0)),"Mã hộ không tồn tại"))</f>
        <v/>
      </c>
      <c r="K1211" s="14"/>
      <c r="L1211" s="14"/>
      <c r="M1211" s="6"/>
      <c r="N1211" s="6"/>
      <c r="O1211" s="6"/>
      <c r="P1211" s="6"/>
      <c r="Q1211" s="6"/>
      <c r="R1211" s="12"/>
    </row>
    <row r="1212" customFormat="false" ht="15" hidden="false" customHeight="true" outlineLevel="0" collapsed="false">
      <c r="A1212" s="6"/>
      <c r="B1212" s="6"/>
      <c r="C1212" s="6"/>
      <c r="D1212" s="6"/>
      <c r="E1212" s="13"/>
      <c r="F1212" s="6"/>
      <c r="G1212" s="11" t="str">
        <f aca="true">IF(F1212="","",YEAR(TODAY())-F1212)</f>
        <v/>
      </c>
      <c r="H1212" s="11" t="str">
        <f aca="false">IF(C1212="","",IF(G1212="","Thiếu thông tin",IF(G1212&lt;6,"Trẻ em",IF(G1212&lt;23,"Học sinh / Sinh viên",IF(G1212&lt;60,"Đang đi làm","Nghỉ hưu")))))</f>
        <v/>
      </c>
      <c r="I1212" s="6"/>
      <c r="J1212" s="11" t="str">
        <f aca="false">IF(B1212="","",IFERROR(INDEX('Hộ gia đình'!$B$2:$B$2000,MATCH(B1212,'Hộ gia đình'!$A$2:$A$2000,0)),"Mã hộ không tồn tại"))</f>
        <v/>
      </c>
      <c r="K1212" s="14"/>
      <c r="L1212" s="14"/>
      <c r="M1212" s="6"/>
      <c r="N1212" s="6"/>
      <c r="O1212" s="6"/>
      <c r="P1212" s="6"/>
      <c r="Q1212" s="6"/>
      <c r="R1212" s="12"/>
    </row>
    <row r="1213" customFormat="false" ht="15" hidden="false" customHeight="true" outlineLevel="0" collapsed="false">
      <c r="A1213" s="6"/>
      <c r="B1213" s="6"/>
      <c r="C1213" s="6"/>
      <c r="D1213" s="6"/>
      <c r="E1213" s="13"/>
      <c r="F1213" s="6"/>
      <c r="G1213" s="11" t="str">
        <f aca="true">IF(F1213="","",YEAR(TODAY())-F1213)</f>
        <v/>
      </c>
      <c r="H1213" s="11" t="str">
        <f aca="false">IF(C1213="","",IF(G1213="","Thiếu thông tin",IF(G1213&lt;6,"Trẻ em",IF(G1213&lt;23,"Học sinh / Sinh viên",IF(G1213&lt;60,"Đang đi làm","Nghỉ hưu")))))</f>
        <v/>
      </c>
      <c r="I1213" s="6"/>
      <c r="J1213" s="11" t="str">
        <f aca="false">IF(B1213="","",IFERROR(INDEX('Hộ gia đình'!$B$2:$B$2000,MATCH(B1213,'Hộ gia đình'!$A$2:$A$2000,0)),"Mã hộ không tồn tại"))</f>
        <v/>
      </c>
      <c r="K1213" s="14"/>
      <c r="L1213" s="14"/>
      <c r="M1213" s="6"/>
      <c r="N1213" s="6"/>
      <c r="O1213" s="6"/>
      <c r="P1213" s="6"/>
      <c r="Q1213" s="6"/>
      <c r="R1213" s="12"/>
    </row>
    <row r="1214" customFormat="false" ht="15" hidden="false" customHeight="true" outlineLevel="0" collapsed="false">
      <c r="A1214" s="6"/>
      <c r="B1214" s="6"/>
      <c r="C1214" s="6"/>
      <c r="D1214" s="6"/>
      <c r="E1214" s="13"/>
      <c r="F1214" s="6"/>
      <c r="G1214" s="11" t="str">
        <f aca="true">IF(F1214="","",YEAR(TODAY())-F1214)</f>
        <v/>
      </c>
      <c r="H1214" s="11" t="str">
        <f aca="false">IF(C1214="","",IF(G1214="","Thiếu thông tin",IF(G1214&lt;6,"Trẻ em",IF(G1214&lt;23,"Học sinh / Sinh viên",IF(G1214&lt;60,"Đang đi làm","Nghỉ hưu")))))</f>
        <v/>
      </c>
      <c r="I1214" s="6"/>
      <c r="J1214" s="11" t="str">
        <f aca="false">IF(B1214="","",IFERROR(INDEX('Hộ gia đình'!$B$2:$B$2000,MATCH(B1214,'Hộ gia đình'!$A$2:$A$2000,0)),"Mã hộ không tồn tại"))</f>
        <v/>
      </c>
      <c r="K1214" s="14"/>
      <c r="L1214" s="14"/>
      <c r="M1214" s="6"/>
      <c r="N1214" s="6"/>
      <c r="O1214" s="6"/>
      <c r="P1214" s="6"/>
      <c r="Q1214" s="6"/>
      <c r="R1214" s="12"/>
    </row>
    <row r="1215" customFormat="false" ht="15" hidden="false" customHeight="true" outlineLevel="0" collapsed="false">
      <c r="A1215" s="6"/>
      <c r="B1215" s="6"/>
      <c r="C1215" s="6"/>
      <c r="D1215" s="6"/>
      <c r="E1215" s="13"/>
      <c r="F1215" s="6"/>
      <c r="G1215" s="11" t="str">
        <f aca="true">IF(F1215="","",YEAR(TODAY())-F1215)</f>
        <v/>
      </c>
      <c r="H1215" s="11" t="str">
        <f aca="false">IF(C1215="","",IF(G1215="","Thiếu thông tin",IF(G1215&lt;6,"Trẻ em",IF(G1215&lt;23,"Học sinh / Sinh viên",IF(G1215&lt;60,"Đang đi làm","Nghỉ hưu")))))</f>
        <v/>
      </c>
      <c r="I1215" s="6"/>
      <c r="J1215" s="11" t="str">
        <f aca="false">IF(B1215="","",IFERROR(INDEX('Hộ gia đình'!$B$2:$B$2000,MATCH(B1215,'Hộ gia đình'!$A$2:$A$2000,0)),"Mã hộ không tồn tại"))</f>
        <v/>
      </c>
      <c r="K1215" s="14"/>
      <c r="L1215" s="14"/>
      <c r="M1215" s="6"/>
      <c r="N1215" s="6"/>
      <c r="O1215" s="6"/>
      <c r="P1215" s="6"/>
      <c r="Q1215" s="6"/>
      <c r="R1215" s="12"/>
    </row>
    <row r="1216" customFormat="false" ht="15" hidden="false" customHeight="true" outlineLevel="0" collapsed="false">
      <c r="A1216" s="6"/>
      <c r="B1216" s="6"/>
      <c r="C1216" s="6"/>
      <c r="D1216" s="6"/>
      <c r="E1216" s="13"/>
      <c r="F1216" s="6"/>
      <c r="G1216" s="11" t="str">
        <f aca="true">IF(F1216="","",YEAR(TODAY())-F1216)</f>
        <v/>
      </c>
      <c r="H1216" s="11" t="str">
        <f aca="false">IF(C1216="","",IF(G1216="","Thiếu thông tin",IF(G1216&lt;6,"Trẻ em",IF(G1216&lt;23,"Học sinh / Sinh viên",IF(G1216&lt;60,"Đang đi làm","Nghỉ hưu")))))</f>
        <v/>
      </c>
      <c r="I1216" s="6"/>
      <c r="J1216" s="11" t="str">
        <f aca="false">IF(B1216="","",IFERROR(INDEX('Hộ gia đình'!$B$2:$B$2000,MATCH(B1216,'Hộ gia đình'!$A$2:$A$2000,0)),"Mã hộ không tồn tại"))</f>
        <v/>
      </c>
      <c r="K1216" s="14"/>
      <c r="L1216" s="14"/>
      <c r="M1216" s="6"/>
      <c r="N1216" s="6"/>
      <c r="O1216" s="6"/>
      <c r="P1216" s="6"/>
      <c r="Q1216" s="6"/>
      <c r="R1216" s="12"/>
    </row>
    <row r="1217" customFormat="false" ht="15" hidden="false" customHeight="true" outlineLevel="0" collapsed="false">
      <c r="A1217" s="6"/>
      <c r="B1217" s="6"/>
      <c r="C1217" s="6"/>
      <c r="D1217" s="6"/>
      <c r="E1217" s="13"/>
      <c r="F1217" s="6"/>
      <c r="G1217" s="11" t="str">
        <f aca="true">IF(F1217="","",YEAR(TODAY())-F1217)</f>
        <v/>
      </c>
      <c r="H1217" s="11" t="str">
        <f aca="false">IF(C1217="","",IF(G1217="","Thiếu thông tin",IF(G1217&lt;6,"Trẻ em",IF(G1217&lt;23,"Học sinh / Sinh viên",IF(G1217&lt;60,"Đang đi làm","Nghỉ hưu")))))</f>
        <v/>
      </c>
      <c r="I1217" s="6"/>
      <c r="J1217" s="11" t="str">
        <f aca="false">IF(B1217="","",IFERROR(INDEX('Hộ gia đình'!$B$2:$B$2000,MATCH(B1217,'Hộ gia đình'!$A$2:$A$2000,0)),"Mã hộ không tồn tại"))</f>
        <v/>
      </c>
      <c r="K1217" s="14"/>
      <c r="L1217" s="14"/>
      <c r="M1217" s="6"/>
      <c r="N1217" s="6"/>
      <c r="O1217" s="6"/>
      <c r="P1217" s="6"/>
      <c r="Q1217" s="6"/>
      <c r="R1217" s="12"/>
    </row>
    <row r="1218" customFormat="false" ht="15" hidden="false" customHeight="true" outlineLevel="0" collapsed="false">
      <c r="A1218" s="6"/>
      <c r="B1218" s="6"/>
      <c r="C1218" s="6"/>
      <c r="D1218" s="6"/>
      <c r="E1218" s="13"/>
      <c r="F1218" s="6"/>
      <c r="G1218" s="11" t="str">
        <f aca="true">IF(F1218="","",YEAR(TODAY())-F1218)</f>
        <v/>
      </c>
      <c r="H1218" s="11" t="str">
        <f aca="false">IF(C1218="","",IF(G1218="","Thiếu thông tin",IF(G1218&lt;6,"Trẻ em",IF(G1218&lt;23,"Học sinh / Sinh viên",IF(G1218&lt;60,"Đang đi làm","Nghỉ hưu")))))</f>
        <v/>
      </c>
      <c r="I1218" s="6"/>
      <c r="J1218" s="11" t="str">
        <f aca="false">IF(B1218="","",IFERROR(INDEX('Hộ gia đình'!$B$2:$B$2000,MATCH(B1218,'Hộ gia đình'!$A$2:$A$2000,0)),"Mã hộ không tồn tại"))</f>
        <v/>
      </c>
      <c r="K1218" s="14"/>
      <c r="L1218" s="14"/>
      <c r="M1218" s="6"/>
      <c r="N1218" s="6"/>
      <c r="O1218" s="6"/>
      <c r="P1218" s="6"/>
      <c r="Q1218" s="6"/>
      <c r="R1218" s="12"/>
    </row>
    <row r="1219" customFormat="false" ht="15" hidden="false" customHeight="true" outlineLevel="0" collapsed="false">
      <c r="A1219" s="6"/>
      <c r="B1219" s="6"/>
      <c r="C1219" s="6"/>
      <c r="D1219" s="6"/>
      <c r="E1219" s="13"/>
      <c r="F1219" s="6"/>
      <c r="G1219" s="11" t="str">
        <f aca="true">IF(F1219="","",YEAR(TODAY())-F1219)</f>
        <v/>
      </c>
      <c r="H1219" s="11" t="str">
        <f aca="false">IF(C1219="","",IF(G1219="","Thiếu thông tin",IF(G1219&lt;6,"Trẻ em",IF(G1219&lt;23,"Học sinh / Sinh viên",IF(G1219&lt;60,"Đang đi làm","Nghỉ hưu")))))</f>
        <v/>
      </c>
      <c r="I1219" s="6"/>
      <c r="J1219" s="11" t="str">
        <f aca="false">IF(B1219="","",IFERROR(INDEX('Hộ gia đình'!$B$2:$B$2000,MATCH(B1219,'Hộ gia đình'!$A$2:$A$2000,0)),"Mã hộ không tồn tại"))</f>
        <v/>
      </c>
      <c r="K1219" s="14"/>
      <c r="L1219" s="14"/>
      <c r="M1219" s="6"/>
      <c r="N1219" s="6"/>
      <c r="O1219" s="6"/>
      <c r="P1219" s="6"/>
      <c r="Q1219" s="6"/>
      <c r="R1219" s="12"/>
    </row>
    <row r="1220" customFormat="false" ht="15" hidden="false" customHeight="true" outlineLevel="0" collapsed="false">
      <c r="A1220" s="6"/>
      <c r="B1220" s="6"/>
      <c r="C1220" s="6"/>
      <c r="D1220" s="6"/>
      <c r="E1220" s="13"/>
      <c r="F1220" s="6"/>
      <c r="G1220" s="11" t="str">
        <f aca="true">IF(F1220="","",YEAR(TODAY())-F1220)</f>
        <v/>
      </c>
      <c r="H1220" s="11" t="str">
        <f aca="false">IF(C1220="","",IF(G1220="","Thiếu thông tin",IF(G1220&lt;6,"Trẻ em",IF(G1220&lt;23,"Học sinh / Sinh viên",IF(G1220&lt;60,"Đang đi làm","Nghỉ hưu")))))</f>
        <v/>
      </c>
      <c r="I1220" s="6"/>
      <c r="J1220" s="11" t="str">
        <f aca="false">IF(B1220="","",IFERROR(INDEX('Hộ gia đình'!$B$2:$B$2000,MATCH(B1220,'Hộ gia đình'!$A$2:$A$2000,0)),"Mã hộ không tồn tại"))</f>
        <v/>
      </c>
      <c r="K1220" s="14"/>
      <c r="L1220" s="14"/>
      <c r="M1220" s="6"/>
      <c r="N1220" s="6"/>
      <c r="O1220" s="6"/>
      <c r="P1220" s="6"/>
      <c r="Q1220" s="6"/>
      <c r="R1220" s="12"/>
    </row>
    <row r="1221" customFormat="false" ht="15" hidden="false" customHeight="true" outlineLevel="0" collapsed="false">
      <c r="A1221" s="6"/>
      <c r="B1221" s="6"/>
      <c r="C1221" s="6"/>
      <c r="D1221" s="6"/>
      <c r="E1221" s="13"/>
      <c r="F1221" s="6"/>
      <c r="G1221" s="11" t="str">
        <f aca="true">IF(F1221="","",YEAR(TODAY())-F1221)</f>
        <v/>
      </c>
      <c r="H1221" s="11" t="str">
        <f aca="false">IF(C1221="","",IF(G1221="","Thiếu thông tin",IF(G1221&lt;6,"Trẻ em",IF(G1221&lt;23,"Học sinh / Sinh viên",IF(G1221&lt;60,"Đang đi làm","Nghỉ hưu")))))</f>
        <v/>
      </c>
      <c r="I1221" s="6"/>
      <c r="J1221" s="11" t="str">
        <f aca="false">IF(B1221="","",IFERROR(INDEX('Hộ gia đình'!$B$2:$B$2000,MATCH(B1221,'Hộ gia đình'!$A$2:$A$2000,0)),"Mã hộ không tồn tại"))</f>
        <v/>
      </c>
      <c r="K1221" s="14"/>
      <c r="L1221" s="14"/>
      <c r="M1221" s="6"/>
      <c r="N1221" s="6"/>
      <c r="O1221" s="6"/>
      <c r="P1221" s="6"/>
      <c r="Q1221" s="6"/>
      <c r="R1221" s="12"/>
    </row>
    <row r="1222" customFormat="false" ht="15" hidden="false" customHeight="true" outlineLevel="0" collapsed="false">
      <c r="A1222" s="6"/>
      <c r="B1222" s="6"/>
      <c r="C1222" s="6"/>
      <c r="D1222" s="6"/>
      <c r="E1222" s="13"/>
      <c r="F1222" s="6"/>
      <c r="G1222" s="11" t="str">
        <f aca="true">IF(F1222="","",YEAR(TODAY())-F1222)</f>
        <v/>
      </c>
      <c r="H1222" s="11" t="str">
        <f aca="false">IF(C1222="","",IF(G1222="","Thiếu thông tin",IF(G1222&lt;6,"Trẻ em",IF(G1222&lt;23,"Học sinh / Sinh viên",IF(G1222&lt;60,"Đang đi làm","Nghỉ hưu")))))</f>
        <v/>
      </c>
      <c r="I1222" s="6"/>
      <c r="J1222" s="11" t="str">
        <f aca="false">IF(B1222="","",IFERROR(INDEX('Hộ gia đình'!$B$2:$B$2000,MATCH(B1222,'Hộ gia đình'!$A$2:$A$2000,0)),"Mã hộ không tồn tại"))</f>
        <v/>
      </c>
      <c r="K1222" s="14"/>
      <c r="L1222" s="14"/>
      <c r="M1222" s="6"/>
      <c r="N1222" s="6"/>
      <c r="O1222" s="6"/>
      <c r="P1222" s="6"/>
      <c r="Q1222" s="6"/>
      <c r="R1222" s="12"/>
    </row>
    <row r="1223" customFormat="false" ht="15" hidden="false" customHeight="true" outlineLevel="0" collapsed="false">
      <c r="A1223" s="6"/>
      <c r="B1223" s="6"/>
      <c r="C1223" s="6"/>
      <c r="D1223" s="6"/>
      <c r="E1223" s="13"/>
      <c r="F1223" s="6"/>
      <c r="G1223" s="11" t="str">
        <f aca="true">IF(F1223="","",YEAR(TODAY())-F1223)</f>
        <v/>
      </c>
      <c r="H1223" s="11" t="str">
        <f aca="false">IF(C1223="","",IF(G1223="","Thiếu thông tin",IF(G1223&lt;6,"Trẻ em",IF(G1223&lt;23,"Học sinh / Sinh viên",IF(G1223&lt;60,"Đang đi làm","Nghỉ hưu")))))</f>
        <v/>
      </c>
      <c r="I1223" s="6"/>
      <c r="J1223" s="11" t="str">
        <f aca="false">IF(B1223="","",IFERROR(INDEX('Hộ gia đình'!$B$2:$B$2000,MATCH(B1223,'Hộ gia đình'!$A$2:$A$2000,0)),"Mã hộ không tồn tại"))</f>
        <v/>
      </c>
      <c r="K1223" s="14"/>
      <c r="L1223" s="14"/>
      <c r="M1223" s="6"/>
      <c r="N1223" s="6"/>
      <c r="O1223" s="6"/>
      <c r="P1223" s="6"/>
      <c r="Q1223" s="6"/>
      <c r="R1223" s="12"/>
    </row>
    <row r="1224" customFormat="false" ht="15" hidden="false" customHeight="true" outlineLevel="0" collapsed="false">
      <c r="A1224" s="6"/>
      <c r="B1224" s="6"/>
      <c r="C1224" s="6"/>
      <c r="D1224" s="6"/>
      <c r="E1224" s="13"/>
      <c r="F1224" s="6"/>
      <c r="G1224" s="11" t="str">
        <f aca="true">IF(F1224="","",YEAR(TODAY())-F1224)</f>
        <v/>
      </c>
      <c r="H1224" s="11" t="str">
        <f aca="false">IF(C1224="","",IF(G1224="","Thiếu thông tin",IF(G1224&lt;6,"Trẻ em",IF(G1224&lt;23,"Học sinh / Sinh viên",IF(G1224&lt;60,"Đang đi làm","Nghỉ hưu")))))</f>
        <v/>
      </c>
      <c r="I1224" s="6"/>
      <c r="J1224" s="11" t="str">
        <f aca="false">IF(B1224="","",IFERROR(INDEX('Hộ gia đình'!$B$2:$B$2000,MATCH(B1224,'Hộ gia đình'!$A$2:$A$2000,0)),"Mã hộ không tồn tại"))</f>
        <v/>
      </c>
      <c r="K1224" s="14"/>
      <c r="L1224" s="14"/>
      <c r="M1224" s="6"/>
      <c r="N1224" s="6"/>
      <c r="O1224" s="6"/>
      <c r="P1224" s="6"/>
      <c r="Q1224" s="6"/>
      <c r="R1224" s="12"/>
    </row>
    <row r="1225" customFormat="false" ht="15" hidden="false" customHeight="true" outlineLevel="0" collapsed="false">
      <c r="A1225" s="6"/>
      <c r="B1225" s="6"/>
      <c r="C1225" s="6"/>
      <c r="D1225" s="6"/>
      <c r="E1225" s="13"/>
      <c r="F1225" s="6"/>
      <c r="G1225" s="11" t="str">
        <f aca="true">IF(F1225="","",YEAR(TODAY())-F1225)</f>
        <v/>
      </c>
      <c r="H1225" s="11" t="str">
        <f aca="false">IF(C1225="","",IF(G1225="","Thiếu thông tin",IF(G1225&lt;6,"Trẻ em",IF(G1225&lt;23,"Học sinh / Sinh viên",IF(G1225&lt;60,"Đang đi làm","Nghỉ hưu")))))</f>
        <v/>
      </c>
      <c r="I1225" s="6"/>
      <c r="J1225" s="11" t="str">
        <f aca="false">IF(B1225="","",IFERROR(INDEX('Hộ gia đình'!$B$2:$B$2000,MATCH(B1225,'Hộ gia đình'!$A$2:$A$2000,0)),"Mã hộ không tồn tại"))</f>
        <v/>
      </c>
      <c r="K1225" s="14"/>
      <c r="L1225" s="14"/>
      <c r="M1225" s="6"/>
      <c r="N1225" s="6"/>
      <c r="O1225" s="6"/>
      <c r="P1225" s="6"/>
      <c r="Q1225" s="6"/>
      <c r="R1225" s="12"/>
    </row>
    <row r="1226" customFormat="false" ht="15" hidden="false" customHeight="true" outlineLevel="0" collapsed="false">
      <c r="A1226" s="6"/>
      <c r="B1226" s="6"/>
      <c r="C1226" s="6"/>
      <c r="D1226" s="6"/>
      <c r="E1226" s="13"/>
      <c r="F1226" s="6"/>
      <c r="G1226" s="11" t="str">
        <f aca="true">IF(F1226="","",YEAR(TODAY())-F1226)</f>
        <v/>
      </c>
      <c r="H1226" s="11" t="str">
        <f aca="false">IF(C1226="","",IF(G1226="","Thiếu thông tin",IF(G1226&lt;6,"Trẻ em",IF(G1226&lt;23,"Học sinh / Sinh viên",IF(G1226&lt;60,"Đang đi làm","Nghỉ hưu")))))</f>
        <v/>
      </c>
      <c r="I1226" s="6"/>
      <c r="J1226" s="11" t="str">
        <f aca="false">IF(B1226="","",IFERROR(INDEX('Hộ gia đình'!$B$2:$B$2000,MATCH(B1226,'Hộ gia đình'!$A$2:$A$2000,0)),"Mã hộ không tồn tại"))</f>
        <v/>
      </c>
      <c r="K1226" s="14"/>
      <c r="L1226" s="14"/>
      <c r="M1226" s="6"/>
      <c r="N1226" s="6"/>
      <c r="O1226" s="6"/>
      <c r="P1226" s="6"/>
      <c r="Q1226" s="6"/>
      <c r="R1226" s="12"/>
    </row>
    <row r="1227" customFormat="false" ht="15" hidden="false" customHeight="true" outlineLevel="0" collapsed="false">
      <c r="A1227" s="6"/>
      <c r="B1227" s="6"/>
      <c r="C1227" s="6"/>
      <c r="D1227" s="6"/>
      <c r="E1227" s="13"/>
      <c r="F1227" s="6"/>
      <c r="G1227" s="11" t="str">
        <f aca="true">IF(F1227="","",YEAR(TODAY())-F1227)</f>
        <v/>
      </c>
      <c r="H1227" s="11" t="str">
        <f aca="false">IF(C1227="","",IF(G1227="","Thiếu thông tin",IF(G1227&lt;6,"Trẻ em",IF(G1227&lt;23,"Học sinh / Sinh viên",IF(G1227&lt;60,"Đang đi làm","Nghỉ hưu")))))</f>
        <v/>
      </c>
      <c r="I1227" s="6"/>
      <c r="J1227" s="11" t="str">
        <f aca="false">IF(B1227="","",IFERROR(INDEX('Hộ gia đình'!$B$2:$B$2000,MATCH(B1227,'Hộ gia đình'!$A$2:$A$2000,0)),"Mã hộ không tồn tại"))</f>
        <v/>
      </c>
      <c r="K1227" s="14"/>
      <c r="L1227" s="14"/>
      <c r="M1227" s="6"/>
      <c r="N1227" s="6"/>
      <c r="O1227" s="6"/>
      <c r="P1227" s="6"/>
      <c r="Q1227" s="6"/>
      <c r="R1227" s="12"/>
    </row>
    <row r="1228" customFormat="false" ht="15" hidden="false" customHeight="true" outlineLevel="0" collapsed="false">
      <c r="A1228" s="6"/>
      <c r="B1228" s="6"/>
      <c r="C1228" s="6"/>
      <c r="D1228" s="6"/>
      <c r="E1228" s="13"/>
      <c r="F1228" s="6"/>
      <c r="G1228" s="11" t="str">
        <f aca="true">IF(F1228="","",YEAR(TODAY())-F1228)</f>
        <v/>
      </c>
      <c r="H1228" s="11" t="str">
        <f aca="false">IF(C1228="","",IF(G1228="","Thiếu thông tin",IF(G1228&lt;6,"Trẻ em",IF(G1228&lt;23,"Học sinh / Sinh viên",IF(G1228&lt;60,"Đang đi làm","Nghỉ hưu")))))</f>
        <v/>
      </c>
      <c r="I1228" s="6"/>
      <c r="J1228" s="11" t="str">
        <f aca="false">IF(B1228="","",IFERROR(INDEX('Hộ gia đình'!$B$2:$B$2000,MATCH(B1228,'Hộ gia đình'!$A$2:$A$2000,0)),"Mã hộ không tồn tại"))</f>
        <v/>
      </c>
      <c r="K1228" s="14"/>
      <c r="L1228" s="14"/>
      <c r="M1228" s="6"/>
      <c r="N1228" s="6"/>
      <c r="O1228" s="6"/>
      <c r="P1228" s="6"/>
      <c r="Q1228" s="6"/>
      <c r="R1228" s="12"/>
    </row>
    <row r="1229" customFormat="false" ht="15" hidden="false" customHeight="true" outlineLevel="0" collapsed="false">
      <c r="A1229" s="6"/>
      <c r="B1229" s="6"/>
      <c r="C1229" s="6"/>
      <c r="D1229" s="6"/>
      <c r="E1229" s="13"/>
      <c r="F1229" s="6"/>
      <c r="G1229" s="11" t="str">
        <f aca="true">IF(F1229="","",YEAR(TODAY())-F1229)</f>
        <v/>
      </c>
      <c r="H1229" s="11" t="str">
        <f aca="false">IF(C1229="","",IF(G1229="","Thiếu thông tin",IF(G1229&lt;6,"Trẻ em",IF(G1229&lt;23,"Học sinh / Sinh viên",IF(G1229&lt;60,"Đang đi làm","Nghỉ hưu")))))</f>
        <v/>
      </c>
      <c r="I1229" s="6"/>
      <c r="J1229" s="11" t="str">
        <f aca="false">IF(B1229="","",IFERROR(INDEX('Hộ gia đình'!$B$2:$B$2000,MATCH(B1229,'Hộ gia đình'!$A$2:$A$2000,0)),"Mã hộ không tồn tại"))</f>
        <v/>
      </c>
      <c r="K1229" s="14"/>
      <c r="L1229" s="14"/>
      <c r="M1229" s="6"/>
      <c r="N1229" s="6"/>
      <c r="O1229" s="6"/>
      <c r="P1229" s="6"/>
      <c r="Q1229" s="6"/>
      <c r="R1229" s="12"/>
    </row>
    <row r="1230" customFormat="false" ht="15" hidden="false" customHeight="true" outlineLevel="0" collapsed="false">
      <c r="A1230" s="6"/>
      <c r="B1230" s="6"/>
      <c r="C1230" s="6"/>
      <c r="D1230" s="6"/>
      <c r="E1230" s="13"/>
      <c r="F1230" s="6"/>
      <c r="G1230" s="11" t="str">
        <f aca="true">IF(F1230="","",YEAR(TODAY())-F1230)</f>
        <v/>
      </c>
      <c r="H1230" s="11" t="str">
        <f aca="false">IF(C1230="","",IF(G1230="","Thiếu thông tin",IF(G1230&lt;6,"Trẻ em",IF(G1230&lt;23,"Học sinh / Sinh viên",IF(G1230&lt;60,"Đang đi làm","Nghỉ hưu")))))</f>
        <v/>
      </c>
      <c r="I1230" s="6"/>
      <c r="J1230" s="11" t="str">
        <f aca="false">IF(B1230="","",IFERROR(INDEX('Hộ gia đình'!$B$2:$B$2000,MATCH(B1230,'Hộ gia đình'!$A$2:$A$2000,0)),"Mã hộ không tồn tại"))</f>
        <v/>
      </c>
      <c r="K1230" s="14"/>
      <c r="L1230" s="14"/>
      <c r="M1230" s="6"/>
      <c r="N1230" s="6"/>
      <c r="O1230" s="6"/>
      <c r="P1230" s="6"/>
      <c r="Q1230" s="6"/>
      <c r="R1230" s="12"/>
    </row>
    <row r="1231" customFormat="false" ht="15" hidden="false" customHeight="true" outlineLevel="0" collapsed="false">
      <c r="A1231" s="6"/>
      <c r="B1231" s="6"/>
      <c r="C1231" s="6"/>
      <c r="D1231" s="6"/>
      <c r="E1231" s="13"/>
      <c r="F1231" s="6"/>
      <c r="G1231" s="11" t="str">
        <f aca="true">IF(F1231="","",YEAR(TODAY())-F1231)</f>
        <v/>
      </c>
      <c r="H1231" s="11" t="str">
        <f aca="false">IF(C1231="","",IF(G1231="","Thiếu thông tin",IF(G1231&lt;6,"Trẻ em",IF(G1231&lt;23,"Học sinh / Sinh viên",IF(G1231&lt;60,"Đang đi làm","Nghỉ hưu")))))</f>
        <v/>
      </c>
      <c r="I1231" s="6"/>
      <c r="J1231" s="11" t="str">
        <f aca="false">IF(B1231="","",IFERROR(INDEX('Hộ gia đình'!$B$2:$B$2000,MATCH(B1231,'Hộ gia đình'!$A$2:$A$2000,0)),"Mã hộ không tồn tại"))</f>
        <v/>
      </c>
      <c r="K1231" s="14"/>
      <c r="L1231" s="14"/>
      <c r="M1231" s="6"/>
      <c r="N1231" s="6"/>
      <c r="O1231" s="6"/>
      <c r="P1231" s="6"/>
      <c r="Q1231" s="6"/>
      <c r="R1231" s="12"/>
    </row>
    <row r="1232" customFormat="false" ht="15" hidden="false" customHeight="true" outlineLevel="0" collapsed="false">
      <c r="A1232" s="6"/>
      <c r="B1232" s="6"/>
      <c r="C1232" s="6"/>
      <c r="D1232" s="6"/>
      <c r="E1232" s="13"/>
      <c r="F1232" s="6"/>
      <c r="G1232" s="11" t="str">
        <f aca="true">IF(F1232="","",YEAR(TODAY())-F1232)</f>
        <v/>
      </c>
      <c r="H1232" s="11" t="str">
        <f aca="false">IF(C1232="","",IF(G1232="","Thiếu thông tin",IF(G1232&lt;6,"Trẻ em",IF(G1232&lt;23,"Học sinh / Sinh viên",IF(G1232&lt;60,"Đang đi làm","Nghỉ hưu")))))</f>
        <v/>
      </c>
      <c r="I1232" s="6"/>
      <c r="J1232" s="11" t="str">
        <f aca="false">IF(B1232="","",IFERROR(INDEX('Hộ gia đình'!$B$2:$B$2000,MATCH(B1232,'Hộ gia đình'!$A$2:$A$2000,0)),"Mã hộ không tồn tại"))</f>
        <v/>
      </c>
      <c r="K1232" s="14"/>
      <c r="L1232" s="14"/>
      <c r="M1232" s="6"/>
      <c r="N1232" s="6"/>
      <c r="O1232" s="6"/>
      <c r="P1232" s="6"/>
      <c r="Q1232" s="6"/>
      <c r="R1232" s="12"/>
    </row>
    <row r="1233" customFormat="false" ht="15" hidden="false" customHeight="true" outlineLevel="0" collapsed="false">
      <c r="A1233" s="6"/>
      <c r="B1233" s="6"/>
      <c r="C1233" s="6"/>
      <c r="D1233" s="6"/>
      <c r="E1233" s="13"/>
      <c r="F1233" s="6"/>
      <c r="G1233" s="11" t="str">
        <f aca="true">IF(F1233="","",YEAR(TODAY())-F1233)</f>
        <v/>
      </c>
      <c r="H1233" s="11" t="str">
        <f aca="false">IF(C1233="","",IF(G1233="","Thiếu thông tin",IF(G1233&lt;6,"Trẻ em",IF(G1233&lt;23,"Học sinh / Sinh viên",IF(G1233&lt;60,"Đang đi làm","Nghỉ hưu")))))</f>
        <v/>
      </c>
      <c r="I1233" s="6"/>
      <c r="J1233" s="11" t="str">
        <f aca="false">IF(B1233="","",IFERROR(INDEX('Hộ gia đình'!$B$2:$B$2000,MATCH(B1233,'Hộ gia đình'!$A$2:$A$2000,0)),"Mã hộ không tồn tại"))</f>
        <v/>
      </c>
      <c r="K1233" s="14"/>
      <c r="L1233" s="14"/>
      <c r="M1233" s="6"/>
      <c r="N1233" s="6"/>
      <c r="O1233" s="6"/>
      <c r="P1233" s="6"/>
      <c r="Q1233" s="6"/>
      <c r="R1233" s="12"/>
    </row>
    <row r="1234" customFormat="false" ht="15" hidden="false" customHeight="true" outlineLevel="0" collapsed="false">
      <c r="A1234" s="6"/>
      <c r="B1234" s="6"/>
      <c r="C1234" s="6"/>
      <c r="D1234" s="6"/>
      <c r="E1234" s="13"/>
      <c r="F1234" s="6"/>
      <c r="G1234" s="11" t="str">
        <f aca="true">IF(F1234="","",YEAR(TODAY())-F1234)</f>
        <v/>
      </c>
      <c r="H1234" s="11" t="str">
        <f aca="false">IF(C1234="","",IF(G1234="","Thiếu thông tin",IF(G1234&lt;6,"Trẻ em",IF(G1234&lt;23,"Học sinh / Sinh viên",IF(G1234&lt;60,"Đang đi làm","Nghỉ hưu")))))</f>
        <v/>
      </c>
      <c r="I1234" s="6"/>
      <c r="J1234" s="11" t="str">
        <f aca="false">IF(B1234="","",IFERROR(INDEX('Hộ gia đình'!$B$2:$B$2000,MATCH(B1234,'Hộ gia đình'!$A$2:$A$2000,0)),"Mã hộ không tồn tại"))</f>
        <v/>
      </c>
      <c r="K1234" s="14"/>
      <c r="L1234" s="14"/>
      <c r="M1234" s="6"/>
      <c r="N1234" s="6"/>
      <c r="O1234" s="6"/>
      <c r="P1234" s="6"/>
      <c r="Q1234" s="6"/>
      <c r="R1234" s="12"/>
    </row>
    <row r="1235" customFormat="false" ht="15" hidden="false" customHeight="true" outlineLevel="0" collapsed="false">
      <c r="A1235" s="6"/>
      <c r="B1235" s="6"/>
      <c r="C1235" s="6"/>
      <c r="D1235" s="6"/>
      <c r="E1235" s="13"/>
      <c r="F1235" s="6"/>
      <c r="G1235" s="11" t="str">
        <f aca="true">IF(F1235="","",YEAR(TODAY())-F1235)</f>
        <v/>
      </c>
      <c r="H1235" s="11" t="str">
        <f aca="false">IF(C1235="","",IF(G1235="","Thiếu thông tin",IF(G1235&lt;6,"Trẻ em",IF(G1235&lt;23,"Học sinh / Sinh viên",IF(G1235&lt;60,"Đang đi làm","Nghỉ hưu")))))</f>
        <v/>
      </c>
      <c r="I1235" s="6"/>
      <c r="J1235" s="11" t="str">
        <f aca="false">IF(B1235="","",IFERROR(INDEX('Hộ gia đình'!$B$2:$B$2000,MATCH(B1235,'Hộ gia đình'!$A$2:$A$2000,0)),"Mã hộ không tồn tại"))</f>
        <v/>
      </c>
      <c r="K1235" s="14"/>
      <c r="L1235" s="14"/>
      <c r="M1235" s="6"/>
      <c r="N1235" s="6"/>
      <c r="O1235" s="6"/>
      <c r="P1235" s="6"/>
      <c r="Q1235" s="6"/>
      <c r="R1235" s="12"/>
    </row>
    <row r="1236" customFormat="false" ht="15" hidden="false" customHeight="true" outlineLevel="0" collapsed="false">
      <c r="A1236" s="6"/>
      <c r="B1236" s="6"/>
      <c r="C1236" s="6"/>
      <c r="D1236" s="6"/>
      <c r="E1236" s="13"/>
      <c r="F1236" s="6"/>
      <c r="G1236" s="11" t="str">
        <f aca="true">IF(F1236="","",YEAR(TODAY())-F1236)</f>
        <v/>
      </c>
      <c r="H1236" s="11" t="str">
        <f aca="false">IF(C1236="","",IF(G1236="","Thiếu thông tin",IF(G1236&lt;6,"Trẻ em",IF(G1236&lt;23,"Học sinh / Sinh viên",IF(G1236&lt;60,"Đang đi làm","Nghỉ hưu")))))</f>
        <v/>
      </c>
      <c r="I1236" s="6"/>
      <c r="J1236" s="11" t="str">
        <f aca="false">IF(B1236="","",IFERROR(INDEX('Hộ gia đình'!$B$2:$B$2000,MATCH(B1236,'Hộ gia đình'!$A$2:$A$2000,0)),"Mã hộ không tồn tại"))</f>
        <v/>
      </c>
      <c r="K1236" s="14"/>
      <c r="L1236" s="14"/>
      <c r="M1236" s="6"/>
      <c r="N1236" s="6"/>
      <c r="O1236" s="6"/>
      <c r="P1236" s="6"/>
      <c r="Q1236" s="6"/>
      <c r="R1236" s="12"/>
    </row>
    <row r="1237" customFormat="false" ht="15" hidden="false" customHeight="true" outlineLevel="0" collapsed="false">
      <c r="A1237" s="6"/>
      <c r="B1237" s="6"/>
      <c r="C1237" s="6"/>
      <c r="D1237" s="6"/>
      <c r="E1237" s="13"/>
      <c r="F1237" s="6"/>
      <c r="G1237" s="11" t="str">
        <f aca="true">IF(F1237="","",YEAR(TODAY())-F1237)</f>
        <v/>
      </c>
      <c r="H1237" s="11" t="str">
        <f aca="false">IF(C1237="","",IF(G1237="","Thiếu thông tin",IF(G1237&lt;6,"Trẻ em",IF(G1237&lt;23,"Học sinh / Sinh viên",IF(G1237&lt;60,"Đang đi làm","Nghỉ hưu")))))</f>
        <v/>
      </c>
      <c r="I1237" s="6"/>
      <c r="J1237" s="11" t="str">
        <f aca="false">IF(B1237="","",IFERROR(INDEX('Hộ gia đình'!$B$2:$B$2000,MATCH(B1237,'Hộ gia đình'!$A$2:$A$2000,0)),"Mã hộ không tồn tại"))</f>
        <v/>
      </c>
      <c r="K1237" s="14"/>
      <c r="L1237" s="14"/>
      <c r="M1237" s="6"/>
      <c r="N1237" s="6"/>
      <c r="O1237" s="6"/>
      <c r="P1237" s="6"/>
      <c r="Q1237" s="6"/>
      <c r="R1237" s="12"/>
    </row>
    <row r="1238" customFormat="false" ht="15" hidden="false" customHeight="true" outlineLevel="0" collapsed="false">
      <c r="A1238" s="6"/>
      <c r="B1238" s="6"/>
      <c r="C1238" s="6"/>
      <c r="D1238" s="6"/>
      <c r="E1238" s="13"/>
      <c r="F1238" s="6"/>
      <c r="G1238" s="11" t="str">
        <f aca="true">IF(F1238="","",YEAR(TODAY())-F1238)</f>
        <v/>
      </c>
      <c r="H1238" s="11" t="str">
        <f aca="false">IF(C1238="","",IF(G1238="","Thiếu thông tin",IF(G1238&lt;6,"Trẻ em",IF(G1238&lt;23,"Học sinh / Sinh viên",IF(G1238&lt;60,"Đang đi làm","Nghỉ hưu")))))</f>
        <v/>
      </c>
      <c r="I1238" s="6"/>
      <c r="J1238" s="11" t="str">
        <f aca="false">IF(B1238="","",IFERROR(INDEX('Hộ gia đình'!$B$2:$B$2000,MATCH(B1238,'Hộ gia đình'!$A$2:$A$2000,0)),"Mã hộ không tồn tại"))</f>
        <v/>
      </c>
      <c r="K1238" s="14"/>
      <c r="L1238" s="14"/>
      <c r="M1238" s="6"/>
      <c r="N1238" s="6"/>
      <c r="O1238" s="6"/>
      <c r="P1238" s="6"/>
      <c r="Q1238" s="6"/>
      <c r="R1238" s="12"/>
    </row>
    <row r="1239" customFormat="false" ht="15" hidden="false" customHeight="true" outlineLevel="0" collapsed="false">
      <c r="A1239" s="6"/>
      <c r="B1239" s="6"/>
      <c r="C1239" s="6"/>
      <c r="D1239" s="6"/>
      <c r="E1239" s="13"/>
      <c r="F1239" s="6"/>
      <c r="G1239" s="11" t="str">
        <f aca="true">IF(F1239="","",YEAR(TODAY())-F1239)</f>
        <v/>
      </c>
      <c r="H1239" s="11" t="str">
        <f aca="false">IF(C1239="","",IF(G1239="","Thiếu thông tin",IF(G1239&lt;6,"Trẻ em",IF(G1239&lt;23,"Học sinh / Sinh viên",IF(G1239&lt;60,"Đang đi làm","Nghỉ hưu")))))</f>
        <v/>
      </c>
      <c r="I1239" s="6"/>
      <c r="J1239" s="11" t="str">
        <f aca="false">IF(B1239="","",IFERROR(INDEX('Hộ gia đình'!$B$2:$B$2000,MATCH(B1239,'Hộ gia đình'!$A$2:$A$2000,0)),"Mã hộ không tồn tại"))</f>
        <v/>
      </c>
      <c r="K1239" s="14"/>
      <c r="L1239" s="14"/>
      <c r="M1239" s="6"/>
      <c r="N1239" s="6"/>
      <c r="O1239" s="6"/>
      <c r="P1239" s="6"/>
      <c r="Q1239" s="6"/>
      <c r="R1239" s="12"/>
    </row>
    <row r="1240" customFormat="false" ht="15" hidden="false" customHeight="true" outlineLevel="0" collapsed="false">
      <c r="A1240" s="6"/>
      <c r="B1240" s="6"/>
      <c r="C1240" s="6"/>
      <c r="D1240" s="6"/>
      <c r="E1240" s="13"/>
      <c r="F1240" s="6"/>
      <c r="G1240" s="11" t="str">
        <f aca="true">IF(F1240="","",YEAR(TODAY())-F1240)</f>
        <v/>
      </c>
      <c r="H1240" s="11" t="str">
        <f aca="false">IF(C1240="","",IF(G1240="","Thiếu thông tin",IF(G1240&lt;6,"Trẻ em",IF(G1240&lt;23,"Học sinh / Sinh viên",IF(G1240&lt;60,"Đang đi làm","Nghỉ hưu")))))</f>
        <v/>
      </c>
      <c r="I1240" s="6"/>
      <c r="J1240" s="11" t="str">
        <f aca="false">IF(B1240="","",IFERROR(INDEX('Hộ gia đình'!$B$2:$B$2000,MATCH(B1240,'Hộ gia đình'!$A$2:$A$2000,0)),"Mã hộ không tồn tại"))</f>
        <v/>
      </c>
      <c r="K1240" s="14"/>
      <c r="L1240" s="14"/>
      <c r="M1240" s="6"/>
      <c r="N1240" s="6"/>
      <c r="O1240" s="6"/>
      <c r="P1240" s="6"/>
      <c r="Q1240" s="6"/>
      <c r="R1240" s="12"/>
    </row>
    <row r="1241" customFormat="false" ht="15" hidden="false" customHeight="true" outlineLevel="0" collapsed="false">
      <c r="A1241" s="6"/>
      <c r="B1241" s="6"/>
      <c r="C1241" s="6"/>
      <c r="D1241" s="6"/>
      <c r="E1241" s="13"/>
      <c r="F1241" s="6"/>
      <c r="G1241" s="11" t="str">
        <f aca="true">IF(F1241="","",YEAR(TODAY())-F1241)</f>
        <v/>
      </c>
      <c r="H1241" s="11" t="str">
        <f aca="false">IF(C1241="","",IF(G1241="","Thiếu thông tin",IF(G1241&lt;6,"Trẻ em",IF(G1241&lt;23,"Học sinh / Sinh viên",IF(G1241&lt;60,"Đang đi làm","Nghỉ hưu")))))</f>
        <v/>
      </c>
      <c r="I1241" s="6"/>
      <c r="J1241" s="11" t="str">
        <f aca="false">IF(B1241="","",IFERROR(INDEX('Hộ gia đình'!$B$2:$B$2000,MATCH(B1241,'Hộ gia đình'!$A$2:$A$2000,0)),"Mã hộ không tồn tại"))</f>
        <v/>
      </c>
      <c r="K1241" s="14"/>
      <c r="L1241" s="14"/>
      <c r="M1241" s="6"/>
      <c r="N1241" s="6"/>
      <c r="O1241" s="6"/>
      <c r="P1241" s="6"/>
      <c r="Q1241" s="6"/>
      <c r="R1241" s="12"/>
    </row>
    <row r="1242" customFormat="false" ht="15" hidden="false" customHeight="true" outlineLevel="0" collapsed="false">
      <c r="A1242" s="6"/>
      <c r="B1242" s="6"/>
      <c r="C1242" s="6"/>
      <c r="D1242" s="6"/>
      <c r="E1242" s="13"/>
      <c r="F1242" s="6"/>
      <c r="G1242" s="11" t="str">
        <f aca="true">IF(F1242="","",YEAR(TODAY())-F1242)</f>
        <v/>
      </c>
      <c r="H1242" s="11" t="str">
        <f aca="false">IF(C1242="","",IF(G1242="","Thiếu thông tin",IF(G1242&lt;6,"Trẻ em",IF(G1242&lt;23,"Học sinh / Sinh viên",IF(G1242&lt;60,"Đang đi làm","Nghỉ hưu")))))</f>
        <v/>
      </c>
      <c r="I1242" s="6"/>
      <c r="J1242" s="11" t="str">
        <f aca="false">IF(B1242="","",IFERROR(INDEX('Hộ gia đình'!$B$2:$B$2000,MATCH(B1242,'Hộ gia đình'!$A$2:$A$2000,0)),"Mã hộ không tồn tại"))</f>
        <v/>
      </c>
      <c r="K1242" s="14"/>
      <c r="L1242" s="14"/>
      <c r="M1242" s="6"/>
      <c r="N1242" s="6"/>
      <c r="O1242" s="6"/>
      <c r="P1242" s="6"/>
      <c r="Q1242" s="6"/>
      <c r="R1242" s="12"/>
    </row>
    <row r="1243" customFormat="false" ht="15" hidden="false" customHeight="true" outlineLevel="0" collapsed="false">
      <c r="A1243" s="6"/>
      <c r="B1243" s="6"/>
      <c r="C1243" s="6"/>
      <c r="D1243" s="6"/>
      <c r="E1243" s="13"/>
      <c r="F1243" s="6"/>
      <c r="G1243" s="11" t="str">
        <f aca="true">IF(F1243="","",YEAR(TODAY())-F1243)</f>
        <v/>
      </c>
      <c r="H1243" s="11" t="str">
        <f aca="false">IF(C1243="","",IF(G1243="","Thiếu thông tin",IF(G1243&lt;6,"Trẻ em",IF(G1243&lt;23,"Học sinh / Sinh viên",IF(G1243&lt;60,"Đang đi làm","Nghỉ hưu")))))</f>
        <v/>
      </c>
      <c r="I1243" s="6"/>
      <c r="J1243" s="11" t="str">
        <f aca="false">IF(B1243="","",IFERROR(INDEX('Hộ gia đình'!$B$2:$B$2000,MATCH(B1243,'Hộ gia đình'!$A$2:$A$2000,0)),"Mã hộ không tồn tại"))</f>
        <v/>
      </c>
      <c r="K1243" s="14"/>
      <c r="L1243" s="14"/>
      <c r="M1243" s="6"/>
      <c r="N1243" s="6"/>
      <c r="O1243" s="6"/>
      <c r="P1243" s="6"/>
      <c r="Q1243" s="6"/>
      <c r="R1243" s="12"/>
    </row>
    <row r="1244" customFormat="false" ht="15" hidden="false" customHeight="true" outlineLevel="0" collapsed="false">
      <c r="A1244" s="6"/>
      <c r="B1244" s="6"/>
      <c r="C1244" s="6"/>
      <c r="D1244" s="6"/>
      <c r="E1244" s="13"/>
      <c r="F1244" s="6"/>
      <c r="G1244" s="11" t="str">
        <f aca="true">IF(F1244="","",YEAR(TODAY())-F1244)</f>
        <v/>
      </c>
      <c r="H1244" s="11" t="str">
        <f aca="false">IF(C1244="","",IF(G1244="","Thiếu thông tin",IF(G1244&lt;6,"Trẻ em",IF(G1244&lt;23,"Học sinh / Sinh viên",IF(G1244&lt;60,"Đang đi làm","Nghỉ hưu")))))</f>
        <v/>
      </c>
      <c r="I1244" s="6"/>
      <c r="J1244" s="11" t="str">
        <f aca="false">IF(B1244="","",IFERROR(INDEX('Hộ gia đình'!$B$2:$B$2000,MATCH(B1244,'Hộ gia đình'!$A$2:$A$2000,0)),"Mã hộ không tồn tại"))</f>
        <v/>
      </c>
      <c r="K1244" s="14"/>
      <c r="L1244" s="14"/>
      <c r="M1244" s="6"/>
      <c r="N1244" s="6"/>
      <c r="O1244" s="6"/>
      <c r="P1244" s="6"/>
      <c r="Q1244" s="6"/>
      <c r="R1244" s="12"/>
    </row>
    <row r="1245" customFormat="false" ht="15" hidden="false" customHeight="true" outlineLevel="0" collapsed="false">
      <c r="A1245" s="6"/>
      <c r="B1245" s="6"/>
      <c r="C1245" s="6"/>
      <c r="D1245" s="6"/>
      <c r="E1245" s="13"/>
      <c r="F1245" s="6"/>
      <c r="G1245" s="11" t="str">
        <f aca="true">IF(F1245="","",YEAR(TODAY())-F1245)</f>
        <v/>
      </c>
      <c r="H1245" s="11" t="str">
        <f aca="false">IF(C1245="","",IF(G1245="","Thiếu thông tin",IF(G1245&lt;6,"Trẻ em",IF(G1245&lt;23,"Học sinh / Sinh viên",IF(G1245&lt;60,"Đang đi làm","Nghỉ hưu")))))</f>
        <v/>
      </c>
      <c r="I1245" s="6"/>
      <c r="J1245" s="11" t="str">
        <f aca="false">IF(B1245="","",IFERROR(INDEX('Hộ gia đình'!$B$2:$B$2000,MATCH(B1245,'Hộ gia đình'!$A$2:$A$2000,0)),"Mã hộ không tồn tại"))</f>
        <v/>
      </c>
      <c r="K1245" s="14"/>
      <c r="L1245" s="14"/>
      <c r="M1245" s="6"/>
      <c r="N1245" s="6"/>
      <c r="O1245" s="6"/>
      <c r="P1245" s="6"/>
      <c r="Q1245" s="6"/>
      <c r="R1245" s="12"/>
    </row>
    <row r="1246" customFormat="false" ht="15" hidden="false" customHeight="true" outlineLevel="0" collapsed="false">
      <c r="A1246" s="6"/>
      <c r="B1246" s="6"/>
      <c r="C1246" s="6"/>
      <c r="D1246" s="6"/>
      <c r="E1246" s="13"/>
      <c r="F1246" s="6"/>
      <c r="G1246" s="11" t="str">
        <f aca="true">IF(F1246="","",YEAR(TODAY())-F1246)</f>
        <v/>
      </c>
      <c r="H1246" s="11" t="str">
        <f aca="false">IF(C1246="","",IF(G1246="","Thiếu thông tin",IF(G1246&lt;6,"Trẻ em",IF(G1246&lt;23,"Học sinh / Sinh viên",IF(G1246&lt;60,"Đang đi làm","Nghỉ hưu")))))</f>
        <v/>
      </c>
      <c r="I1246" s="6"/>
      <c r="J1246" s="11" t="str">
        <f aca="false">IF(B1246="","",IFERROR(INDEX('Hộ gia đình'!$B$2:$B$2000,MATCH(B1246,'Hộ gia đình'!$A$2:$A$2000,0)),"Mã hộ không tồn tại"))</f>
        <v/>
      </c>
      <c r="K1246" s="14"/>
      <c r="L1246" s="14"/>
      <c r="M1246" s="6"/>
      <c r="N1246" s="6"/>
      <c r="O1246" s="6"/>
      <c r="P1246" s="6"/>
      <c r="Q1246" s="6"/>
      <c r="R1246" s="12"/>
    </row>
    <row r="1247" customFormat="false" ht="15" hidden="false" customHeight="true" outlineLevel="0" collapsed="false">
      <c r="A1247" s="6"/>
      <c r="B1247" s="6"/>
      <c r="C1247" s="6"/>
      <c r="D1247" s="6"/>
      <c r="E1247" s="13"/>
      <c r="F1247" s="6"/>
      <c r="G1247" s="11" t="str">
        <f aca="true">IF(F1247="","",YEAR(TODAY())-F1247)</f>
        <v/>
      </c>
      <c r="H1247" s="11" t="str">
        <f aca="false">IF(C1247="","",IF(G1247="","Thiếu thông tin",IF(G1247&lt;6,"Trẻ em",IF(G1247&lt;23,"Học sinh / Sinh viên",IF(G1247&lt;60,"Đang đi làm","Nghỉ hưu")))))</f>
        <v/>
      </c>
      <c r="I1247" s="6"/>
      <c r="J1247" s="11" t="str">
        <f aca="false">IF(B1247="","",IFERROR(INDEX('Hộ gia đình'!$B$2:$B$2000,MATCH(B1247,'Hộ gia đình'!$A$2:$A$2000,0)),"Mã hộ không tồn tại"))</f>
        <v/>
      </c>
      <c r="K1247" s="14"/>
      <c r="L1247" s="14"/>
      <c r="M1247" s="6"/>
      <c r="N1247" s="6"/>
      <c r="O1247" s="6"/>
      <c r="P1247" s="6"/>
      <c r="Q1247" s="6"/>
      <c r="R1247" s="12"/>
    </row>
    <row r="1248" customFormat="false" ht="15" hidden="false" customHeight="true" outlineLevel="0" collapsed="false">
      <c r="A1248" s="6"/>
      <c r="B1248" s="6"/>
      <c r="C1248" s="6"/>
      <c r="D1248" s="6"/>
      <c r="E1248" s="13"/>
      <c r="F1248" s="6"/>
      <c r="G1248" s="11" t="str">
        <f aca="true">IF(F1248="","",YEAR(TODAY())-F1248)</f>
        <v/>
      </c>
      <c r="H1248" s="11" t="str">
        <f aca="false">IF(C1248="","",IF(G1248="","Thiếu thông tin",IF(G1248&lt;6,"Trẻ em",IF(G1248&lt;23,"Học sinh / Sinh viên",IF(G1248&lt;60,"Đang đi làm","Nghỉ hưu")))))</f>
        <v/>
      </c>
      <c r="I1248" s="6"/>
      <c r="J1248" s="11" t="str">
        <f aca="false">IF(B1248="","",IFERROR(INDEX('Hộ gia đình'!$B$2:$B$2000,MATCH(B1248,'Hộ gia đình'!$A$2:$A$2000,0)),"Mã hộ không tồn tại"))</f>
        <v/>
      </c>
      <c r="K1248" s="14"/>
      <c r="L1248" s="14"/>
      <c r="M1248" s="6"/>
      <c r="N1248" s="6"/>
      <c r="O1248" s="6"/>
      <c r="P1248" s="6"/>
      <c r="Q1248" s="6"/>
      <c r="R1248" s="12"/>
    </row>
    <row r="1249" customFormat="false" ht="15" hidden="false" customHeight="true" outlineLevel="0" collapsed="false">
      <c r="A1249" s="6"/>
      <c r="B1249" s="6"/>
      <c r="C1249" s="6"/>
      <c r="D1249" s="6"/>
      <c r="E1249" s="13"/>
      <c r="F1249" s="6"/>
      <c r="G1249" s="11" t="str">
        <f aca="true">IF(F1249="","",YEAR(TODAY())-F1249)</f>
        <v/>
      </c>
      <c r="H1249" s="11" t="str">
        <f aca="false">IF(C1249="","",IF(G1249="","Thiếu thông tin",IF(G1249&lt;6,"Trẻ em",IF(G1249&lt;23,"Học sinh / Sinh viên",IF(G1249&lt;60,"Đang đi làm","Nghỉ hưu")))))</f>
        <v/>
      </c>
      <c r="I1249" s="6"/>
      <c r="J1249" s="11" t="str">
        <f aca="false">IF(B1249="","",IFERROR(INDEX('Hộ gia đình'!$B$2:$B$2000,MATCH(B1249,'Hộ gia đình'!$A$2:$A$2000,0)),"Mã hộ không tồn tại"))</f>
        <v/>
      </c>
      <c r="K1249" s="14"/>
      <c r="L1249" s="14"/>
      <c r="M1249" s="6"/>
      <c r="N1249" s="6"/>
      <c r="O1249" s="6"/>
      <c r="P1249" s="6"/>
      <c r="Q1249" s="6"/>
      <c r="R1249" s="12"/>
    </row>
    <row r="1250" customFormat="false" ht="15" hidden="false" customHeight="true" outlineLevel="0" collapsed="false">
      <c r="A1250" s="6"/>
      <c r="B1250" s="6"/>
      <c r="C1250" s="6"/>
      <c r="D1250" s="6"/>
      <c r="E1250" s="13"/>
      <c r="F1250" s="6"/>
      <c r="G1250" s="11" t="str">
        <f aca="true">IF(F1250="","",YEAR(TODAY())-F1250)</f>
        <v/>
      </c>
      <c r="H1250" s="11" t="str">
        <f aca="false">IF(C1250="","",IF(G1250="","Thiếu thông tin",IF(G1250&lt;6,"Trẻ em",IF(G1250&lt;23,"Học sinh / Sinh viên",IF(G1250&lt;60,"Đang đi làm","Nghỉ hưu")))))</f>
        <v/>
      </c>
      <c r="I1250" s="6"/>
      <c r="J1250" s="11" t="str">
        <f aca="false">IF(B1250="","",IFERROR(INDEX('Hộ gia đình'!$B$2:$B$2000,MATCH(B1250,'Hộ gia đình'!$A$2:$A$2000,0)),"Mã hộ không tồn tại"))</f>
        <v/>
      </c>
      <c r="K1250" s="14"/>
      <c r="L1250" s="14"/>
      <c r="M1250" s="6"/>
      <c r="N1250" s="6"/>
      <c r="O1250" s="6"/>
      <c r="P1250" s="6"/>
      <c r="Q1250" s="6"/>
      <c r="R1250" s="12"/>
    </row>
    <row r="1251" customFormat="false" ht="15" hidden="false" customHeight="true" outlineLevel="0" collapsed="false">
      <c r="A1251" s="6"/>
      <c r="B1251" s="6"/>
      <c r="C1251" s="6"/>
      <c r="D1251" s="6"/>
      <c r="E1251" s="13"/>
      <c r="F1251" s="6"/>
      <c r="G1251" s="11" t="str">
        <f aca="true">IF(F1251="","",YEAR(TODAY())-F1251)</f>
        <v/>
      </c>
      <c r="H1251" s="11" t="str">
        <f aca="false">IF(C1251="","",IF(G1251="","Thiếu thông tin",IF(G1251&lt;6,"Trẻ em",IF(G1251&lt;23,"Học sinh / Sinh viên",IF(G1251&lt;60,"Đang đi làm","Nghỉ hưu")))))</f>
        <v/>
      </c>
      <c r="I1251" s="6"/>
      <c r="J1251" s="11" t="str">
        <f aca="false">IF(B1251="","",IFERROR(INDEX('Hộ gia đình'!$B$2:$B$2000,MATCH(B1251,'Hộ gia đình'!$A$2:$A$2000,0)),"Mã hộ không tồn tại"))</f>
        <v/>
      </c>
      <c r="K1251" s="14"/>
      <c r="L1251" s="14"/>
      <c r="M1251" s="6"/>
      <c r="N1251" s="6"/>
      <c r="O1251" s="6"/>
      <c r="P1251" s="6"/>
      <c r="Q1251" s="6"/>
      <c r="R1251" s="12"/>
    </row>
    <row r="1252" customFormat="false" ht="15" hidden="false" customHeight="true" outlineLevel="0" collapsed="false">
      <c r="A1252" s="6"/>
      <c r="B1252" s="6"/>
      <c r="C1252" s="6"/>
      <c r="D1252" s="6"/>
      <c r="E1252" s="13"/>
      <c r="F1252" s="6"/>
      <c r="G1252" s="11" t="str">
        <f aca="true">IF(F1252="","",YEAR(TODAY())-F1252)</f>
        <v/>
      </c>
      <c r="H1252" s="11" t="str">
        <f aca="false">IF(C1252="","",IF(G1252="","Thiếu thông tin",IF(G1252&lt;6,"Trẻ em",IF(G1252&lt;23,"Học sinh / Sinh viên",IF(G1252&lt;60,"Đang đi làm","Nghỉ hưu")))))</f>
        <v/>
      </c>
      <c r="I1252" s="6"/>
      <c r="J1252" s="11" t="str">
        <f aca="false">IF(B1252="","",IFERROR(INDEX('Hộ gia đình'!$B$2:$B$2000,MATCH(B1252,'Hộ gia đình'!$A$2:$A$2000,0)),"Mã hộ không tồn tại"))</f>
        <v/>
      </c>
      <c r="K1252" s="14"/>
      <c r="L1252" s="14"/>
      <c r="M1252" s="6"/>
      <c r="N1252" s="6"/>
      <c r="O1252" s="6"/>
      <c r="P1252" s="6"/>
      <c r="Q1252" s="6"/>
      <c r="R1252" s="12"/>
    </row>
    <row r="1253" customFormat="false" ht="15" hidden="false" customHeight="true" outlineLevel="0" collapsed="false">
      <c r="A1253" s="6"/>
      <c r="B1253" s="6"/>
      <c r="C1253" s="6"/>
      <c r="D1253" s="6"/>
      <c r="E1253" s="13"/>
      <c r="F1253" s="6"/>
      <c r="G1253" s="11" t="str">
        <f aca="true">IF(F1253="","",YEAR(TODAY())-F1253)</f>
        <v/>
      </c>
      <c r="H1253" s="11" t="str">
        <f aca="false">IF(C1253="","",IF(G1253="","Thiếu thông tin",IF(G1253&lt;6,"Trẻ em",IF(G1253&lt;23,"Học sinh / Sinh viên",IF(G1253&lt;60,"Đang đi làm","Nghỉ hưu")))))</f>
        <v/>
      </c>
      <c r="I1253" s="6"/>
      <c r="J1253" s="11" t="str">
        <f aca="false">IF(B1253="","",IFERROR(INDEX('Hộ gia đình'!$B$2:$B$2000,MATCH(B1253,'Hộ gia đình'!$A$2:$A$2000,0)),"Mã hộ không tồn tại"))</f>
        <v/>
      </c>
      <c r="K1253" s="14"/>
      <c r="L1253" s="14"/>
      <c r="M1253" s="6"/>
      <c r="N1253" s="6"/>
      <c r="O1253" s="6"/>
      <c r="P1253" s="6"/>
      <c r="Q1253" s="6"/>
      <c r="R1253" s="12"/>
    </row>
    <row r="1254" customFormat="false" ht="15" hidden="false" customHeight="true" outlineLevel="0" collapsed="false">
      <c r="A1254" s="6"/>
      <c r="B1254" s="6"/>
      <c r="C1254" s="6"/>
      <c r="D1254" s="6"/>
      <c r="E1254" s="13"/>
      <c r="F1254" s="6"/>
      <c r="G1254" s="11" t="str">
        <f aca="true">IF(F1254="","",YEAR(TODAY())-F1254)</f>
        <v/>
      </c>
      <c r="H1254" s="11" t="str">
        <f aca="false">IF(C1254="","",IF(G1254="","Thiếu thông tin",IF(G1254&lt;6,"Trẻ em",IF(G1254&lt;23,"Học sinh / Sinh viên",IF(G1254&lt;60,"Đang đi làm","Nghỉ hưu")))))</f>
        <v/>
      </c>
      <c r="I1254" s="6"/>
      <c r="J1254" s="11" t="str">
        <f aca="false">IF(B1254="","",IFERROR(INDEX('Hộ gia đình'!$B$2:$B$2000,MATCH(B1254,'Hộ gia đình'!$A$2:$A$2000,0)),"Mã hộ không tồn tại"))</f>
        <v/>
      </c>
      <c r="K1254" s="14"/>
      <c r="L1254" s="14"/>
      <c r="M1254" s="6"/>
      <c r="N1254" s="6"/>
      <c r="O1254" s="6"/>
      <c r="P1254" s="6"/>
      <c r="Q1254" s="6"/>
      <c r="R1254" s="12"/>
    </row>
    <row r="1255" customFormat="false" ht="15" hidden="false" customHeight="true" outlineLevel="0" collapsed="false">
      <c r="A1255" s="6"/>
      <c r="B1255" s="6"/>
      <c r="C1255" s="6"/>
      <c r="D1255" s="6"/>
      <c r="E1255" s="13"/>
      <c r="F1255" s="6"/>
      <c r="G1255" s="11" t="str">
        <f aca="true">IF(F1255="","",YEAR(TODAY())-F1255)</f>
        <v/>
      </c>
      <c r="H1255" s="11" t="str">
        <f aca="false">IF(C1255="","",IF(G1255="","Thiếu thông tin",IF(G1255&lt;6,"Trẻ em",IF(G1255&lt;23,"Học sinh / Sinh viên",IF(G1255&lt;60,"Đang đi làm","Nghỉ hưu")))))</f>
        <v/>
      </c>
      <c r="I1255" s="6"/>
      <c r="J1255" s="11" t="str">
        <f aca="false">IF(B1255="","",IFERROR(INDEX('Hộ gia đình'!$B$2:$B$2000,MATCH(B1255,'Hộ gia đình'!$A$2:$A$2000,0)),"Mã hộ không tồn tại"))</f>
        <v/>
      </c>
      <c r="K1255" s="14"/>
      <c r="L1255" s="14"/>
      <c r="M1255" s="6"/>
      <c r="N1255" s="6"/>
      <c r="O1255" s="6"/>
      <c r="P1255" s="6"/>
      <c r="Q1255" s="6"/>
      <c r="R1255" s="12"/>
    </row>
    <row r="1256" customFormat="false" ht="15" hidden="false" customHeight="true" outlineLevel="0" collapsed="false">
      <c r="A1256" s="6"/>
      <c r="B1256" s="6"/>
      <c r="C1256" s="6"/>
      <c r="D1256" s="6"/>
      <c r="E1256" s="13"/>
      <c r="F1256" s="6"/>
      <c r="G1256" s="11" t="str">
        <f aca="true">IF(F1256="","",YEAR(TODAY())-F1256)</f>
        <v/>
      </c>
      <c r="H1256" s="11" t="str">
        <f aca="false">IF(C1256="","",IF(G1256="","Thiếu thông tin",IF(G1256&lt;6,"Trẻ em",IF(G1256&lt;23,"Học sinh / Sinh viên",IF(G1256&lt;60,"Đang đi làm","Nghỉ hưu")))))</f>
        <v/>
      </c>
      <c r="I1256" s="6"/>
      <c r="J1256" s="11" t="str">
        <f aca="false">IF(B1256="","",IFERROR(INDEX('Hộ gia đình'!$B$2:$B$2000,MATCH(B1256,'Hộ gia đình'!$A$2:$A$2000,0)),"Mã hộ không tồn tại"))</f>
        <v/>
      </c>
      <c r="K1256" s="14"/>
      <c r="L1256" s="14"/>
      <c r="M1256" s="6"/>
      <c r="N1256" s="6"/>
      <c r="O1256" s="6"/>
      <c r="P1256" s="6"/>
      <c r="Q1256" s="6"/>
      <c r="R1256" s="12"/>
    </row>
    <row r="1257" customFormat="false" ht="15" hidden="false" customHeight="true" outlineLevel="0" collapsed="false">
      <c r="A1257" s="6"/>
      <c r="B1257" s="6"/>
      <c r="C1257" s="6"/>
      <c r="D1257" s="6"/>
      <c r="E1257" s="13"/>
      <c r="F1257" s="6"/>
      <c r="G1257" s="11" t="str">
        <f aca="true">IF(F1257="","",YEAR(TODAY())-F1257)</f>
        <v/>
      </c>
      <c r="H1257" s="11" t="str">
        <f aca="false">IF(C1257="","",IF(G1257="","Thiếu thông tin",IF(G1257&lt;6,"Trẻ em",IF(G1257&lt;23,"Học sinh / Sinh viên",IF(G1257&lt;60,"Đang đi làm","Nghỉ hưu")))))</f>
        <v/>
      </c>
      <c r="I1257" s="6"/>
      <c r="J1257" s="11" t="str">
        <f aca="false">IF(B1257="","",IFERROR(INDEX('Hộ gia đình'!$B$2:$B$2000,MATCH(B1257,'Hộ gia đình'!$A$2:$A$2000,0)),"Mã hộ không tồn tại"))</f>
        <v/>
      </c>
      <c r="K1257" s="14"/>
      <c r="L1257" s="14"/>
      <c r="M1257" s="6"/>
      <c r="N1257" s="6"/>
      <c r="O1257" s="6"/>
      <c r="P1257" s="6"/>
      <c r="Q1257" s="6"/>
      <c r="R1257" s="12"/>
    </row>
    <row r="1258" customFormat="false" ht="15" hidden="false" customHeight="true" outlineLevel="0" collapsed="false">
      <c r="A1258" s="6"/>
      <c r="B1258" s="6"/>
      <c r="C1258" s="6"/>
      <c r="D1258" s="6"/>
      <c r="E1258" s="13"/>
      <c r="F1258" s="6"/>
      <c r="G1258" s="11" t="str">
        <f aca="true">IF(F1258="","",YEAR(TODAY())-F1258)</f>
        <v/>
      </c>
      <c r="H1258" s="11" t="str">
        <f aca="false">IF(C1258="","",IF(G1258="","Thiếu thông tin",IF(G1258&lt;6,"Trẻ em",IF(G1258&lt;23,"Học sinh / Sinh viên",IF(G1258&lt;60,"Đang đi làm","Nghỉ hưu")))))</f>
        <v/>
      </c>
      <c r="I1258" s="6"/>
      <c r="J1258" s="11" t="str">
        <f aca="false">IF(B1258="","",IFERROR(INDEX('Hộ gia đình'!$B$2:$B$2000,MATCH(B1258,'Hộ gia đình'!$A$2:$A$2000,0)),"Mã hộ không tồn tại"))</f>
        <v/>
      </c>
      <c r="K1258" s="14"/>
      <c r="L1258" s="14"/>
      <c r="M1258" s="6"/>
      <c r="N1258" s="6"/>
      <c r="O1258" s="6"/>
      <c r="P1258" s="6"/>
      <c r="Q1258" s="6"/>
      <c r="R1258" s="12"/>
    </row>
    <row r="1259" customFormat="false" ht="15" hidden="false" customHeight="true" outlineLevel="0" collapsed="false">
      <c r="A1259" s="6"/>
      <c r="B1259" s="6"/>
      <c r="C1259" s="6"/>
      <c r="D1259" s="6"/>
      <c r="E1259" s="13"/>
      <c r="F1259" s="6"/>
      <c r="G1259" s="11" t="str">
        <f aca="true">IF(F1259="","",YEAR(TODAY())-F1259)</f>
        <v/>
      </c>
      <c r="H1259" s="11" t="str">
        <f aca="false">IF(C1259="","",IF(G1259="","Thiếu thông tin",IF(G1259&lt;6,"Trẻ em",IF(G1259&lt;23,"Học sinh / Sinh viên",IF(G1259&lt;60,"Đang đi làm","Nghỉ hưu")))))</f>
        <v/>
      </c>
      <c r="I1259" s="6"/>
      <c r="J1259" s="11" t="str">
        <f aca="false">IF(B1259="","",IFERROR(INDEX('Hộ gia đình'!$B$2:$B$2000,MATCH(B1259,'Hộ gia đình'!$A$2:$A$2000,0)),"Mã hộ không tồn tại"))</f>
        <v/>
      </c>
      <c r="K1259" s="14"/>
      <c r="L1259" s="14"/>
      <c r="M1259" s="6"/>
      <c r="N1259" s="6"/>
      <c r="O1259" s="6"/>
      <c r="P1259" s="6"/>
      <c r="Q1259" s="6"/>
      <c r="R1259" s="12"/>
    </row>
    <row r="1260" customFormat="false" ht="15" hidden="false" customHeight="true" outlineLevel="0" collapsed="false">
      <c r="A1260" s="6"/>
      <c r="B1260" s="6"/>
      <c r="C1260" s="6"/>
      <c r="D1260" s="6"/>
      <c r="E1260" s="13"/>
      <c r="F1260" s="6"/>
      <c r="G1260" s="11" t="str">
        <f aca="true">IF(F1260="","",YEAR(TODAY())-F1260)</f>
        <v/>
      </c>
      <c r="H1260" s="11" t="str">
        <f aca="false">IF(C1260="","",IF(G1260="","Thiếu thông tin",IF(G1260&lt;6,"Trẻ em",IF(G1260&lt;23,"Học sinh / Sinh viên",IF(G1260&lt;60,"Đang đi làm","Nghỉ hưu")))))</f>
        <v/>
      </c>
      <c r="I1260" s="6"/>
      <c r="J1260" s="11" t="str">
        <f aca="false">IF(B1260="","",IFERROR(INDEX('Hộ gia đình'!$B$2:$B$2000,MATCH(B1260,'Hộ gia đình'!$A$2:$A$2000,0)),"Mã hộ không tồn tại"))</f>
        <v/>
      </c>
      <c r="K1260" s="14"/>
      <c r="L1260" s="14"/>
      <c r="M1260" s="6"/>
      <c r="N1260" s="6"/>
      <c r="O1260" s="6"/>
      <c r="P1260" s="6"/>
      <c r="Q1260" s="6"/>
      <c r="R1260" s="12"/>
    </row>
    <row r="1261" customFormat="false" ht="15" hidden="false" customHeight="true" outlineLevel="0" collapsed="false">
      <c r="A1261" s="6"/>
      <c r="B1261" s="6"/>
      <c r="C1261" s="6"/>
      <c r="D1261" s="6"/>
      <c r="E1261" s="13"/>
      <c r="F1261" s="6"/>
      <c r="G1261" s="11" t="str">
        <f aca="true">IF(F1261="","",YEAR(TODAY())-F1261)</f>
        <v/>
      </c>
      <c r="H1261" s="11" t="str">
        <f aca="false">IF(C1261="","",IF(G1261="","Thiếu thông tin",IF(G1261&lt;6,"Trẻ em",IF(G1261&lt;23,"Học sinh / Sinh viên",IF(G1261&lt;60,"Đang đi làm","Nghỉ hưu")))))</f>
        <v/>
      </c>
      <c r="I1261" s="6"/>
      <c r="J1261" s="11" t="str">
        <f aca="false">IF(B1261="","",IFERROR(INDEX('Hộ gia đình'!$B$2:$B$2000,MATCH(B1261,'Hộ gia đình'!$A$2:$A$2000,0)),"Mã hộ không tồn tại"))</f>
        <v/>
      </c>
      <c r="K1261" s="14"/>
      <c r="L1261" s="14"/>
      <c r="M1261" s="6"/>
      <c r="N1261" s="6"/>
      <c r="O1261" s="6"/>
      <c r="P1261" s="6"/>
      <c r="Q1261" s="6"/>
      <c r="R1261" s="12"/>
    </row>
    <row r="1262" customFormat="false" ht="15" hidden="false" customHeight="true" outlineLevel="0" collapsed="false">
      <c r="A1262" s="6"/>
      <c r="B1262" s="6"/>
      <c r="C1262" s="6"/>
      <c r="D1262" s="6"/>
      <c r="E1262" s="13"/>
      <c r="F1262" s="6"/>
      <c r="G1262" s="11" t="str">
        <f aca="true">IF(F1262="","",YEAR(TODAY())-F1262)</f>
        <v/>
      </c>
      <c r="H1262" s="11" t="str">
        <f aca="false">IF(C1262="","",IF(G1262="","Thiếu thông tin",IF(G1262&lt;6,"Trẻ em",IF(G1262&lt;23,"Học sinh / Sinh viên",IF(G1262&lt;60,"Đang đi làm","Nghỉ hưu")))))</f>
        <v/>
      </c>
      <c r="I1262" s="6"/>
      <c r="J1262" s="11" t="str">
        <f aca="false">IF(B1262="","",IFERROR(INDEX('Hộ gia đình'!$B$2:$B$2000,MATCH(B1262,'Hộ gia đình'!$A$2:$A$2000,0)),"Mã hộ không tồn tại"))</f>
        <v/>
      </c>
      <c r="K1262" s="14"/>
      <c r="L1262" s="14"/>
      <c r="M1262" s="6"/>
      <c r="N1262" s="6"/>
      <c r="O1262" s="6"/>
      <c r="P1262" s="6"/>
      <c r="Q1262" s="6"/>
      <c r="R1262" s="12"/>
    </row>
    <row r="1263" customFormat="false" ht="15" hidden="false" customHeight="true" outlineLevel="0" collapsed="false">
      <c r="A1263" s="6"/>
      <c r="B1263" s="6"/>
      <c r="C1263" s="6"/>
      <c r="D1263" s="6"/>
      <c r="E1263" s="13"/>
      <c r="F1263" s="6"/>
      <c r="G1263" s="11" t="str">
        <f aca="true">IF(F1263="","",YEAR(TODAY())-F1263)</f>
        <v/>
      </c>
      <c r="H1263" s="11" t="str">
        <f aca="false">IF(C1263="","",IF(G1263="","Thiếu thông tin",IF(G1263&lt;6,"Trẻ em",IF(G1263&lt;23,"Học sinh / Sinh viên",IF(G1263&lt;60,"Đang đi làm","Nghỉ hưu")))))</f>
        <v/>
      </c>
      <c r="I1263" s="6"/>
      <c r="J1263" s="11" t="str">
        <f aca="false">IF(B1263="","",IFERROR(INDEX('Hộ gia đình'!$B$2:$B$2000,MATCH(B1263,'Hộ gia đình'!$A$2:$A$2000,0)),"Mã hộ không tồn tại"))</f>
        <v/>
      </c>
      <c r="K1263" s="14"/>
      <c r="L1263" s="14"/>
      <c r="M1263" s="6"/>
      <c r="N1263" s="6"/>
      <c r="O1263" s="6"/>
      <c r="P1263" s="6"/>
      <c r="Q1263" s="6"/>
      <c r="R1263" s="12"/>
    </row>
    <row r="1264" customFormat="false" ht="15" hidden="false" customHeight="true" outlineLevel="0" collapsed="false">
      <c r="A1264" s="6"/>
      <c r="B1264" s="6"/>
      <c r="C1264" s="6"/>
      <c r="D1264" s="6"/>
      <c r="E1264" s="13"/>
      <c r="F1264" s="6"/>
      <c r="G1264" s="11" t="str">
        <f aca="true">IF(F1264="","",YEAR(TODAY())-F1264)</f>
        <v/>
      </c>
      <c r="H1264" s="11" t="str">
        <f aca="false">IF(C1264="","",IF(G1264="","Thiếu thông tin",IF(G1264&lt;6,"Trẻ em",IF(G1264&lt;23,"Học sinh / Sinh viên",IF(G1264&lt;60,"Đang đi làm","Nghỉ hưu")))))</f>
        <v/>
      </c>
      <c r="I1264" s="6"/>
      <c r="J1264" s="11" t="str">
        <f aca="false">IF(B1264="","",IFERROR(INDEX('Hộ gia đình'!$B$2:$B$2000,MATCH(B1264,'Hộ gia đình'!$A$2:$A$2000,0)),"Mã hộ không tồn tại"))</f>
        <v/>
      </c>
      <c r="K1264" s="14"/>
      <c r="L1264" s="14"/>
      <c r="M1264" s="6"/>
      <c r="N1264" s="6"/>
      <c r="O1264" s="6"/>
      <c r="P1264" s="6"/>
      <c r="Q1264" s="6"/>
      <c r="R1264" s="12"/>
    </row>
    <row r="1265" customFormat="false" ht="15" hidden="false" customHeight="true" outlineLevel="0" collapsed="false">
      <c r="A1265" s="6"/>
      <c r="B1265" s="6"/>
      <c r="C1265" s="6"/>
      <c r="D1265" s="6"/>
      <c r="E1265" s="13"/>
      <c r="F1265" s="6"/>
      <c r="G1265" s="11" t="str">
        <f aca="true">IF(F1265="","",YEAR(TODAY())-F1265)</f>
        <v/>
      </c>
      <c r="H1265" s="11" t="str">
        <f aca="false">IF(C1265="","",IF(G1265="","Thiếu thông tin",IF(G1265&lt;6,"Trẻ em",IF(G1265&lt;23,"Học sinh / Sinh viên",IF(G1265&lt;60,"Đang đi làm","Nghỉ hưu")))))</f>
        <v/>
      </c>
      <c r="I1265" s="6"/>
      <c r="J1265" s="11" t="str">
        <f aca="false">IF(B1265="","",IFERROR(INDEX('Hộ gia đình'!$B$2:$B$2000,MATCH(B1265,'Hộ gia đình'!$A$2:$A$2000,0)),"Mã hộ không tồn tại"))</f>
        <v/>
      </c>
      <c r="K1265" s="14"/>
      <c r="L1265" s="14"/>
      <c r="M1265" s="6"/>
      <c r="N1265" s="6"/>
      <c r="O1265" s="6"/>
      <c r="P1265" s="6"/>
      <c r="Q1265" s="6"/>
      <c r="R1265" s="12"/>
    </row>
    <row r="1266" customFormat="false" ht="15" hidden="false" customHeight="true" outlineLevel="0" collapsed="false">
      <c r="A1266" s="6"/>
      <c r="B1266" s="6"/>
      <c r="C1266" s="6"/>
      <c r="D1266" s="6"/>
      <c r="E1266" s="13"/>
      <c r="F1266" s="6"/>
      <c r="G1266" s="11" t="str">
        <f aca="true">IF(F1266="","",YEAR(TODAY())-F1266)</f>
        <v/>
      </c>
      <c r="H1266" s="11" t="str">
        <f aca="false">IF(C1266="","",IF(G1266="","Thiếu thông tin",IF(G1266&lt;6,"Trẻ em",IF(G1266&lt;23,"Học sinh / Sinh viên",IF(G1266&lt;60,"Đang đi làm","Nghỉ hưu")))))</f>
        <v/>
      </c>
      <c r="I1266" s="6"/>
      <c r="J1266" s="11" t="str">
        <f aca="false">IF(B1266="","",IFERROR(INDEX('Hộ gia đình'!$B$2:$B$2000,MATCH(B1266,'Hộ gia đình'!$A$2:$A$2000,0)),"Mã hộ không tồn tại"))</f>
        <v/>
      </c>
      <c r="K1266" s="14"/>
      <c r="L1266" s="14"/>
      <c r="M1266" s="6"/>
      <c r="N1266" s="6"/>
      <c r="O1266" s="6"/>
      <c r="P1266" s="6"/>
      <c r="Q1266" s="6"/>
      <c r="R1266" s="12"/>
    </row>
    <row r="1267" customFormat="false" ht="15" hidden="false" customHeight="true" outlineLevel="0" collapsed="false">
      <c r="A1267" s="6"/>
      <c r="B1267" s="6"/>
      <c r="C1267" s="6"/>
      <c r="D1267" s="6"/>
      <c r="E1267" s="13"/>
      <c r="F1267" s="6"/>
      <c r="G1267" s="11" t="str">
        <f aca="true">IF(F1267="","",YEAR(TODAY())-F1267)</f>
        <v/>
      </c>
      <c r="H1267" s="11" t="str">
        <f aca="false">IF(C1267="","",IF(G1267="","Thiếu thông tin",IF(G1267&lt;6,"Trẻ em",IF(G1267&lt;23,"Học sinh / Sinh viên",IF(G1267&lt;60,"Đang đi làm","Nghỉ hưu")))))</f>
        <v/>
      </c>
      <c r="I1267" s="6"/>
      <c r="J1267" s="11" t="str">
        <f aca="false">IF(B1267="","",IFERROR(INDEX('Hộ gia đình'!$B$2:$B$2000,MATCH(B1267,'Hộ gia đình'!$A$2:$A$2000,0)),"Mã hộ không tồn tại"))</f>
        <v/>
      </c>
      <c r="K1267" s="14"/>
      <c r="L1267" s="14"/>
      <c r="M1267" s="6"/>
      <c r="N1267" s="6"/>
      <c r="O1267" s="6"/>
      <c r="P1267" s="6"/>
      <c r="Q1267" s="6"/>
      <c r="R1267" s="12"/>
    </row>
    <row r="1268" customFormat="false" ht="15" hidden="false" customHeight="true" outlineLevel="0" collapsed="false">
      <c r="A1268" s="6"/>
      <c r="B1268" s="6"/>
      <c r="C1268" s="6"/>
      <c r="D1268" s="6"/>
      <c r="E1268" s="13"/>
      <c r="F1268" s="6"/>
      <c r="G1268" s="11" t="str">
        <f aca="true">IF(F1268="","",YEAR(TODAY())-F1268)</f>
        <v/>
      </c>
      <c r="H1268" s="11" t="str">
        <f aca="false">IF(C1268="","",IF(G1268="","Thiếu thông tin",IF(G1268&lt;6,"Trẻ em",IF(G1268&lt;23,"Học sinh / Sinh viên",IF(G1268&lt;60,"Đang đi làm","Nghỉ hưu")))))</f>
        <v/>
      </c>
      <c r="I1268" s="6"/>
      <c r="J1268" s="11" t="str">
        <f aca="false">IF(B1268="","",IFERROR(INDEX('Hộ gia đình'!$B$2:$B$2000,MATCH(B1268,'Hộ gia đình'!$A$2:$A$2000,0)),"Mã hộ không tồn tại"))</f>
        <v/>
      </c>
      <c r="K1268" s="14"/>
      <c r="L1268" s="14"/>
      <c r="M1268" s="6"/>
      <c r="N1268" s="6"/>
      <c r="O1268" s="6"/>
      <c r="P1268" s="6"/>
      <c r="Q1268" s="6"/>
      <c r="R1268" s="12"/>
    </row>
    <row r="1269" customFormat="false" ht="15" hidden="false" customHeight="true" outlineLevel="0" collapsed="false">
      <c r="A1269" s="6"/>
      <c r="B1269" s="6"/>
      <c r="C1269" s="6"/>
      <c r="D1269" s="6"/>
      <c r="E1269" s="13"/>
      <c r="F1269" s="6"/>
      <c r="G1269" s="11" t="str">
        <f aca="true">IF(F1269="","",YEAR(TODAY())-F1269)</f>
        <v/>
      </c>
      <c r="H1269" s="11" t="str">
        <f aca="false">IF(C1269="","",IF(G1269="","Thiếu thông tin",IF(G1269&lt;6,"Trẻ em",IF(G1269&lt;23,"Học sinh / Sinh viên",IF(G1269&lt;60,"Đang đi làm","Nghỉ hưu")))))</f>
        <v/>
      </c>
      <c r="I1269" s="6"/>
      <c r="J1269" s="11" t="str">
        <f aca="false">IF(B1269="","",IFERROR(INDEX('Hộ gia đình'!$B$2:$B$2000,MATCH(B1269,'Hộ gia đình'!$A$2:$A$2000,0)),"Mã hộ không tồn tại"))</f>
        <v/>
      </c>
      <c r="K1269" s="14"/>
      <c r="L1269" s="14"/>
      <c r="M1269" s="6"/>
      <c r="N1269" s="6"/>
      <c r="O1269" s="6"/>
      <c r="P1269" s="6"/>
      <c r="Q1269" s="6"/>
      <c r="R1269" s="12"/>
    </row>
    <row r="1270" customFormat="false" ht="15" hidden="false" customHeight="true" outlineLevel="0" collapsed="false">
      <c r="A1270" s="6"/>
      <c r="B1270" s="6"/>
      <c r="C1270" s="6"/>
      <c r="D1270" s="6"/>
      <c r="E1270" s="13"/>
      <c r="F1270" s="6"/>
      <c r="G1270" s="11" t="str">
        <f aca="true">IF(F1270="","",YEAR(TODAY())-F1270)</f>
        <v/>
      </c>
      <c r="H1270" s="11" t="str">
        <f aca="false">IF(C1270="","",IF(G1270="","Thiếu thông tin",IF(G1270&lt;6,"Trẻ em",IF(G1270&lt;23,"Học sinh / Sinh viên",IF(G1270&lt;60,"Đang đi làm","Nghỉ hưu")))))</f>
        <v/>
      </c>
      <c r="I1270" s="6"/>
      <c r="J1270" s="11" t="str">
        <f aca="false">IF(B1270="","",IFERROR(INDEX('Hộ gia đình'!$B$2:$B$2000,MATCH(B1270,'Hộ gia đình'!$A$2:$A$2000,0)),"Mã hộ không tồn tại"))</f>
        <v/>
      </c>
      <c r="K1270" s="14"/>
      <c r="L1270" s="14"/>
      <c r="M1270" s="6"/>
      <c r="N1270" s="6"/>
      <c r="O1270" s="6"/>
      <c r="P1270" s="6"/>
      <c r="Q1270" s="6"/>
      <c r="R1270" s="12"/>
    </row>
    <row r="1271" customFormat="false" ht="15" hidden="false" customHeight="true" outlineLevel="0" collapsed="false">
      <c r="A1271" s="6"/>
      <c r="B1271" s="6"/>
      <c r="C1271" s="6"/>
      <c r="D1271" s="6"/>
      <c r="E1271" s="13"/>
      <c r="F1271" s="6"/>
      <c r="G1271" s="11" t="str">
        <f aca="true">IF(F1271="","",YEAR(TODAY())-F1271)</f>
        <v/>
      </c>
      <c r="H1271" s="11" t="str">
        <f aca="false">IF(C1271="","",IF(G1271="","Thiếu thông tin",IF(G1271&lt;6,"Trẻ em",IF(G1271&lt;23,"Học sinh / Sinh viên",IF(G1271&lt;60,"Đang đi làm","Nghỉ hưu")))))</f>
        <v/>
      </c>
      <c r="I1271" s="6"/>
      <c r="J1271" s="11" t="str">
        <f aca="false">IF(B1271="","",IFERROR(INDEX('Hộ gia đình'!$B$2:$B$2000,MATCH(B1271,'Hộ gia đình'!$A$2:$A$2000,0)),"Mã hộ không tồn tại"))</f>
        <v/>
      </c>
      <c r="K1271" s="14"/>
      <c r="L1271" s="14"/>
      <c r="M1271" s="6"/>
      <c r="N1271" s="6"/>
      <c r="O1271" s="6"/>
      <c r="P1271" s="6"/>
      <c r="Q1271" s="6"/>
      <c r="R1271" s="12"/>
    </row>
    <row r="1272" customFormat="false" ht="15" hidden="false" customHeight="true" outlineLevel="0" collapsed="false">
      <c r="A1272" s="6"/>
      <c r="B1272" s="6"/>
      <c r="C1272" s="6"/>
      <c r="D1272" s="6"/>
      <c r="E1272" s="13"/>
      <c r="F1272" s="6"/>
      <c r="G1272" s="11" t="str">
        <f aca="true">IF(F1272="","",YEAR(TODAY())-F1272)</f>
        <v/>
      </c>
      <c r="H1272" s="11" t="str">
        <f aca="false">IF(C1272="","",IF(G1272="","Thiếu thông tin",IF(G1272&lt;6,"Trẻ em",IF(G1272&lt;23,"Học sinh / Sinh viên",IF(G1272&lt;60,"Đang đi làm","Nghỉ hưu")))))</f>
        <v/>
      </c>
      <c r="I1272" s="6"/>
      <c r="J1272" s="11" t="str">
        <f aca="false">IF(B1272="","",IFERROR(INDEX('Hộ gia đình'!$B$2:$B$2000,MATCH(B1272,'Hộ gia đình'!$A$2:$A$2000,0)),"Mã hộ không tồn tại"))</f>
        <v/>
      </c>
      <c r="K1272" s="14"/>
      <c r="L1272" s="14"/>
      <c r="M1272" s="6"/>
      <c r="N1272" s="6"/>
      <c r="O1272" s="6"/>
      <c r="P1272" s="6"/>
      <c r="Q1272" s="6"/>
      <c r="R1272" s="12"/>
    </row>
    <row r="1273" customFormat="false" ht="15" hidden="false" customHeight="true" outlineLevel="0" collapsed="false">
      <c r="A1273" s="6"/>
      <c r="B1273" s="6"/>
      <c r="C1273" s="6"/>
      <c r="D1273" s="6"/>
      <c r="E1273" s="13"/>
      <c r="F1273" s="6"/>
      <c r="G1273" s="11" t="str">
        <f aca="true">IF(F1273="","",YEAR(TODAY())-F1273)</f>
        <v/>
      </c>
      <c r="H1273" s="11" t="str">
        <f aca="false">IF(C1273="","",IF(G1273="","Thiếu thông tin",IF(G1273&lt;6,"Trẻ em",IF(G1273&lt;23,"Học sinh / Sinh viên",IF(G1273&lt;60,"Đang đi làm","Nghỉ hưu")))))</f>
        <v/>
      </c>
      <c r="I1273" s="6"/>
      <c r="J1273" s="11" t="str">
        <f aca="false">IF(B1273="","",IFERROR(INDEX('Hộ gia đình'!$B$2:$B$2000,MATCH(B1273,'Hộ gia đình'!$A$2:$A$2000,0)),"Mã hộ không tồn tại"))</f>
        <v/>
      </c>
      <c r="K1273" s="14"/>
      <c r="L1273" s="14"/>
      <c r="M1273" s="6"/>
      <c r="N1273" s="6"/>
      <c r="O1273" s="6"/>
      <c r="P1273" s="6"/>
      <c r="Q1273" s="6"/>
      <c r="R1273" s="12"/>
    </row>
    <row r="1274" customFormat="false" ht="15" hidden="false" customHeight="true" outlineLevel="0" collapsed="false">
      <c r="A1274" s="6"/>
      <c r="B1274" s="6"/>
      <c r="C1274" s="6"/>
      <c r="D1274" s="6"/>
      <c r="E1274" s="13"/>
      <c r="F1274" s="6"/>
      <c r="G1274" s="11" t="str">
        <f aca="true">IF(F1274="","",YEAR(TODAY())-F1274)</f>
        <v/>
      </c>
      <c r="H1274" s="11" t="str">
        <f aca="false">IF(C1274="","",IF(G1274="","Thiếu thông tin",IF(G1274&lt;6,"Trẻ em",IF(G1274&lt;23,"Học sinh / Sinh viên",IF(G1274&lt;60,"Đang đi làm","Nghỉ hưu")))))</f>
        <v/>
      </c>
      <c r="I1274" s="6"/>
      <c r="J1274" s="11" t="str">
        <f aca="false">IF(B1274="","",IFERROR(INDEX('Hộ gia đình'!$B$2:$B$2000,MATCH(B1274,'Hộ gia đình'!$A$2:$A$2000,0)),"Mã hộ không tồn tại"))</f>
        <v/>
      </c>
      <c r="K1274" s="14"/>
      <c r="L1274" s="14"/>
      <c r="M1274" s="6"/>
      <c r="N1274" s="6"/>
      <c r="O1274" s="6"/>
      <c r="P1274" s="6"/>
      <c r="Q1274" s="6"/>
      <c r="R1274" s="12"/>
    </row>
    <row r="1275" customFormat="false" ht="15" hidden="false" customHeight="true" outlineLevel="0" collapsed="false">
      <c r="A1275" s="6"/>
      <c r="B1275" s="6"/>
      <c r="C1275" s="6"/>
      <c r="D1275" s="6"/>
      <c r="E1275" s="13"/>
      <c r="F1275" s="6"/>
      <c r="G1275" s="11" t="str">
        <f aca="true">IF(F1275="","",YEAR(TODAY())-F1275)</f>
        <v/>
      </c>
      <c r="H1275" s="11" t="str">
        <f aca="false">IF(C1275="","",IF(G1275="","Thiếu thông tin",IF(G1275&lt;6,"Trẻ em",IF(G1275&lt;23,"Học sinh / Sinh viên",IF(G1275&lt;60,"Đang đi làm","Nghỉ hưu")))))</f>
        <v/>
      </c>
      <c r="I1275" s="6"/>
      <c r="J1275" s="11" t="str">
        <f aca="false">IF(B1275="","",IFERROR(INDEX('Hộ gia đình'!$B$2:$B$2000,MATCH(B1275,'Hộ gia đình'!$A$2:$A$2000,0)),"Mã hộ không tồn tại"))</f>
        <v/>
      </c>
      <c r="K1275" s="14"/>
      <c r="L1275" s="14"/>
      <c r="M1275" s="6"/>
      <c r="N1275" s="6"/>
      <c r="O1275" s="6"/>
      <c r="P1275" s="6"/>
      <c r="Q1275" s="6"/>
      <c r="R1275" s="12"/>
    </row>
    <row r="1276" customFormat="false" ht="15" hidden="false" customHeight="true" outlineLevel="0" collapsed="false">
      <c r="A1276" s="6"/>
      <c r="B1276" s="6"/>
      <c r="C1276" s="6"/>
      <c r="D1276" s="6"/>
      <c r="E1276" s="13"/>
      <c r="F1276" s="6"/>
      <c r="G1276" s="11" t="str">
        <f aca="true">IF(F1276="","",YEAR(TODAY())-F1276)</f>
        <v/>
      </c>
      <c r="H1276" s="11" t="str">
        <f aca="false">IF(C1276="","",IF(G1276="","Thiếu thông tin",IF(G1276&lt;6,"Trẻ em",IF(G1276&lt;23,"Học sinh / Sinh viên",IF(G1276&lt;60,"Đang đi làm","Nghỉ hưu")))))</f>
        <v/>
      </c>
      <c r="I1276" s="6"/>
      <c r="J1276" s="11" t="str">
        <f aca="false">IF(B1276="","",IFERROR(INDEX('Hộ gia đình'!$B$2:$B$2000,MATCH(B1276,'Hộ gia đình'!$A$2:$A$2000,0)),"Mã hộ không tồn tại"))</f>
        <v/>
      </c>
      <c r="K1276" s="14"/>
      <c r="L1276" s="14"/>
      <c r="M1276" s="6"/>
      <c r="N1276" s="6"/>
      <c r="O1276" s="6"/>
      <c r="P1276" s="6"/>
      <c r="Q1276" s="6"/>
      <c r="R1276" s="12"/>
    </row>
    <row r="1277" customFormat="false" ht="15" hidden="false" customHeight="true" outlineLevel="0" collapsed="false">
      <c r="A1277" s="6"/>
      <c r="B1277" s="6"/>
      <c r="C1277" s="6"/>
      <c r="D1277" s="6"/>
      <c r="E1277" s="13"/>
      <c r="F1277" s="6"/>
      <c r="G1277" s="11" t="str">
        <f aca="true">IF(F1277="","",YEAR(TODAY())-F1277)</f>
        <v/>
      </c>
      <c r="H1277" s="11" t="str">
        <f aca="false">IF(C1277="","",IF(G1277="","Thiếu thông tin",IF(G1277&lt;6,"Trẻ em",IF(G1277&lt;23,"Học sinh / Sinh viên",IF(G1277&lt;60,"Đang đi làm","Nghỉ hưu")))))</f>
        <v/>
      </c>
      <c r="I1277" s="6"/>
      <c r="J1277" s="11" t="str">
        <f aca="false">IF(B1277="","",IFERROR(INDEX('Hộ gia đình'!$B$2:$B$2000,MATCH(B1277,'Hộ gia đình'!$A$2:$A$2000,0)),"Mã hộ không tồn tại"))</f>
        <v/>
      </c>
      <c r="K1277" s="14"/>
      <c r="L1277" s="14"/>
      <c r="M1277" s="6"/>
      <c r="N1277" s="6"/>
      <c r="O1277" s="6"/>
      <c r="P1277" s="6"/>
      <c r="Q1277" s="6"/>
      <c r="R1277" s="12"/>
    </row>
    <row r="1278" customFormat="false" ht="15" hidden="false" customHeight="true" outlineLevel="0" collapsed="false">
      <c r="A1278" s="6"/>
      <c r="B1278" s="6"/>
      <c r="C1278" s="6"/>
      <c r="D1278" s="6"/>
      <c r="E1278" s="13"/>
      <c r="F1278" s="6"/>
      <c r="G1278" s="11" t="str">
        <f aca="true">IF(F1278="","",YEAR(TODAY())-F1278)</f>
        <v/>
      </c>
      <c r="H1278" s="11" t="str">
        <f aca="false">IF(C1278="","",IF(G1278="","Thiếu thông tin",IF(G1278&lt;6,"Trẻ em",IF(G1278&lt;23,"Học sinh / Sinh viên",IF(G1278&lt;60,"Đang đi làm","Nghỉ hưu")))))</f>
        <v/>
      </c>
      <c r="I1278" s="6"/>
      <c r="J1278" s="11" t="str">
        <f aca="false">IF(B1278="","",IFERROR(INDEX('Hộ gia đình'!$B$2:$B$2000,MATCH(B1278,'Hộ gia đình'!$A$2:$A$2000,0)),"Mã hộ không tồn tại"))</f>
        <v/>
      </c>
      <c r="K1278" s="14"/>
      <c r="L1278" s="14"/>
      <c r="M1278" s="6"/>
      <c r="N1278" s="6"/>
      <c r="O1278" s="6"/>
      <c r="P1278" s="6"/>
      <c r="Q1278" s="6"/>
      <c r="R1278" s="12"/>
    </row>
    <row r="1279" customFormat="false" ht="15" hidden="false" customHeight="true" outlineLevel="0" collapsed="false">
      <c r="A1279" s="6"/>
      <c r="B1279" s="6"/>
      <c r="C1279" s="6"/>
      <c r="D1279" s="6"/>
      <c r="E1279" s="13"/>
      <c r="F1279" s="6"/>
      <c r="G1279" s="11" t="str">
        <f aca="true">IF(F1279="","",YEAR(TODAY())-F1279)</f>
        <v/>
      </c>
      <c r="H1279" s="11" t="str">
        <f aca="false">IF(C1279="","",IF(G1279="","Thiếu thông tin",IF(G1279&lt;6,"Trẻ em",IF(G1279&lt;23,"Học sinh / Sinh viên",IF(G1279&lt;60,"Đang đi làm","Nghỉ hưu")))))</f>
        <v/>
      </c>
      <c r="I1279" s="6"/>
      <c r="J1279" s="11" t="str">
        <f aca="false">IF(B1279="","",IFERROR(INDEX('Hộ gia đình'!$B$2:$B$2000,MATCH(B1279,'Hộ gia đình'!$A$2:$A$2000,0)),"Mã hộ không tồn tại"))</f>
        <v/>
      </c>
      <c r="K1279" s="14"/>
      <c r="L1279" s="14"/>
      <c r="M1279" s="6"/>
      <c r="N1279" s="6"/>
      <c r="O1279" s="6"/>
      <c r="P1279" s="6"/>
      <c r="Q1279" s="6"/>
      <c r="R1279" s="12"/>
    </row>
    <row r="1280" customFormat="false" ht="15" hidden="false" customHeight="true" outlineLevel="0" collapsed="false">
      <c r="A1280" s="6"/>
      <c r="B1280" s="6"/>
      <c r="C1280" s="6"/>
      <c r="D1280" s="6"/>
      <c r="E1280" s="13"/>
      <c r="F1280" s="6"/>
      <c r="G1280" s="11" t="str">
        <f aca="true">IF(F1280="","",YEAR(TODAY())-F1280)</f>
        <v/>
      </c>
      <c r="H1280" s="11" t="str">
        <f aca="false">IF(C1280="","",IF(G1280="","Thiếu thông tin",IF(G1280&lt;6,"Trẻ em",IF(G1280&lt;23,"Học sinh / Sinh viên",IF(G1280&lt;60,"Đang đi làm","Nghỉ hưu")))))</f>
        <v/>
      </c>
      <c r="I1280" s="6"/>
      <c r="J1280" s="11" t="str">
        <f aca="false">IF(B1280="","",IFERROR(INDEX('Hộ gia đình'!$B$2:$B$2000,MATCH(B1280,'Hộ gia đình'!$A$2:$A$2000,0)),"Mã hộ không tồn tại"))</f>
        <v/>
      </c>
      <c r="K1280" s="14"/>
      <c r="L1280" s="14"/>
      <c r="M1280" s="6"/>
      <c r="N1280" s="6"/>
      <c r="O1280" s="6"/>
      <c r="P1280" s="6"/>
      <c r="Q1280" s="6"/>
      <c r="R1280" s="12"/>
    </row>
    <row r="1281" customFormat="false" ht="15" hidden="false" customHeight="true" outlineLevel="0" collapsed="false">
      <c r="A1281" s="6"/>
      <c r="B1281" s="6"/>
      <c r="C1281" s="6"/>
      <c r="D1281" s="6"/>
      <c r="E1281" s="13"/>
      <c r="F1281" s="6"/>
      <c r="G1281" s="11" t="str">
        <f aca="true">IF(F1281="","",YEAR(TODAY())-F1281)</f>
        <v/>
      </c>
      <c r="H1281" s="11" t="str">
        <f aca="false">IF(C1281="","",IF(G1281="","Thiếu thông tin",IF(G1281&lt;6,"Trẻ em",IF(G1281&lt;23,"Học sinh / Sinh viên",IF(G1281&lt;60,"Đang đi làm","Nghỉ hưu")))))</f>
        <v/>
      </c>
      <c r="I1281" s="6"/>
      <c r="J1281" s="11" t="str">
        <f aca="false">IF(B1281="","",IFERROR(INDEX('Hộ gia đình'!$B$2:$B$2000,MATCH(B1281,'Hộ gia đình'!$A$2:$A$2000,0)),"Mã hộ không tồn tại"))</f>
        <v/>
      </c>
      <c r="K1281" s="14"/>
      <c r="L1281" s="14"/>
      <c r="M1281" s="6"/>
      <c r="N1281" s="6"/>
      <c r="O1281" s="6"/>
      <c r="P1281" s="6"/>
      <c r="Q1281" s="6"/>
      <c r="R1281" s="12"/>
    </row>
    <row r="1282" customFormat="false" ht="15" hidden="false" customHeight="true" outlineLevel="0" collapsed="false">
      <c r="A1282" s="6"/>
      <c r="B1282" s="6"/>
      <c r="C1282" s="6"/>
      <c r="D1282" s="6"/>
      <c r="E1282" s="13"/>
      <c r="F1282" s="6"/>
      <c r="G1282" s="11" t="str">
        <f aca="true">IF(F1282="","",YEAR(TODAY())-F1282)</f>
        <v/>
      </c>
      <c r="H1282" s="11" t="str">
        <f aca="false">IF(C1282="","",IF(G1282="","Thiếu thông tin",IF(G1282&lt;6,"Trẻ em",IF(G1282&lt;23,"Học sinh / Sinh viên",IF(G1282&lt;60,"Đang đi làm","Nghỉ hưu")))))</f>
        <v/>
      </c>
      <c r="I1282" s="6"/>
      <c r="J1282" s="11" t="str">
        <f aca="false">IF(B1282="","",IFERROR(INDEX('Hộ gia đình'!$B$2:$B$2000,MATCH(B1282,'Hộ gia đình'!$A$2:$A$2000,0)),"Mã hộ không tồn tại"))</f>
        <v/>
      </c>
      <c r="K1282" s="14"/>
      <c r="L1282" s="14"/>
      <c r="M1282" s="6"/>
      <c r="N1282" s="6"/>
      <c r="O1282" s="6"/>
      <c r="P1282" s="6"/>
      <c r="Q1282" s="6"/>
      <c r="R1282" s="12"/>
    </row>
    <row r="1283" customFormat="false" ht="15" hidden="false" customHeight="true" outlineLevel="0" collapsed="false">
      <c r="A1283" s="6"/>
      <c r="B1283" s="6"/>
      <c r="C1283" s="6"/>
      <c r="D1283" s="6"/>
      <c r="E1283" s="13"/>
      <c r="F1283" s="6"/>
      <c r="G1283" s="11" t="str">
        <f aca="true">IF(F1283="","",YEAR(TODAY())-F1283)</f>
        <v/>
      </c>
      <c r="H1283" s="11" t="str">
        <f aca="false">IF(C1283="","",IF(G1283="","Thiếu thông tin",IF(G1283&lt;6,"Trẻ em",IF(G1283&lt;23,"Học sinh / Sinh viên",IF(G1283&lt;60,"Đang đi làm","Nghỉ hưu")))))</f>
        <v/>
      </c>
      <c r="I1283" s="6"/>
      <c r="J1283" s="11" t="str">
        <f aca="false">IF(B1283="","",IFERROR(INDEX('Hộ gia đình'!$B$2:$B$2000,MATCH(B1283,'Hộ gia đình'!$A$2:$A$2000,0)),"Mã hộ không tồn tại"))</f>
        <v/>
      </c>
      <c r="K1283" s="14"/>
      <c r="L1283" s="14"/>
      <c r="M1283" s="6"/>
      <c r="N1283" s="6"/>
      <c r="O1283" s="6"/>
      <c r="P1283" s="6"/>
      <c r="Q1283" s="6"/>
      <c r="R1283" s="12"/>
    </row>
    <row r="1284" customFormat="false" ht="15" hidden="false" customHeight="true" outlineLevel="0" collapsed="false">
      <c r="A1284" s="6"/>
      <c r="B1284" s="6"/>
      <c r="C1284" s="6"/>
      <c r="D1284" s="6"/>
      <c r="E1284" s="13"/>
      <c r="F1284" s="6"/>
      <c r="G1284" s="11" t="str">
        <f aca="true">IF(F1284="","",YEAR(TODAY())-F1284)</f>
        <v/>
      </c>
      <c r="H1284" s="11" t="str">
        <f aca="false">IF(C1284="","",IF(G1284="","Thiếu thông tin",IF(G1284&lt;6,"Trẻ em",IF(G1284&lt;23,"Học sinh / Sinh viên",IF(G1284&lt;60,"Đang đi làm","Nghỉ hưu")))))</f>
        <v/>
      </c>
      <c r="I1284" s="6"/>
      <c r="J1284" s="11" t="str">
        <f aca="false">IF(B1284="","",IFERROR(INDEX('Hộ gia đình'!$B$2:$B$2000,MATCH(B1284,'Hộ gia đình'!$A$2:$A$2000,0)),"Mã hộ không tồn tại"))</f>
        <v/>
      </c>
      <c r="K1284" s="14"/>
      <c r="L1284" s="14"/>
      <c r="M1284" s="6"/>
      <c r="N1284" s="6"/>
      <c r="O1284" s="6"/>
      <c r="P1284" s="6"/>
      <c r="Q1284" s="6"/>
      <c r="R1284" s="12"/>
    </row>
    <row r="1285" customFormat="false" ht="15" hidden="false" customHeight="true" outlineLevel="0" collapsed="false">
      <c r="A1285" s="6"/>
      <c r="B1285" s="6"/>
      <c r="C1285" s="6"/>
      <c r="D1285" s="6"/>
      <c r="E1285" s="13"/>
      <c r="F1285" s="6"/>
      <c r="G1285" s="11" t="str">
        <f aca="true">IF(F1285="","",YEAR(TODAY())-F1285)</f>
        <v/>
      </c>
      <c r="H1285" s="11" t="str">
        <f aca="false">IF(C1285="","",IF(G1285="","Thiếu thông tin",IF(G1285&lt;6,"Trẻ em",IF(G1285&lt;23,"Học sinh / Sinh viên",IF(G1285&lt;60,"Đang đi làm","Nghỉ hưu")))))</f>
        <v/>
      </c>
      <c r="I1285" s="6"/>
      <c r="J1285" s="11" t="str">
        <f aca="false">IF(B1285="","",IFERROR(INDEX('Hộ gia đình'!$B$2:$B$2000,MATCH(B1285,'Hộ gia đình'!$A$2:$A$2000,0)),"Mã hộ không tồn tại"))</f>
        <v/>
      </c>
      <c r="K1285" s="14"/>
      <c r="L1285" s="14"/>
      <c r="M1285" s="6"/>
      <c r="N1285" s="6"/>
      <c r="O1285" s="6"/>
      <c r="P1285" s="6"/>
      <c r="Q1285" s="6"/>
      <c r="R1285" s="12"/>
    </row>
    <row r="1286" customFormat="false" ht="15" hidden="false" customHeight="true" outlineLevel="0" collapsed="false">
      <c r="A1286" s="6"/>
      <c r="B1286" s="6"/>
      <c r="C1286" s="6"/>
      <c r="D1286" s="6"/>
      <c r="E1286" s="13"/>
      <c r="F1286" s="6"/>
      <c r="G1286" s="11" t="str">
        <f aca="true">IF(F1286="","",YEAR(TODAY())-F1286)</f>
        <v/>
      </c>
      <c r="H1286" s="11" t="str">
        <f aca="false">IF(C1286="","",IF(G1286="","Thiếu thông tin",IF(G1286&lt;6,"Trẻ em",IF(G1286&lt;23,"Học sinh / Sinh viên",IF(G1286&lt;60,"Đang đi làm","Nghỉ hưu")))))</f>
        <v/>
      </c>
      <c r="I1286" s="6"/>
      <c r="J1286" s="11" t="str">
        <f aca="false">IF(B1286="","",IFERROR(INDEX('Hộ gia đình'!$B$2:$B$2000,MATCH(B1286,'Hộ gia đình'!$A$2:$A$2000,0)),"Mã hộ không tồn tại"))</f>
        <v/>
      </c>
      <c r="K1286" s="14"/>
      <c r="L1286" s="14"/>
      <c r="M1286" s="6"/>
      <c r="N1286" s="6"/>
      <c r="O1286" s="6"/>
      <c r="P1286" s="6"/>
      <c r="Q1286" s="6"/>
      <c r="R1286" s="12"/>
    </row>
    <row r="1287" customFormat="false" ht="15" hidden="false" customHeight="true" outlineLevel="0" collapsed="false">
      <c r="A1287" s="6"/>
      <c r="B1287" s="6"/>
      <c r="C1287" s="6"/>
      <c r="D1287" s="6"/>
      <c r="E1287" s="13"/>
      <c r="F1287" s="6"/>
      <c r="G1287" s="11" t="str">
        <f aca="true">IF(F1287="","",YEAR(TODAY())-F1287)</f>
        <v/>
      </c>
      <c r="H1287" s="11" t="str">
        <f aca="false">IF(C1287="","",IF(G1287="","Thiếu thông tin",IF(G1287&lt;6,"Trẻ em",IF(G1287&lt;23,"Học sinh / Sinh viên",IF(G1287&lt;60,"Đang đi làm","Nghỉ hưu")))))</f>
        <v/>
      </c>
      <c r="I1287" s="6"/>
      <c r="J1287" s="11" t="str">
        <f aca="false">IF(B1287="","",IFERROR(INDEX('Hộ gia đình'!$B$2:$B$2000,MATCH(B1287,'Hộ gia đình'!$A$2:$A$2000,0)),"Mã hộ không tồn tại"))</f>
        <v/>
      </c>
      <c r="K1287" s="14"/>
      <c r="L1287" s="14"/>
      <c r="M1287" s="6"/>
      <c r="N1287" s="6"/>
      <c r="O1287" s="6"/>
      <c r="P1287" s="6"/>
      <c r="Q1287" s="6"/>
      <c r="R1287" s="12"/>
    </row>
    <row r="1288" customFormat="false" ht="15" hidden="false" customHeight="true" outlineLevel="0" collapsed="false">
      <c r="A1288" s="6"/>
      <c r="B1288" s="6"/>
      <c r="C1288" s="6"/>
      <c r="D1288" s="6"/>
      <c r="E1288" s="13"/>
      <c r="F1288" s="6"/>
      <c r="G1288" s="11" t="str">
        <f aca="true">IF(F1288="","",YEAR(TODAY())-F1288)</f>
        <v/>
      </c>
      <c r="H1288" s="11" t="str">
        <f aca="false">IF(C1288="","",IF(G1288="","Thiếu thông tin",IF(G1288&lt;6,"Trẻ em",IF(G1288&lt;23,"Học sinh / Sinh viên",IF(G1288&lt;60,"Đang đi làm","Nghỉ hưu")))))</f>
        <v/>
      </c>
      <c r="I1288" s="6"/>
      <c r="J1288" s="11" t="str">
        <f aca="false">IF(B1288="","",IFERROR(INDEX('Hộ gia đình'!$B$2:$B$2000,MATCH(B1288,'Hộ gia đình'!$A$2:$A$2000,0)),"Mã hộ không tồn tại"))</f>
        <v/>
      </c>
      <c r="K1288" s="14"/>
      <c r="L1288" s="14"/>
      <c r="M1288" s="6"/>
      <c r="N1288" s="6"/>
      <c r="O1288" s="6"/>
      <c r="P1288" s="6"/>
      <c r="Q1288" s="6"/>
      <c r="R1288" s="12"/>
    </row>
    <row r="1289" customFormat="false" ht="15" hidden="false" customHeight="true" outlineLevel="0" collapsed="false">
      <c r="A1289" s="6"/>
      <c r="B1289" s="6"/>
      <c r="C1289" s="6"/>
      <c r="D1289" s="6"/>
      <c r="E1289" s="13"/>
      <c r="F1289" s="6"/>
      <c r="G1289" s="11" t="str">
        <f aca="true">IF(F1289="","",YEAR(TODAY())-F1289)</f>
        <v/>
      </c>
      <c r="H1289" s="11" t="str">
        <f aca="false">IF(C1289="","",IF(G1289="","Thiếu thông tin",IF(G1289&lt;6,"Trẻ em",IF(G1289&lt;23,"Học sinh / Sinh viên",IF(G1289&lt;60,"Đang đi làm","Nghỉ hưu")))))</f>
        <v/>
      </c>
      <c r="I1289" s="6"/>
      <c r="J1289" s="11" t="str">
        <f aca="false">IF(B1289="","",IFERROR(INDEX('Hộ gia đình'!$B$2:$B$2000,MATCH(B1289,'Hộ gia đình'!$A$2:$A$2000,0)),"Mã hộ không tồn tại"))</f>
        <v/>
      </c>
      <c r="K1289" s="14"/>
      <c r="L1289" s="14"/>
      <c r="M1289" s="6"/>
      <c r="N1289" s="6"/>
      <c r="O1289" s="6"/>
      <c r="P1289" s="6"/>
      <c r="Q1289" s="6"/>
      <c r="R1289" s="12"/>
    </row>
    <row r="1290" customFormat="false" ht="15" hidden="false" customHeight="true" outlineLevel="0" collapsed="false">
      <c r="A1290" s="6"/>
      <c r="B1290" s="6"/>
      <c r="C1290" s="6"/>
      <c r="D1290" s="6"/>
      <c r="E1290" s="13"/>
      <c r="F1290" s="6"/>
      <c r="G1290" s="11" t="str">
        <f aca="true">IF(F1290="","",YEAR(TODAY())-F1290)</f>
        <v/>
      </c>
      <c r="H1290" s="11" t="str">
        <f aca="false">IF(C1290="","",IF(G1290="","Thiếu thông tin",IF(G1290&lt;6,"Trẻ em",IF(G1290&lt;23,"Học sinh / Sinh viên",IF(G1290&lt;60,"Đang đi làm","Nghỉ hưu")))))</f>
        <v/>
      </c>
      <c r="I1290" s="6"/>
      <c r="J1290" s="11" t="str">
        <f aca="false">IF(B1290="","",IFERROR(INDEX('Hộ gia đình'!$B$2:$B$2000,MATCH(B1290,'Hộ gia đình'!$A$2:$A$2000,0)),"Mã hộ không tồn tại"))</f>
        <v/>
      </c>
      <c r="K1290" s="14"/>
      <c r="L1290" s="14"/>
      <c r="M1290" s="6"/>
      <c r="N1290" s="6"/>
      <c r="O1290" s="6"/>
      <c r="P1290" s="6"/>
      <c r="Q1290" s="6"/>
      <c r="R1290" s="12"/>
    </row>
    <row r="1291" customFormat="false" ht="15" hidden="false" customHeight="true" outlineLevel="0" collapsed="false">
      <c r="A1291" s="6"/>
      <c r="B1291" s="6"/>
      <c r="C1291" s="6"/>
      <c r="D1291" s="6"/>
      <c r="E1291" s="13"/>
      <c r="F1291" s="6"/>
      <c r="G1291" s="11" t="str">
        <f aca="true">IF(F1291="","",YEAR(TODAY())-F1291)</f>
        <v/>
      </c>
      <c r="H1291" s="11" t="str">
        <f aca="false">IF(C1291="","",IF(G1291="","Thiếu thông tin",IF(G1291&lt;6,"Trẻ em",IF(G1291&lt;23,"Học sinh / Sinh viên",IF(G1291&lt;60,"Đang đi làm","Nghỉ hưu")))))</f>
        <v/>
      </c>
      <c r="I1291" s="6"/>
      <c r="J1291" s="11" t="str">
        <f aca="false">IF(B1291="","",IFERROR(INDEX('Hộ gia đình'!$B$2:$B$2000,MATCH(B1291,'Hộ gia đình'!$A$2:$A$2000,0)),"Mã hộ không tồn tại"))</f>
        <v/>
      </c>
      <c r="K1291" s="14"/>
      <c r="L1291" s="14"/>
      <c r="M1291" s="6"/>
      <c r="N1291" s="6"/>
      <c r="O1291" s="6"/>
      <c r="P1291" s="6"/>
      <c r="Q1291" s="6"/>
      <c r="R1291" s="12"/>
    </row>
    <row r="1292" customFormat="false" ht="15" hidden="false" customHeight="true" outlineLevel="0" collapsed="false">
      <c r="A1292" s="6"/>
      <c r="B1292" s="6"/>
      <c r="C1292" s="6"/>
      <c r="D1292" s="6"/>
      <c r="E1292" s="13"/>
      <c r="F1292" s="6"/>
      <c r="G1292" s="11" t="str">
        <f aca="true">IF(F1292="","",YEAR(TODAY())-F1292)</f>
        <v/>
      </c>
      <c r="H1292" s="11" t="str">
        <f aca="false">IF(C1292="","",IF(G1292="","Thiếu thông tin",IF(G1292&lt;6,"Trẻ em",IF(G1292&lt;23,"Học sinh / Sinh viên",IF(G1292&lt;60,"Đang đi làm","Nghỉ hưu")))))</f>
        <v/>
      </c>
      <c r="I1292" s="6"/>
      <c r="J1292" s="11" t="str">
        <f aca="false">IF(B1292="","",IFERROR(INDEX('Hộ gia đình'!$B$2:$B$2000,MATCH(B1292,'Hộ gia đình'!$A$2:$A$2000,0)),"Mã hộ không tồn tại"))</f>
        <v/>
      </c>
      <c r="K1292" s="14"/>
      <c r="L1292" s="14"/>
      <c r="M1292" s="6"/>
      <c r="N1292" s="6"/>
      <c r="O1292" s="6"/>
      <c r="P1292" s="6"/>
      <c r="Q1292" s="6"/>
      <c r="R1292" s="12"/>
    </row>
    <row r="1293" customFormat="false" ht="15" hidden="false" customHeight="true" outlineLevel="0" collapsed="false">
      <c r="A1293" s="6"/>
      <c r="B1293" s="6"/>
      <c r="C1293" s="6"/>
      <c r="D1293" s="6"/>
      <c r="E1293" s="13"/>
      <c r="F1293" s="6"/>
      <c r="G1293" s="11" t="str">
        <f aca="true">IF(F1293="","",YEAR(TODAY())-F1293)</f>
        <v/>
      </c>
      <c r="H1293" s="11" t="str">
        <f aca="false">IF(C1293="","",IF(G1293="","Thiếu thông tin",IF(G1293&lt;6,"Trẻ em",IF(G1293&lt;23,"Học sinh / Sinh viên",IF(G1293&lt;60,"Đang đi làm","Nghỉ hưu")))))</f>
        <v/>
      </c>
      <c r="I1293" s="6"/>
      <c r="J1293" s="11" t="str">
        <f aca="false">IF(B1293="","",IFERROR(INDEX('Hộ gia đình'!$B$2:$B$2000,MATCH(B1293,'Hộ gia đình'!$A$2:$A$2000,0)),"Mã hộ không tồn tại"))</f>
        <v/>
      </c>
      <c r="K1293" s="14"/>
      <c r="L1293" s="14"/>
      <c r="M1293" s="6"/>
      <c r="N1293" s="6"/>
      <c r="O1293" s="6"/>
      <c r="P1293" s="6"/>
      <c r="Q1293" s="6"/>
      <c r="R1293" s="12"/>
    </row>
    <row r="1294" customFormat="false" ht="15" hidden="false" customHeight="true" outlineLevel="0" collapsed="false">
      <c r="A1294" s="6"/>
      <c r="B1294" s="6"/>
      <c r="C1294" s="6"/>
      <c r="D1294" s="6"/>
      <c r="E1294" s="13"/>
      <c r="F1294" s="6"/>
      <c r="G1294" s="11" t="str">
        <f aca="true">IF(F1294="","",YEAR(TODAY())-F1294)</f>
        <v/>
      </c>
      <c r="H1294" s="11" t="str">
        <f aca="false">IF(C1294="","",IF(G1294="","Thiếu thông tin",IF(G1294&lt;6,"Trẻ em",IF(G1294&lt;23,"Học sinh / Sinh viên",IF(G1294&lt;60,"Đang đi làm","Nghỉ hưu")))))</f>
        <v/>
      </c>
      <c r="I1294" s="6"/>
      <c r="J1294" s="11" t="str">
        <f aca="false">IF(B1294="","",IFERROR(INDEX('Hộ gia đình'!$B$2:$B$2000,MATCH(B1294,'Hộ gia đình'!$A$2:$A$2000,0)),"Mã hộ không tồn tại"))</f>
        <v/>
      </c>
      <c r="K1294" s="14"/>
      <c r="L1294" s="14"/>
      <c r="M1294" s="6"/>
      <c r="N1294" s="6"/>
      <c r="O1294" s="6"/>
      <c r="P1294" s="6"/>
      <c r="Q1294" s="6"/>
      <c r="R1294" s="12"/>
    </row>
    <row r="1295" customFormat="false" ht="15" hidden="false" customHeight="true" outlineLevel="0" collapsed="false">
      <c r="A1295" s="6"/>
      <c r="B1295" s="6"/>
      <c r="C1295" s="6"/>
      <c r="D1295" s="6"/>
      <c r="E1295" s="13"/>
      <c r="F1295" s="6"/>
      <c r="G1295" s="11" t="str">
        <f aca="true">IF(F1295="","",YEAR(TODAY())-F1295)</f>
        <v/>
      </c>
      <c r="H1295" s="11" t="str">
        <f aca="false">IF(C1295="","",IF(G1295="","Thiếu thông tin",IF(G1295&lt;6,"Trẻ em",IF(G1295&lt;23,"Học sinh / Sinh viên",IF(G1295&lt;60,"Đang đi làm","Nghỉ hưu")))))</f>
        <v/>
      </c>
      <c r="I1295" s="6"/>
      <c r="J1295" s="11" t="str">
        <f aca="false">IF(B1295="","",IFERROR(INDEX('Hộ gia đình'!$B$2:$B$2000,MATCH(B1295,'Hộ gia đình'!$A$2:$A$2000,0)),"Mã hộ không tồn tại"))</f>
        <v/>
      </c>
      <c r="K1295" s="14"/>
      <c r="L1295" s="14"/>
      <c r="M1295" s="6"/>
      <c r="N1295" s="6"/>
      <c r="O1295" s="6"/>
      <c r="P1295" s="6"/>
      <c r="Q1295" s="6"/>
      <c r="R1295" s="12"/>
    </row>
    <row r="1296" customFormat="false" ht="15" hidden="false" customHeight="true" outlineLevel="0" collapsed="false">
      <c r="A1296" s="6"/>
      <c r="B1296" s="6"/>
      <c r="C1296" s="6"/>
      <c r="D1296" s="6"/>
      <c r="E1296" s="13"/>
      <c r="F1296" s="6"/>
      <c r="G1296" s="11" t="str">
        <f aca="true">IF(F1296="","",YEAR(TODAY())-F1296)</f>
        <v/>
      </c>
      <c r="H1296" s="11" t="str">
        <f aca="false">IF(C1296="","",IF(G1296="","Thiếu thông tin",IF(G1296&lt;6,"Trẻ em",IF(G1296&lt;23,"Học sinh / Sinh viên",IF(G1296&lt;60,"Đang đi làm","Nghỉ hưu")))))</f>
        <v/>
      </c>
      <c r="I1296" s="6"/>
      <c r="J1296" s="11" t="str">
        <f aca="false">IF(B1296="","",IFERROR(INDEX('Hộ gia đình'!$B$2:$B$2000,MATCH(B1296,'Hộ gia đình'!$A$2:$A$2000,0)),"Mã hộ không tồn tại"))</f>
        <v/>
      </c>
      <c r="K1296" s="14"/>
      <c r="L1296" s="14"/>
      <c r="M1296" s="6"/>
      <c r="N1296" s="6"/>
      <c r="O1296" s="6"/>
      <c r="P1296" s="6"/>
      <c r="Q1296" s="6"/>
      <c r="R1296" s="12"/>
    </row>
    <row r="1297" customFormat="false" ht="15" hidden="false" customHeight="true" outlineLevel="0" collapsed="false">
      <c r="A1297" s="6"/>
      <c r="B1297" s="6"/>
      <c r="C1297" s="6"/>
      <c r="D1297" s="6"/>
      <c r="E1297" s="13"/>
      <c r="F1297" s="6"/>
      <c r="G1297" s="11" t="str">
        <f aca="true">IF(F1297="","",YEAR(TODAY())-F1297)</f>
        <v/>
      </c>
      <c r="H1297" s="11" t="str">
        <f aca="false">IF(C1297="","",IF(G1297="","Thiếu thông tin",IF(G1297&lt;6,"Trẻ em",IF(G1297&lt;23,"Học sinh / Sinh viên",IF(G1297&lt;60,"Đang đi làm","Nghỉ hưu")))))</f>
        <v/>
      </c>
      <c r="I1297" s="6"/>
      <c r="J1297" s="11" t="str">
        <f aca="false">IF(B1297="","",IFERROR(INDEX('Hộ gia đình'!$B$2:$B$2000,MATCH(B1297,'Hộ gia đình'!$A$2:$A$2000,0)),"Mã hộ không tồn tại"))</f>
        <v/>
      </c>
      <c r="K1297" s="14"/>
      <c r="L1297" s="14"/>
      <c r="M1297" s="6"/>
      <c r="N1297" s="6"/>
      <c r="O1297" s="6"/>
      <c r="P1297" s="6"/>
      <c r="Q1297" s="6"/>
      <c r="R1297" s="12"/>
    </row>
    <row r="1298" customFormat="false" ht="15" hidden="false" customHeight="true" outlineLevel="0" collapsed="false">
      <c r="A1298" s="6"/>
      <c r="B1298" s="6"/>
      <c r="C1298" s="6"/>
      <c r="D1298" s="6"/>
      <c r="E1298" s="13"/>
      <c r="F1298" s="6"/>
      <c r="G1298" s="11" t="str">
        <f aca="true">IF(F1298="","",YEAR(TODAY())-F1298)</f>
        <v/>
      </c>
      <c r="H1298" s="11" t="str">
        <f aca="false">IF(C1298="","",IF(G1298="","Thiếu thông tin",IF(G1298&lt;6,"Trẻ em",IF(G1298&lt;23,"Học sinh / Sinh viên",IF(G1298&lt;60,"Đang đi làm","Nghỉ hưu")))))</f>
        <v/>
      </c>
      <c r="I1298" s="6"/>
      <c r="J1298" s="11" t="str">
        <f aca="false">IF(B1298="","",IFERROR(INDEX('Hộ gia đình'!$B$2:$B$2000,MATCH(B1298,'Hộ gia đình'!$A$2:$A$2000,0)),"Mã hộ không tồn tại"))</f>
        <v/>
      </c>
      <c r="K1298" s="14"/>
      <c r="L1298" s="14"/>
      <c r="M1298" s="6"/>
      <c r="N1298" s="6"/>
      <c r="O1298" s="6"/>
      <c r="P1298" s="6"/>
      <c r="Q1298" s="6"/>
      <c r="R1298" s="12"/>
    </row>
    <row r="1299" customFormat="false" ht="15" hidden="false" customHeight="true" outlineLevel="0" collapsed="false">
      <c r="A1299" s="6"/>
      <c r="B1299" s="6"/>
      <c r="C1299" s="6"/>
      <c r="D1299" s="6"/>
      <c r="E1299" s="13"/>
      <c r="F1299" s="6"/>
      <c r="G1299" s="11" t="str">
        <f aca="true">IF(F1299="","",YEAR(TODAY())-F1299)</f>
        <v/>
      </c>
      <c r="H1299" s="11" t="str">
        <f aca="false">IF(C1299="","",IF(G1299="","Thiếu thông tin",IF(G1299&lt;6,"Trẻ em",IF(G1299&lt;23,"Học sinh / Sinh viên",IF(G1299&lt;60,"Đang đi làm","Nghỉ hưu")))))</f>
        <v/>
      </c>
      <c r="I1299" s="6"/>
      <c r="J1299" s="11" t="str">
        <f aca="false">IF(B1299="","",IFERROR(INDEX('Hộ gia đình'!$B$2:$B$2000,MATCH(B1299,'Hộ gia đình'!$A$2:$A$2000,0)),"Mã hộ không tồn tại"))</f>
        <v/>
      </c>
      <c r="K1299" s="14"/>
      <c r="L1299" s="14"/>
      <c r="M1299" s="6"/>
      <c r="N1299" s="6"/>
      <c r="O1299" s="6"/>
      <c r="P1299" s="6"/>
      <c r="Q1299" s="6"/>
      <c r="R1299" s="12"/>
    </row>
    <row r="1300" customFormat="false" ht="15" hidden="false" customHeight="true" outlineLevel="0" collapsed="false">
      <c r="A1300" s="6"/>
      <c r="B1300" s="6"/>
      <c r="C1300" s="6"/>
      <c r="D1300" s="6"/>
      <c r="E1300" s="13"/>
      <c r="F1300" s="6"/>
      <c r="G1300" s="11" t="str">
        <f aca="true">IF(F1300="","",YEAR(TODAY())-F1300)</f>
        <v/>
      </c>
      <c r="H1300" s="11" t="str">
        <f aca="false">IF(C1300="","",IF(G1300="","Thiếu thông tin",IF(G1300&lt;6,"Trẻ em",IF(G1300&lt;23,"Học sinh / Sinh viên",IF(G1300&lt;60,"Đang đi làm","Nghỉ hưu")))))</f>
        <v/>
      </c>
      <c r="I1300" s="6"/>
      <c r="J1300" s="11" t="str">
        <f aca="false">IF(B1300="","",IFERROR(INDEX('Hộ gia đình'!$B$2:$B$2000,MATCH(B1300,'Hộ gia đình'!$A$2:$A$2000,0)),"Mã hộ không tồn tại"))</f>
        <v/>
      </c>
      <c r="K1300" s="14"/>
      <c r="L1300" s="14"/>
      <c r="M1300" s="6"/>
      <c r="N1300" s="6"/>
      <c r="O1300" s="6"/>
      <c r="P1300" s="6"/>
      <c r="Q1300" s="6"/>
      <c r="R1300" s="12"/>
    </row>
    <row r="1301" customFormat="false" ht="15" hidden="false" customHeight="true" outlineLevel="0" collapsed="false">
      <c r="A1301" s="6"/>
      <c r="B1301" s="6"/>
      <c r="C1301" s="6"/>
      <c r="D1301" s="6"/>
      <c r="E1301" s="13"/>
      <c r="F1301" s="6"/>
      <c r="G1301" s="11" t="str">
        <f aca="true">IF(F1301="","",YEAR(TODAY())-F1301)</f>
        <v/>
      </c>
      <c r="H1301" s="11" t="str">
        <f aca="false">IF(C1301="","",IF(G1301="","Thiếu thông tin",IF(G1301&lt;6,"Trẻ em",IF(G1301&lt;23,"Học sinh / Sinh viên",IF(G1301&lt;60,"Đang đi làm","Nghỉ hưu")))))</f>
        <v/>
      </c>
      <c r="I1301" s="6"/>
      <c r="J1301" s="11" t="str">
        <f aca="false">IF(B1301="","",IFERROR(INDEX('Hộ gia đình'!$B$2:$B$2000,MATCH(B1301,'Hộ gia đình'!$A$2:$A$2000,0)),"Mã hộ không tồn tại"))</f>
        <v/>
      </c>
      <c r="K1301" s="14"/>
      <c r="L1301" s="14"/>
      <c r="M1301" s="6"/>
      <c r="N1301" s="6"/>
      <c r="O1301" s="6"/>
      <c r="P1301" s="6"/>
      <c r="Q1301" s="6"/>
      <c r="R1301" s="12"/>
    </row>
    <row r="1302" customFormat="false" ht="15" hidden="false" customHeight="true" outlineLevel="0" collapsed="false">
      <c r="A1302" s="6"/>
      <c r="B1302" s="6"/>
      <c r="C1302" s="6"/>
      <c r="D1302" s="6"/>
      <c r="E1302" s="13"/>
      <c r="F1302" s="6"/>
      <c r="G1302" s="11" t="str">
        <f aca="true">IF(F1302="","",YEAR(TODAY())-F1302)</f>
        <v/>
      </c>
      <c r="H1302" s="11" t="str">
        <f aca="false">IF(C1302="","",IF(G1302="","Thiếu thông tin",IF(G1302&lt;6,"Trẻ em",IF(G1302&lt;23,"Học sinh / Sinh viên",IF(G1302&lt;60,"Đang đi làm","Nghỉ hưu")))))</f>
        <v/>
      </c>
      <c r="I1302" s="6"/>
      <c r="J1302" s="11" t="str">
        <f aca="false">IF(B1302="","",IFERROR(INDEX('Hộ gia đình'!$B$2:$B$2000,MATCH(B1302,'Hộ gia đình'!$A$2:$A$2000,0)),"Mã hộ không tồn tại"))</f>
        <v/>
      </c>
      <c r="K1302" s="14"/>
      <c r="L1302" s="14"/>
      <c r="M1302" s="6"/>
      <c r="N1302" s="6"/>
      <c r="O1302" s="6"/>
      <c r="P1302" s="6"/>
      <c r="Q1302" s="6"/>
      <c r="R1302" s="12"/>
    </row>
    <row r="1303" customFormat="false" ht="15" hidden="false" customHeight="true" outlineLevel="0" collapsed="false">
      <c r="A1303" s="6"/>
      <c r="B1303" s="6"/>
      <c r="C1303" s="6"/>
      <c r="D1303" s="6"/>
      <c r="E1303" s="13"/>
      <c r="F1303" s="6"/>
      <c r="G1303" s="11" t="str">
        <f aca="true">IF(F1303="","",YEAR(TODAY())-F1303)</f>
        <v/>
      </c>
      <c r="H1303" s="11" t="str">
        <f aca="false">IF(C1303="","",IF(G1303="","Thiếu thông tin",IF(G1303&lt;6,"Trẻ em",IF(G1303&lt;23,"Học sinh / Sinh viên",IF(G1303&lt;60,"Đang đi làm","Nghỉ hưu")))))</f>
        <v/>
      </c>
      <c r="I1303" s="6"/>
      <c r="J1303" s="11" t="str">
        <f aca="false">IF(B1303="","",IFERROR(INDEX('Hộ gia đình'!$B$2:$B$2000,MATCH(B1303,'Hộ gia đình'!$A$2:$A$2000,0)),"Mã hộ không tồn tại"))</f>
        <v/>
      </c>
      <c r="K1303" s="14"/>
      <c r="L1303" s="14"/>
      <c r="M1303" s="6"/>
      <c r="N1303" s="6"/>
      <c r="O1303" s="6"/>
      <c r="P1303" s="6"/>
      <c r="Q1303" s="6"/>
      <c r="R1303" s="12"/>
    </row>
    <row r="1304" customFormat="false" ht="15" hidden="false" customHeight="true" outlineLevel="0" collapsed="false">
      <c r="A1304" s="6"/>
      <c r="B1304" s="6"/>
      <c r="C1304" s="6"/>
      <c r="D1304" s="6"/>
      <c r="E1304" s="13"/>
      <c r="F1304" s="6"/>
      <c r="G1304" s="11" t="str">
        <f aca="true">IF(F1304="","",YEAR(TODAY())-F1304)</f>
        <v/>
      </c>
      <c r="H1304" s="11" t="str">
        <f aca="false">IF(C1304="","",IF(G1304="","Thiếu thông tin",IF(G1304&lt;6,"Trẻ em",IF(G1304&lt;23,"Học sinh / Sinh viên",IF(G1304&lt;60,"Đang đi làm","Nghỉ hưu")))))</f>
        <v/>
      </c>
      <c r="I1304" s="6"/>
      <c r="J1304" s="11" t="str">
        <f aca="false">IF(B1304="","",IFERROR(INDEX('Hộ gia đình'!$B$2:$B$2000,MATCH(B1304,'Hộ gia đình'!$A$2:$A$2000,0)),"Mã hộ không tồn tại"))</f>
        <v/>
      </c>
      <c r="K1304" s="14"/>
      <c r="L1304" s="14"/>
      <c r="M1304" s="6"/>
      <c r="N1304" s="6"/>
      <c r="O1304" s="6"/>
      <c r="P1304" s="6"/>
      <c r="Q1304" s="6"/>
      <c r="R1304" s="12"/>
    </row>
    <row r="1305" customFormat="false" ht="15" hidden="false" customHeight="true" outlineLevel="0" collapsed="false">
      <c r="A1305" s="6"/>
      <c r="B1305" s="6"/>
      <c r="C1305" s="6"/>
      <c r="D1305" s="6"/>
      <c r="E1305" s="13"/>
      <c r="F1305" s="6"/>
      <c r="G1305" s="11" t="str">
        <f aca="true">IF(F1305="","",YEAR(TODAY())-F1305)</f>
        <v/>
      </c>
      <c r="H1305" s="11" t="str">
        <f aca="false">IF(C1305="","",IF(G1305="","Thiếu thông tin",IF(G1305&lt;6,"Trẻ em",IF(G1305&lt;23,"Học sinh / Sinh viên",IF(G1305&lt;60,"Đang đi làm","Nghỉ hưu")))))</f>
        <v/>
      </c>
      <c r="I1305" s="6"/>
      <c r="J1305" s="11" t="str">
        <f aca="false">IF(B1305="","",IFERROR(INDEX('Hộ gia đình'!$B$2:$B$2000,MATCH(B1305,'Hộ gia đình'!$A$2:$A$2000,0)),"Mã hộ không tồn tại"))</f>
        <v/>
      </c>
      <c r="K1305" s="14"/>
      <c r="L1305" s="14"/>
      <c r="M1305" s="6"/>
      <c r="N1305" s="6"/>
      <c r="O1305" s="6"/>
      <c r="P1305" s="6"/>
      <c r="Q1305" s="6"/>
      <c r="R1305" s="12"/>
    </row>
    <row r="1306" customFormat="false" ht="15" hidden="false" customHeight="true" outlineLevel="0" collapsed="false">
      <c r="A1306" s="6"/>
      <c r="B1306" s="6"/>
      <c r="C1306" s="6"/>
      <c r="D1306" s="6"/>
      <c r="E1306" s="13"/>
      <c r="F1306" s="6"/>
      <c r="G1306" s="11" t="str">
        <f aca="true">IF(F1306="","",YEAR(TODAY())-F1306)</f>
        <v/>
      </c>
      <c r="H1306" s="11" t="str">
        <f aca="false">IF(C1306="","",IF(G1306="","Thiếu thông tin",IF(G1306&lt;6,"Trẻ em",IF(G1306&lt;23,"Học sinh / Sinh viên",IF(G1306&lt;60,"Đang đi làm","Nghỉ hưu")))))</f>
        <v/>
      </c>
      <c r="I1306" s="6"/>
      <c r="J1306" s="11" t="str">
        <f aca="false">IF(B1306="","",IFERROR(INDEX('Hộ gia đình'!$B$2:$B$2000,MATCH(B1306,'Hộ gia đình'!$A$2:$A$2000,0)),"Mã hộ không tồn tại"))</f>
        <v/>
      </c>
      <c r="K1306" s="14"/>
      <c r="L1306" s="14"/>
      <c r="M1306" s="6"/>
      <c r="N1306" s="6"/>
      <c r="O1306" s="6"/>
      <c r="P1306" s="6"/>
      <c r="Q1306" s="6"/>
      <c r="R1306" s="12"/>
    </row>
    <row r="1307" customFormat="false" ht="15" hidden="false" customHeight="true" outlineLevel="0" collapsed="false">
      <c r="A1307" s="6"/>
      <c r="B1307" s="6"/>
      <c r="C1307" s="6"/>
      <c r="D1307" s="6"/>
      <c r="E1307" s="13"/>
      <c r="F1307" s="6"/>
      <c r="G1307" s="11" t="str">
        <f aca="true">IF(F1307="","",YEAR(TODAY())-F1307)</f>
        <v/>
      </c>
      <c r="H1307" s="11" t="str">
        <f aca="false">IF(C1307="","",IF(G1307="","Thiếu thông tin",IF(G1307&lt;6,"Trẻ em",IF(G1307&lt;23,"Học sinh / Sinh viên",IF(G1307&lt;60,"Đang đi làm","Nghỉ hưu")))))</f>
        <v/>
      </c>
      <c r="I1307" s="6"/>
      <c r="J1307" s="11" t="str">
        <f aca="false">IF(B1307="","",IFERROR(INDEX('Hộ gia đình'!$B$2:$B$2000,MATCH(B1307,'Hộ gia đình'!$A$2:$A$2000,0)),"Mã hộ không tồn tại"))</f>
        <v/>
      </c>
      <c r="K1307" s="14"/>
      <c r="L1307" s="14"/>
      <c r="M1307" s="6"/>
      <c r="N1307" s="6"/>
      <c r="O1307" s="6"/>
      <c r="P1307" s="6"/>
      <c r="Q1307" s="6"/>
      <c r="R1307" s="12"/>
    </row>
    <row r="1308" customFormat="false" ht="15" hidden="false" customHeight="true" outlineLevel="0" collapsed="false">
      <c r="A1308" s="6"/>
      <c r="B1308" s="6"/>
      <c r="C1308" s="6"/>
      <c r="D1308" s="6"/>
      <c r="E1308" s="13"/>
      <c r="F1308" s="6"/>
      <c r="G1308" s="11" t="str">
        <f aca="true">IF(F1308="","",YEAR(TODAY())-F1308)</f>
        <v/>
      </c>
      <c r="H1308" s="11" t="str">
        <f aca="false">IF(C1308="","",IF(G1308="","Thiếu thông tin",IF(G1308&lt;6,"Trẻ em",IF(G1308&lt;23,"Học sinh / Sinh viên",IF(G1308&lt;60,"Đang đi làm","Nghỉ hưu")))))</f>
        <v/>
      </c>
      <c r="I1308" s="6"/>
      <c r="J1308" s="11" t="str">
        <f aca="false">IF(B1308="","",IFERROR(INDEX('Hộ gia đình'!$B$2:$B$2000,MATCH(B1308,'Hộ gia đình'!$A$2:$A$2000,0)),"Mã hộ không tồn tại"))</f>
        <v/>
      </c>
      <c r="K1308" s="14"/>
      <c r="L1308" s="14"/>
      <c r="M1308" s="6"/>
      <c r="N1308" s="6"/>
      <c r="O1308" s="6"/>
      <c r="P1308" s="6"/>
      <c r="Q1308" s="6"/>
      <c r="R1308" s="12"/>
    </row>
    <row r="1309" customFormat="false" ht="15" hidden="false" customHeight="true" outlineLevel="0" collapsed="false">
      <c r="A1309" s="6"/>
      <c r="B1309" s="6"/>
      <c r="C1309" s="6"/>
      <c r="D1309" s="6"/>
      <c r="E1309" s="13"/>
      <c r="F1309" s="6"/>
      <c r="G1309" s="11" t="str">
        <f aca="true">IF(F1309="","",YEAR(TODAY())-F1309)</f>
        <v/>
      </c>
      <c r="H1309" s="11" t="str">
        <f aca="false">IF(C1309="","",IF(G1309="","Thiếu thông tin",IF(G1309&lt;6,"Trẻ em",IF(G1309&lt;23,"Học sinh / Sinh viên",IF(G1309&lt;60,"Đang đi làm","Nghỉ hưu")))))</f>
        <v/>
      </c>
      <c r="I1309" s="6"/>
      <c r="J1309" s="11" t="str">
        <f aca="false">IF(B1309="","",IFERROR(INDEX('Hộ gia đình'!$B$2:$B$2000,MATCH(B1309,'Hộ gia đình'!$A$2:$A$2000,0)),"Mã hộ không tồn tại"))</f>
        <v/>
      </c>
      <c r="K1309" s="14"/>
      <c r="L1309" s="14"/>
      <c r="M1309" s="6"/>
      <c r="N1309" s="6"/>
      <c r="O1309" s="6"/>
      <c r="P1309" s="6"/>
      <c r="Q1309" s="6"/>
      <c r="R1309" s="12"/>
    </row>
    <row r="1310" customFormat="false" ht="15" hidden="false" customHeight="true" outlineLevel="0" collapsed="false">
      <c r="A1310" s="6"/>
      <c r="B1310" s="6"/>
      <c r="C1310" s="6"/>
      <c r="D1310" s="6"/>
      <c r="E1310" s="13"/>
      <c r="F1310" s="6"/>
      <c r="G1310" s="11" t="str">
        <f aca="true">IF(F1310="","",YEAR(TODAY())-F1310)</f>
        <v/>
      </c>
      <c r="H1310" s="11" t="str">
        <f aca="false">IF(C1310="","",IF(G1310="","Thiếu thông tin",IF(G1310&lt;6,"Trẻ em",IF(G1310&lt;23,"Học sinh / Sinh viên",IF(G1310&lt;60,"Đang đi làm","Nghỉ hưu")))))</f>
        <v/>
      </c>
      <c r="I1310" s="6"/>
      <c r="J1310" s="11" t="str">
        <f aca="false">IF(B1310="","",IFERROR(INDEX('Hộ gia đình'!$B$2:$B$2000,MATCH(B1310,'Hộ gia đình'!$A$2:$A$2000,0)),"Mã hộ không tồn tại"))</f>
        <v/>
      </c>
      <c r="K1310" s="14"/>
      <c r="L1310" s="14"/>
      <c r="M1310" s="6"/>
      <c r="N1310" s="6"/>
      <c r="O1310" s="6"/>
      <c r="P1310" s="6"/>
      <c r="Q1310" s="6"/>
      <c r="R1310" s="12"/>
    </row>
    <row r="1311" customFormat="false" ht="15" hidden="false" customHeight="true" outlineLevel="0" collapsed="false">
      <c r="A1311" s="6"/>
      <c r="B1311" s="6"/>
      <c r="C1311" s="6"/>
      <c r="D1311" s="6"/>
      <c r="E1311" s="13"/>
      <c r="F1311" s="6"/>
      <c r="G1311" s="11" t="str">
        <f aca="true">IF(F1311="","",YEAR(TODAY())-F1311)</f>
        <v/>
      </c>
      <c r="H1311" s="11" t="str">
        <f aca="false">IF(C1311="","",IF(G1311="","Thiếu thông tin",IF(G1311&lt;6,"Trẻ em",IF(G1311&lt;23,"Học sinh / Sinh viên",IF(G1311&lt;60,"Đang đi làm","Nghỉ hưu")))))</f>
        <v/>
      </c>
      <c r="I1311" s="6"/>
      <c r="J1311" s="11" t="str">
        <f aca="false">IF(B1311="","",IFERROR(INDEX('Hộ gia đình'!$B$2:$B$2000,MATCH(B1311,'Hộ gia đình'!$A$2:$A$2000,0)),"Mã hộ không tồn tại"))</f>
        <v/>
      </c>
      <c r="K1311" s="14"/>
      <c r="L1311" s="14"/>
      <c r="M1311" s="6"/>
      <c r="N1311" s="6"/>
      <c r="O1311" s="6"/>
      <c r="P1311" s="6"/>
      <c r="Q1311" s="6"/>
      <c r="R1311" s="12"/>
    </row>
    <row r="1312" customFormat="false" ht="15" hidden="false" customHeight="true" outlineLevel="0" collapsed="false">
      <c r="A1312" s="6"/>
      <c r="B1312" s="6"/>
      <c r="C1312" s="6"/>
      <c r="D1312" s="6"/>
      <c r="E1312" s="13"/>
      <c r="F1312" s="6"/>
      <c r="G1312" s="11" t="str">
        <f aca="true">IF(F1312="","",YEAR(TODAY())-F1312)</f>
        <v/>
      </c>
      <c r="H1312" s="11" t="str">
        <f aca="false">IF(C1312="","",IF(G1312="","Thiếu thông tin",IF(G1312&lt;6,"Trẻ em",IF(G1312&lt;23,"Học sinh / Sinh viên",IF(G1312&lt;60,"Đang đi làm","Nghỉ hưu")))))</f>
        <v/>
      </c>
      <c r="I1312" s="6"/>
      <c r="J1312" s="11" t="str">
        <f aca="false">IF(B1312="","",IFERROR(INDEX('Hộ gia đình'!$B$2:$B$2000,MATCH(B1312,'Hộ gia đình'!$A$2:$A$2000,0)),"Mã hộ không tồn tại"))</f>
        <v/>
      </c>
      <c r="K1312" s="14"/>
      <c r="L1312" s="14"/>
      <c r="M1312" s="6"/>
      <c r="N1312" s="6"/>
      <c r="O1312" s="6"/>
      <c r="P1312" s="6"/>
      <c r="Q1312" s="6"/>
      <c r="R1312" s="12"/>
    </row>
    <row r="1313" customFormat="false" ht="15" hidden="false" customHeight="true" outlineLevel="0" collapsed="false">
      <c r="A1313" s="6"/>
      <c r="B1313" s="6"/>
      <c r="C1313" s="6"/>
      <c r="D1313" s="6"/>
      <c r="E1313" s="13"/>
      <c r="F1313" s="6"/>
      <c r="G1313" s="11" t="str">
        <f aca="true">IF(F1313="","",YEAR(TODAY())-F1313)</f>
        <v/>
      </c>
      <c r="H1313" s="11" t="str">
        <f aca="false">IF(C1313="","",IF(G1313="","Thiếu thông tin",IF(G1313&lt;6,"Trẻ em",IF(G1313&lt;23,"Học sinh / Sinh viên",IF(G1313&lt;60,"Đang đi làm","Nghỉ hưu")))))</f>
        <v/>
      </c>
      <c r="I1313" s="6"/>
      <c r="J1313" s="11" t="str">
        <f aca="false">IF(B1313="","",IFERROR(INDEX('Hộ gia đình'!$B$2:$B$2000,MATCH(B1313,'Hộ gia đình'!$A$2:$A$2000,0)),"Mã hộ không tồn tại"))</f>
        <v/>
      </c>
      <c r="K1313" s="14"/>
      <c r="L1313" s="14"/>
      <c r="M1313" s="6"/>
      <c r="N1313" s="6"/>
      <c r="O1313" s="6"/>
      <c r="P1313" s="6"/>
      <c r="Q1313" s="6"/>
      <c r="R1313" s="12"/>
    </row>
    <row r="1314" customFormat="false" ht="15" hidden="false" customHeight="true" outlineLevel="0" collapsed="false">
      <c r="A1314" s="6"/>
      <c r="B1314" s="6"/>
      <c r="C1314" s="6"/>
      <c r="D1314" s="6"/>
      <c r="E1314" s="13"/>
      <c r="F1314" s="6"/>
      <c r="G1314" s="11" t="str">
        <f aca="true">IF(F1314="","",YEAR(TODAY())-F1314)</f>
        <v/>
      </c>
      <c r="H1314" s="11" t="str">
        <f aca="false">IF(C1314="","",IF(G1314="","Thiếu thông tin",IF(G1314&lt;6,"Trẻ em",IF(G1314&lt;23,"Học sinh / Sinh viên",IF(G1314&lt;60,"Đang đi làm","Nghỉ hưu")))))</f>
        <v/>
      </c>
      <c r="I1314" s="6"/>
      <c r="J1314" s="11" t="str">
        <f aca="false">IF(B1314="","",IFERROR(INDEX('Hộ gia đình'!$B$2:$B$2000,MATCH(B1314,'Hộ gia đình'!$A$2:$A$2000,0)),"Mã hộ không tồn tại"))</f>
        <v/>
      </c>
      <c r="K1314" s="14"/>
      <c r="L1314" s="14"/>
      <c r="M1314" s="6"/>
      <c r="N1314" s="6"/>
      <c r="O1314" s="6"/>
      <c r="P1314" s="6"/>
      <c r="Q1314" s="6"/>
      <c r="R1314" s="12"/>
    </row>
    <row r="1315" customFormat="false" ht="15" hidden="false" customHeight="true" outlineLevel="0" collapsed="false">
      <c r="A1315" s="6"/>
      <c r="B1315" s="6"/>
      <c r="C1315" s="6"/>
      <c r="D1315" s="6"/>
      <c r="E1315" s="13"/>
      <c r="F1315" s="6"/>
      <c r="G1315" s="11" t="str">
        <f aca="true">IF(F1315="","",YEAR(TODAY())-F1315)</f>
        <v/>
      </c>
      <c r="H1315" s="11" t="str">
        <f aca="false">IF(C1315="","",IF(G1315="","Thiếu thông tin",IF(G1315&lt;6,"Trẻ em",IF(G1315&lt;23,"Học sinh / Sinh viên",IF(G1315&lt;60,"Đang đi làm","Nghỉ hưu")))))</f>
        <v/>
      </c>
      <c r="I1315" s="6"/>
      <c r="J1315" s="11" t="str">
        <f aca="false">IF(B1315="","",IFERROR(INDEX('Hộ gia đình'!$B$2:$B$2000,MATCH(B1315,'Hộ gia đình'!$A$2:$A$2000,0)),"Mã hộ không tồn tại"))</f>
        <v/>
      </c>
      <c r="K1315" s="14"/>
      <c r="L1315" s="14"/>
      <c r="M1315" s="6"/>
      <c r="N1315" s="6"/>
      <c r="O1315" s="6"/>
      <c r="P1315" s="6"/>
      <c r="Q1315" s="6"/>
      <c r="R1315" s="12"/>
    </row>
    <row r="1316" customFormat="false" ht="15" hidden="false" customHeight="true" outlineLevel="0" collapsed="false">
      <c r="A1316" s="6"/>
      <c r="B1316" s="6"/>
      <c r="C1316" s="6"/>
      <c r="D1316" s="6"/>
      <c r="E1316" s="13"/>
      <c r="F1316" s="6"/>
      <c r="G1316" s="11" t="str">
        <f aca="true">IF(F1316="","",YEAR(TODAY())-F1316)</f>
        <v/>
      </c>
      <c r="H1316" s="11" t="str">
        <f aca="false">IF(C1316="","",IF(G1316="","Thiếu thông tin",IF(G1316&lt;6,"Trẻ em",IF(G1316&lt;23,"Học sinh / Sinh viên",IF(G1316&lt;60,"Đang đi làm","Nghỉ hưu")))))</f>
        <v/>
      </c>
      <c r="I1316" s="6"/>
      <c r="J1316" s="11" t="str">
        <f aca="false">IF(B1316="","",IFERROR(INDEX('Hộ gia đình'!$B$2:$B$2000,MATCH(B1316,'Hộ gia đình'!$A$2:$A$2000,0)),"Mã hộ không tồn tại"))</f>
        <v/>
      </c>
      <c r="K1316" s="14"/>
      <c r="L1316" s="14"/>
      <c r="M1316" s="6"/>
      <c r="N1316" s="6"/>
      <c r="O1316" s="6"/>
      <c r="P1316" s="6"/>
      <c r="Q1316" s="6"/>
      <c r="R1316" s="12"/>
    </row>
    <row r="1317" customFormat="false" ht="15" hidden="false" customHeight="true" outlineLevel="0" collapsed="false">
      <c r="A1317" s="6"/>
      <c r="B1317" s="6"/>
      <c r="C1317" s="6"/>
      <c r="D1317" s="6"/>
      <c r="E1317" s="13"/>
      <c r="F1317" s="6"/>
      <c r="G1317" s="11" t="str">
        <f aca="true">IF(F1317="","",YEAR(TODAY())-F1317)</f>
        <v/>
      </c>
      <c r="H1317" s="11" t="str">
        <f aca="false">IF(C1317="","",IF(G1317="","Thiếu thông tin",IF(G1317&lt;6,"Trẻ em",IF(G1317&lt;23,"Học sinh / Sinh viên",IF(G1317&lt;60,"Đang đi làm","Nghỉ hưu")))))</f>
        <v/>
      </c>
      <c r="I1317" s="6"/>
      <c r="J1317" s="11" t="str">
        <f aca="false">IF(B1317="","",IFERROR(INDEX('Hộ gia đình'!$B$2:$B$2000,MATCH(B1317,'Hộ gia đình'!$A$2:$A$2000,0)),"Mã hộ không tồn tại"))</f>
        <v/>
      </c>
      <c r="K1317" s="14"/>
      <c r="L1317" s="14"/>
      <c r="M1317" s="6"/>
      <c r="N1317" s="6"/>
      <c r="O1317" s="6"/>
      <c r="P1317" s="6"/>
      <c r="Q1317" s="6"/>
      <c r="R1317" s="12"/>
    </row>
    <row r="1318" customFormat="false" ht="15" hidden="false" customHeight="true" outlineLevel="0" collapsed="false">
      <c r="A1318" s="6"/>
      <c r="B1318" s="6"/>
      <c r="C1318" s="6"/>
      <c r="D1318" s="6"/>
      <c r="E1318" s="13"/>
      <c r="F1318" s="6"/>
      <c r="G1318" s="11" t="str">
        <f aca="true">IF(F1318="","",YEAR(TODAY())-F1318)</f>
        <v/>
      </c>
      <c r="H1318" s="11" t="str">
        <f aca="false">IF(C1318="","",IF(G1318="","Thiếu thông tin",IF(G1318&lt;6,"Trẻ em",IF(G1318&lt;23,"Học sinh / Sinh viên",IF(G1318&lt;60,"Đang đi làm","Nghỉ hưu")))))</f>
        <v/>
      </c>
      <c r="I1318" s="6"/>
      <c r="J1318" s="11" t="str">
        <f aca="false">IF(B1318="","",IFERROR(INDEX('Hộ gia đình'!$B$2:$B$2000,MATCH(B1318,'Hộ gia đình'!$A$2:$A$2000,0)),"Mã hộ không tồn tại"))</f>
        <v/>
      </c>
      <c r="K1318" s="14"/>
      <c r="L1318" s="14"/>
      <c r="M1318" s="6"/>
      <c r="N1318" s="6"/>
      <c r="O1318" s="6"/>
      <c r="P1318" s="6"/>
      <c r="Q1318" s="6"/>
      <c r="R1318" s="12"/>
    </row>
    <row r="1319" customFormat="false" ht="15" hidden="false" customHeight="true" outlineLevel="0" collapsed="false">
      <c r="A1319" s="6"/>
      <c r="B1319" s="6"/>
      <c r="C1319" s="6"/>
      <c r="D1319" s="6"/>
      <c r="E1319" s="13"/>
      <c r="F1319" s="6"/>
      <c r="G1319" s="11" t="str">
        <f aca="true">IF(F1319="","",YEAR(TODAY())-F1319)</f>
        <v/>
      </c>
      <c r="H1319" s="11" t="str">
        <f aca="false">IF(C1319="","",IF(G1319="","Thiếu thông tin",IF(G1319&lt;6,"Trẻ em",IF(G1319&lt;23,"Học sinh / Sinh viên",IF(G1319&lt;60,"Đang đi làm","Nghỉ hưu")))))</f>
        <v/>
      </c>
      <c r="I1319" s="6"/>
      <c r="J1319" s="11" t="str">
        <f aca="false">IF(B1319="","",IFERROR(INDEX('Hộ gia đình'!$B$2:$B$2000,MATCH(B1319,'Hộ gia đình'!$A$2:$A$2000,0)),"Mã hộ không tồn tại"))</f>
        <v/>
      </c>
      <c r="K1319" s="14"/>
      <c r="L1319" s="14"/>
      <c r="M1319" s="6"/>
      <c r="N1319" s="6"/>
      <c r="O1319" s="6"/>
      <c r="P1319" s="6"/>
      <c r="Q1319" s="6"/>
      <c r="R1319" s="12"/>
    </row>
    <row r="1320" customFormat="false" ht="15" hidden="false" customHeight="true" outlineLevel="0" collapsed="false">
      <c r="A1320" s="6"/>
      <c r="B1320" s="6"/>
      <c r="C1320" s="6"/>
      <c r="D1320" s="6"/>
      <c r="E1320" s="13"/>
      <c r="F1320" s="6"/>
      <c r="G1320" s="11" t="str">
        <f aca="true">IF(F1320="","",YEAR(TODAY())-F1320)</f>
        <v/>
      </c>
      <c r="H1320" s="11" t="str">
        <f aca="false">IF(C1320="","",IF(G1320="","Thiếu thông tin",IF(G1320&lt;6,"Trẻ em",IF(G1320&lt;23,"Học sinh / Sinh viên",IF(G1320&lt;60,"Đang đi làm","Nghỉ hưu")))))</f>
        <v/>
      </c>
      <c r="I1320" s="6"/>
      <c r="J1320" s="11" t="str">
        <f aca="false">IF(B1320="","",IFERROR(INDEX('Hộ gia đình'!$B$2:$B$2000,MATCH(B1320,'Hộ gia đình'!$A$2:$A$2000,0)),"Mã hộ không tồn tại"))</f>
        <v/>
      </c>
      <c r="K1320" s="14"/>
      <c r="L1320" s="14"/>
      <c r="M1320" s="6"/>
      <c r="N1320" s="6"/>
      <c r="O1320" s="6"/>
      <c r="P1320" s="6"/>
      <c r="Q1320" s="6"/>
      <c r="R1320" s="12"/>
    </row>
    <row r="1321" customFormat="false" ht="15" hidden="false" customHeight="true" outlineLevel="0" collapsed="false">
      <c r="A1321" s="6"/>
      <c r="B1321" s="6"/>
      <c r="C1321" s="6"/>
      <c r="D1321" s="6"/>
      <c r="E1321" s="13"/>
      <c r="F1321" s="6"/>
      <c r="G1321" s="11" t="str">
        <f aca="true">IF(F1321="","",YEAR(TODAY())-F1321)</f>
        <v/>
      </c>
      <c r="H1321" s="11" t="str">
        <f aca="false">IF(C1321="","",IF(G1321="","Thiếu thông tin",IF(G1321&lt;6,"Trẻ em",IF(G1321&lt;23,"Học sinh / Sinh viên",IF(G1321&lt;60,"Đang đi làm","Nghỉ hưu")))))</f>
        <v/>
      </c>
      <c r="I1321" s="6"/>
      <c r="J1321" s="11" t="str">
        <f aca="false">IF(B1321="","",IFERROR(INDEX('Hộ gia đình'!$B$2:$B$2000,MATCH(B1321,'Hộ gia đình'!$A$2:$A$2000,0)),"Mã hộ không tồn tại"))</f>
        <v/>
      </c>
      <c r="K1321" s="14"/>
      <c r="L1321" s="14"/>
      <c r="M1321" s="6"/>
      <c r="N1321" s="6"/>
      <c r="O1321" s="6"/>
      <c r="P1321" s="6"/>
      <c r="Q1321" s="6"/>
      <c r="R1321" s="12"/>
    </row>
    <row r="1322" customFormat="false" ht="15" hidden="false" customHeight="true" outlineLevel="0" collapsed="false">
      <c r="A1322" s="6"/>
      <c r="B1322" s="6"/>
      <c r="C1322" s="6"/>
      <c r="D1322" s="6"/>
      <c r="E1322" s="13"/>
      <c r="F1322" s="6"/>
      <c r="G1322" s="11" t="str">
        <f aca="true">IF(F1322="","",YEAR(TODAY())-F1322)</f>
        <v/>
      </c>
      <c r="H1322" s="11" t="str">
        <f aca="false">IF(C1322="","",IF(G1322="","Thiếu thông tin",IF(G1322&lt;6,"Trẻ em",IF(G1322&lt;23,"Học sinh / Sinh viên",IF(G1322&lt;60,"Đang đi làm","Nghỉ hưu")))))</f>
        <v/>
      </c>
      <c r="I1322" s="6"/>
      <c r="J1322" s="11" t="str">
        <f aca="false">IF(B1322="","",IFERROR(INDEX('Hộ gia đình'!$B$2:$B$2000,MATCH(B1322,'Hộ gia đình'!$A$2:$A$2000,0)),"Mã hộ không tồn tại"))</f>
        <v/>
      </c>
      <c r="K1322" s="14"/>
      <c r="L1322" s="14"/>
      <c r="M1322" s="6"/>
      <c r="N1322" s="6"/>
      <c r="O1322" s="6"/>
      <c r="P1322" s="6"/>
      <c r="Q1322" s="6"/>
      <c r="R1322" s="12"/>
    </row>
    <row r="1323" customFormat="false" ht="15" hidden="false" customHeight="true" outlineLevel="0" collapsed="false">
      <c r="A1323" s="6"/>
      <c r="B1323" s="6"/>
      <c r="C1323" s="6"/>
      <c r="D1323" s="6"/>
      <c r="E1323" s="13"/>
      <c r="F1323" s="6"/>
      <c r="G1323" s="11" t="str">
        <f aca="true">IF(F1323="","",YEAR(TODAY())-F1323)</f>
        <v/>
      </c>
      <c r="H1323" s="11" t="str">
        <f aca="false">IF(C1323="","",IF(G1323="","Thiếu thông tin",IF(G1323&lt;6,"Trẻ em",IF(G1323&lt;23,"Học sinh / Sinh viên",IF(G1323&lt;60,"Đang đi làm","Nghỉ hưu")))))</f>
        <v/>
      </c>
      <c r="I1323" s="6"/>
      <c r="J1323" s="11" t="str">
        <f aca="false">IF(B1323="","",IFERROR(INDEX('Hộ gia đình'!$B$2:$B$2000,MATCH(B1323,'Hộ gia đình'!$A$2:$A$2000,0)),"Mã hộ không tồn tại"))</f>
        <v/>
      </c>
      <c r="K1323" s="14"/>
      <c r="L1323" s="14"/>
      <c r="M1323" s="6"/>
      <c r="N1323" s="6"/>
      <c r="O1323" s="6"/>
      <c r="P1323" s="6"/>
      <c r="Q1323" s="6"/>
      <c r="R1323" s="12"/>
    </row>
    <row r="1324" customFormat="false" ht="15" hidden="false" customHeight="true" outlineLevel="0" collapsed="false">
      <c r="A1324" s="6"/>
      <c r="B1324" s="6"/>
      <c r="C1324" s="6"/>
      <c r="D1324" s="6"/>
      <c r="E1324" s="13"/>
      <c r="F1324" s="6"/>
      <c r="G1324" s="11" t="str">
        <f aca="true">IF(F1324="","",YEAR(TODAY())-F1324)</f>
        <v/>
      </c>
      <c r="H1324" s="11" t="str">
        <f aca="false">IF(C1324="","",IF(G1324="","Thiếu thông tin",IF(G1324&lt;6,"Trẻ em",IF(G1324&lt;23,"Học sinh / Sinh viên",IF(G1324&lt;60,"Đang đi làm","Nghỉ hưu")))))</f>
        <v/>
      </c>
      <c r="I1324" s="6"/>
      <c r="J1324" s="11" t="str">
        <f aca="false">IF(B1324="","",IFERROR(INDEX('Hộ gia đình'!$B$2:$B$2000,MATCH(B1324,'Hộ gia đình'!$A$2:$A$2000,0)),"Mã hộ không tồn tại"))</f>
        <v/>
      </c>
      <c r="K1324" s="14"/>
      <c r="L1324" s="14"/>
      <c r="M1324" s="6"/>
      <c r="N1324" s="6"/>
      <c r="O1324" s="6"/>
      <c r="P1324" s="6"/>
      <c r="Q1324" s="6"/>
      <c r="R1324" s="12"/>
    </row>
    <row r="1325" customFormat="false" ht="15" hidden="false" customHeight="true" outlineLevel="0" collapsed="false">
      <c r="A1325" s="6"/>
      <c r="B1325" s="6"/>
      <c r="C1325" s="6"/>
      <c r="D1325" s="6"/>
      <c r="E1325" s="13"/>
      <c r="F1325" s="6"/>
      <c r="G1325" s="11" t="str">
        <f aca="true">IF(F1325="","",YEAR(TODAY())-F1325)</f>
        <v/>
      </c>
      <c r="H1325" s="11" t="str">
        <f aca="false">IF(C1325="","",IF(G1325="","Thiếu thông tin",IF(G1325&lt;6,"Trẻ em",IF(G1325&lt;23,"Học sinh / Sinh viên",IF(G1325&lt;60,"Đang đi làm","Nghỉ hưu")))))</f>
        <v/>
      </c>
      <c r="I1325" s="6"/>
      <c r="J1325" s="11" t="str">
        <f aca="false">IF(B1325="","",IFERROR(INDEX('Hộ gia đình'!$B$2:$B$2000,MATCH(B1325,'Hộ gia đình'!$A$2:$A$2000,0)),"Mã hộ không tồn tại"))</f>
        <v/>
      </c>
      <c r="K1325" s="14"/>
      <c r="L1325" s="14"/>
      <c r="M1325" s="6"/>
      <c r="N1325" s="6"/>
      <c r="O1325" s="6"/>
      <c r="P1325" s="6"/>
      <c r="Q1325" s="6"/>
      <c r="R1325" s="12"/>
    </row>
    <row r="1326" customFormat="false" ht="15" hidden="false" customHeight="true" outlineLevel="0" collapsed="false">
      <c r="A1326" s="6"/>
      <c r="B1326" s="6"/>
      <c r="C1326" s="6"/>
      <c r="D1326" s="6"/>
      <c r="E1326" s="13"/>
      <c r="F1326" s="6"/>
      <c r="G1326" s="11" t="str">
        <f aca="true">IF(F1326="","",YEAR(TODAY())-F1326)</f>
        <v/>
      </c>
      <c r="H1326" s="11" t="str">
        <f aca="false">IF(C1326="","",IF(G1326="","Thiếu thông tin",IF(G1326&lt;6,"Trẻ em",IF(G1326&lt;23,"Học sinh / Sinh viên",IF(G1326&lt;60,"Đang đi làm","Nghỉ hưu")))))</f>
        <v/>
      </c>
      <c r="I1326" s="6"/>
      <c r="J1326" s="11" t="str">
        <f aca="false">IF(B1326="","",IFERROR(INDEX('Hộ gia đình'!$B$2:$B$2000,MATCH(B1326,'Hộ gia đình'!$A$2:$A$2000,0)),"Mã hộ không tồn tại"))</f>
        <v/>
      </c>
      <c r="K1326" s="14"/>
      <c r="L1326" s="14"/>
      <c r="M1326" s="6"/>
      <c r="N1326" s="6"/>
      <c r="O1326" s="6"/>
      <c r="P1326" s="6"/>
      <c r="Q1326" s="6"/>
      <c r="R1326" s="12"/>
    </row>
    <row r="1327" customFormat="false" ht="15" hidden="false" customHeight="true" outlineLevel="0" collapsed="false">
      <c r="A1327" s="6"/>
      <c r="B1327" s="6"/>
      <c r="C1327" s="6"/>
      <c r="D1327" s="6"/>
      <c r="E1327" s="13"/>
      <c r="F1327" s="6"/>
      <c r="G1327" s="11" t="str">
        <f aca="true">IF(F1327="","",YEAR(TODAY())-F1327)</f>
        <v/>
      </c>
      <c r="H1327" s="11" t="str">
        <f aca="false">IF(C1327="","",IF(G1327="","Thiếu thông tin",IF(G1327&lt;6,"Trẻ em",IF(G1327&lt;23,"Học sinh / Sinh viên",IF(G1327&lt;60,"Đang đi làm","Nghỉ hưu")))))</f>
        <v/>
      </c>
      <c r="I1327" s="6"/>
      <c r="J1327" s="11" t="str">
        <f aca="false">IF(B1327="","",IFERROR(INDEX('Hộ gia đình'!$B$2:$B$2000,MATCH(B1327,'Hộ gia đình'!$A$2:$A$2000,0)),"Mã hộ không tồn tại"))</f>
        <v/>
      </c>
      <c r="K1327" s="14"/>
      <c r="L1327" s="14"/>
      <c r="M1327" s="6"/>
      <c r="N1327" s="6"/>
      <c r="O1327" s="6"/>
      <c r="P1327" s="6"/>
      <c r="Q1327" s="6"/>
      <c r="R1327" s="12"/>
    </row>
    <row r="1328" customFormat="false" ht="15" hidden="false" customHeight="true" outlineLevel="0" collapsed="false">
      <c r="A1328" s="6"/>
      <c r="B1328" s="6"/>
      <c r="C1328" s="6"/>
      <c r="D1328" s="6"/>
      <c r="E1328" s="13"/>
      <c r="F1328" s="6"/>
      <c r="G1328" s="11" t="str">
        <f aca="true">IF(F1328="","",YEAR(TODAY())-F1328)</f>
        <v/>
      </c>
      <c r="H1328" s="11" t="str">
        <f aca="false">IF(C1328="","",IF(G1328="","Thiếu thông tin",IF(G1328&lt;6,"Trẻ em",IF(G1328&lt;23,"Học sinh / Sinh viên",IF(G1328&lt;60,"Đang đi làm","Nghỉ hưu")))))</f>
        <v/>
      </c>
      <c r="I1328" s="6"/>
      <c r="J1328" s="11" t="str">
        <f aca="false">IF(B1328="","",IFERROR(INDEX('Hộ gia đình'!$B$2:$B$2000,MATCH(B1328,'Hộ gia đình'!$A$2:$A$2000,0)),"Mã hộ không tồn tại"))</f>
        <v/>
      </c>
      <c r="K1328" s="14"/>
      <c r="L1328" s="14"/>
      <c r="M1328" s="6"/>
      <c r="N1328" s="6"/>
      <c r="O1328" s="6"/>
      <c r="P1328" s="6"/>
      <c r="Q1328" s="6"/>
      <c r="R1328" s="12"/>
    </row>
    <row r="1329" customFormat="false" ht="15" hidden="false" customHeight="true" outlineLevel="0" collapsed="false">
      <c r="A1329" s="6"/>
      <c r="B1329" s="6"/>
      <c r="C1329" s="6"/>
      <c r="D1329" s="6"/>
      <c r="E1329" s="13"/>
      <c r="F1329" s="6"/>
      <c r="G1329" s="11" t="str">
        <f aca="true">IF(F1329="","",YEAR(TODAY())-F1329)</f>
        <v/>
      </c>
      <c r="H1329" s="11" t="str">
        <f aca="false">IF(C1329="","",IF(G1329="","Thiếu thông tin",IF(G1329&lt;6,"Trẻ em",IF(G1329&lt;23,"Học sinh / Sinh viên",IF(G1329&lt;60,"Đang đi làm","Nghỉ hưu")))))</f>
        <v/>
      </c>
      <c r="I1329" s="6"/>
      <c r="J1329" s="11" t="str">
        <f aca="false">IF(B1329="","",IFERROR(INDEX('Hộ gia đình'!$B$2:$B$2000,MATCH(B1329,'Hộ gia đình'!$A$2:$A$2000,0)),"Mã hộ không tồn tại"))</f>
        <v/>
      </c>
      <c r="K1329" s="14"/>
      <c r="L1329" s="14"/>
      <c r="M1329" s="6"/>
      <c r="N1329" s="6"/>
      <c r="O1329" s="6"/>
      <c r="P1329" s="6"/>
      <c r="Q1329" s="6"/>
      <c r="R1329" s="12"/>
    </row>
    <row r="1330" customFormat="false" ht="15" hidden="false" customHeight="true" outlineLevel="0" collapsed="false">
      <c r="A1330" s="6"/>
      <c r="B1330" s="6"/>
      <c r="C1330" s="6"/>
      <c r="D1330" s="6"/>
      <c r="E1330" s="13"/>
      <c r="F1330" s="6"/>
      <c r="G1330" s="11" t="str">
        <f aca="true">IF(F1330="","",YEAR(TODAY())-F1330)</f>
        <v/>
      </c>
      <c r="H1330" s="11" t="str">
        <f aca="false">IF(C1330="","",IF(G1330="","Thiếu thông tin",IF(G1330&lt;6,"Trẻ em",IF(G1330&lt;23,"Học sinh / Sinh viên",IF(G1330&lt;60,"Đang đi làm","Nghỉ hưu")))))</f>
        <v/>
      </c>
      <c r="I1330" s="6"/>
      <c r="J1330" s="11" t="str">
        <f aca="false">IF(B1330="","",IFERROR(INDEX('Hộ gia đình'!$B$2:$B$2000,MATCH(B1330,'Hộ gia đình'!$A$2:$A$2000,0)),"Mã hộ không tồn tại"))</f>
        <v/>
      </c>
      <c r="K1330" s="14"/>
      <c r="L1330" s="14"/>
      <c r="M1330" s="6"/>
      <c r="N1330" s="6"/>
      <c r="O1330" s="6"/>
      <c r="P1330" s="6"/>
      <c r="Q1330" s="6"/>
      <c r="R1330" s="12"/>
    </row>
    <row r="1331" customFormat="false" ht="15" hidden="false" customHeight="true" outlineLevel="0" collapsed="false">
      <c r="A1331" s="6"/>
      <c r="B1331" s="6"/>
      <c r="C1331" s="6"/>
      <c r="D1331" s="6"/>
      <c r="E1331" s="13"/>
      <c r="F1331" s="6"/>
      <c r="G1331" s="11" t="str">
        <f aca="true">IF(F1331="","",YEAR(TODAY())-F1331)</f>
        <v/>
      </c>
      <c r="H1331" s="11" t="str">
        <f aca="false">IF(C1331="","",IF(G1331="","Thiếu thông tin",IF(G1331&lt;6,"Trẻ em",IF(G1331&lt;23,"Học sinh / Sinh viên",IF(G1331&lt;60,"Đang đi làm","Nghỉ hưu")))))</f>
        <v/>
      </c>
      <c r="I1331" s="6"/>
      <c r="J1331" s="11" t="str">
        <f aca="false">IF(B1331="","",IFERROR(INDEX('Hộ gia đình'!$B$2:$B$2000,MATCH(B1331,'Hộ gia đình'!$A$2:$A$2000,0)),"Mã hộ không tồn tại"))</f>
        <v/>
      </c>
      <c r="K1331" s="14"/>
      <c r="L1331" s="14"/>
      <c r="M1331" s="6"/>
      <c r="N1331" s="6"/>
      <c r="O1331" s="6"/>
      <c r="P1331" s="6"/>
      <c r="Q1331" s="6"/>
      <c r="R1331" s="12"/>
    </row>
    <row r="1332" customFormat="false" ht="15" hidden="false" customHeight="true" outlineLevel="0" collapsed="false">
      <c r="A1332" s="6"/>
      <c r="B1332" s="6"/>
      <c r="C1332" s="6"/>
      <c r="D1332" s="6"/>
      <c r="E1332" s="13"/>
      <c r="F1332" s="6"/>
      <c r="G1332" s="11" t="str">
        <f aca="true">IF(F1332="","",YEAR(TODAY())-F1332)</f>
        <v/>
      </c>
      <c r="H1332" s="11" t="str">
        <f aca="false">IF(C1332="","",IF(G1332="","Thiếu thông tin",IF(G1332&lt;6,"Trẻ em",IF(G1332&lt;23,"Học sinh / Sinh viên",IF(G1332&lt;60,"Đang đi làm","Nghỉ hưu")))))</f>
        <v/>
      </c>
      <c r="I1332" s="6"/>
      <c r="J1332" s="11" t="str">
        <f aca="false">IF(B1332="","",IFERROR(INDEX('Hộ gia đình'!$B$2:$B$2000,MATCH(B1332,'Hộ gia đình'!$A$2:$A$2000,0)),"Mã hộ không tồn tại"))</f>
        <v/>
      </c>
      <c r="K1332" s="14"/>
      <c r="L1332" s="14"/>
      <c r="M1332" s="6"/>
      <c r="N1332" s="6"/>
      <c r="O1332" s="6"/>
      <c r="P1332" s="6"/>
      <c r="Q1332" s="6"/>
      <c r="R1332" s="12"/>
    </row>
    <row r="1333" customFormat="false" ht="15" hidden="false" customHeight="true" outlineLevel="0" collapsed="false">
      <c r="A1333" s="6"/>
      <c r="B1333" s="6"/>
      <c r="C1333" s="6"/>
      <c r="D1333" s="6"/>
      <c r="E1333" s="13"/>
      <c r="F1333" s="6"/>
      <c r="G1333" s="11" t="str">
        <f aca="true">IF(F1333="","",YEAR(TODAY())-F1333)</f>
        <v/>
      </c>
      <c r="H1333" s="11" t="str">
        <f aca="false">IF(C1333="","",IF(G1333="","Thiếu thông tin",IF(G1333&lt;6,"Trẻ em",IF(G1333&lt;23,"Học sinh / Sinh viên",IF(G1333&lt;60,"Đang đi làm","Nghỉ hưu")))))</f>
        <v/>
      </c>
      <c r="I1333" s="6"/>
      <c r="J1333" s="11" t="str">
        <f aca="false">IF(B1333="","",IFERROR(INDEX('Hộ gia đình'!$B$2:$B$2000,MATCH(B1333,'Hộ gia đình'!$A$2:$A$2000,0)),"Mã hộ không tồn tại"))</f>
        <v/>
      </c>
      <c r="K1333" s="14"/>
      <c r="L1333" s="14"/>
      <c r="M1333" s="6"/>
      <c r="N1333" s="6"/>
      <c r="O1333" s="6"/>
      <c r="P1333" s="6"/>
      <c r="Q1333" s="6"/>
      <c r="R1333" s="12"/>
    </row>
    <row r="1334" customFormat="false" ht="15" hidden="false" customHeight="true" outlineLevel="0" collapsed="false">
      <c r="A1334" s="6"/>
      <c r="B1334" s="6"/>
      <c r="C1334" s="6"/>
      <c r="D1334" s="6"/>
      <c r="E1334" s="13"/>
      <c r="F1334" s="6"/>
      <c r="G1334" s="11" t="str">
        <f aca="true">IF(F1334="","",YEAR(TODAY())-F1334)</f>
        <v/>
      </c>
      <c r="H1334" s="11" t="str">
        <f aca="false">IF(C1334="","",IF(G1334="","Thiếu thông tin",IF(G1334&lt;6,"Trẻ em",IF(G1334&lt;23,"Học sinh / Sinh viên",IF(G1334&lt;60,"Đang đi làm","Nghỉ hưu")))))</f>
        <v/>
      </c>
      <c r="I1334" s="6"/>
      <c r="J1334" s="11" t="str">
        <f aca="false">IF(B1334="","",IFERROR(INDEX('Hộ gia đình'!$B$2:$B$2000,MATCH(B1334,'Hộ gia đình'!$A$2:$A$2000,0)),"Mã hộ không tồn tại"))</f>
        <v/>
      </c>
      <c r="K1334" s="14"/>
      <c r="L1334" s="14"/>
      <c r="M1334" s="6"/>
      <c r="N1334" s="6"/>
      <c r="O1334" s="6"/>
      <c r="P1334" s="6"/>
      <c r="Q1334" s="6"/>
      <c r="R1334" s="12"/>
    </row>
    <row r="1335" customFormat="false" ht="15" hidden="false" customHeight="true" outlineLevel="0" collapsed="false">
      <c r="A1335" s="6"/>
      <c r="B1335" s="6"/>
      <c r="C1335" s="6"/>
      <c r="D1335" s="6"/>
      <c r="E1335" s="13"/>
      <c r="F1335" s="6"/>
      <c r="G1335" s="11" t="str">
        <f aca="true">IF(F1335="","",YEAR(TODAY())-F1335)</f>
        <v/>
      </c>
      <c r="H1335" s="11" t="str">
        <f aca="false">IF(C1335="","",IF(G1335="","Thiếu thông tin",IF(G1335&lt;6,"Trẻ em",IF(G1335&lt;23,"Học sinh / Sinh viên",IF(G1335&lt;60,"Đang đi làm","Nghỉ hưu")))))</f>
        <v/>
      </c>
      <c r="I1335" s="6"/>
      <c r="J1335" s="11" t="str">
        <f aca="false">IF(B1335="","",IFERROR(INDEX('Hộ gia đình'!$B$2:$B$2000,MATCH(B1335,'Hộ gia đình'!$A$2:$A$2000,0)),"Mã hộ không tồn tại"))</f>
        <v/>
      </c>
      <c r="K1335" s="14"/>
      <c r="L1335" s="14"/>
      <c r="M1335" s="6"/>
      <c r="N1335" s="6"/>
      <c r="O1335" s="6"/>
      <c r="P1335" s="6"/>
      <c r="Q1335" s="6"/>
      <c r="R1335" s="12"/>
    </row>
    <row r="1336" customFormat="false" ht="15" hidden="false" customHeight="true" outlineLevel="0" collapsed="false">
      <c r="A1336" s="6"/>
      <c r="B1336" s="6"/>
      <c r="C1336" s="6"/>
      <c r="D1336" s="6"/>
      <c r="E1336" s="13"/>
      <c r="F1336" s="6"/>
      <c r="G1336" s="11" t="str">
        <f aca="true">IF(F1336="","",YEAR(TODAY())-F1336)</f>
        <v/>
      </c>
      <c r="H1336" s="11" t="str">
        <f aca="false">IF(C1336="","",IF(G1336="","Thiếu thông tin",IF(G1336&lt;6,"Trẻ em",IF(G1336&lt;23,"Học sinh / Sinh viên",IF(G1336&lt;60,"Đang đi làm","Nghỉ hưu")))))</f>
        <v/>
      </c>
      <c r="I1336" s="6"/>
      <c r="J1336" s="11" t="str">
        <f aca="false">IF(B1336="","",IFERROR(INDEX('Hộ gia đình'!$B$2:$B$2000,MATCH(B1336,'Hộ gia đình'!$A$2:$A$2000,0)),"Mã hộ không tồn tại"))</f>
        <v/>
      </c>
      <c r="K1336" s="14"/>
      <c r="L1336" s="14"/>
      <c r="M1336" s="6"/>
      <c r="N1336" s="6"/>
      <c r="O1336" s="6"/>
      <c r="P1336" s="6"/>
      <c r="Q1336" s="6"/>
      <c r="R1336" s="12"/>
    </row>
    <row r="1337" customFormat="false" ht="15" hidden="false" customHeight="true" outlineLevel="0" collapsed="false">
      <c r="A1337" s="6"/>
      <c r="B1337" s="6"/>
      <c r="C1337" s="6"/>
      <c r="D1337" s="6"/>
      <c r="E1337" s="13"/>
      <c r="F1337" s="6"/>
      <c r="G1337" s="11" t="str">
        <f aca="true">IF(F1337="","",YEAR(TODAY())-F1337)</f>
        <v/>
      </c>
      <c r="H1337" s="11" t="str">
        <f aca="false">IF(C1337="","",IF(G1337="","Thiếu thông tin",IF(G1337&lt;6,"Trẻ em",IF(G1337&lt;23,"Học sinh / Sinh viên",IF(G1337&lt;60,"Đang đi làm","Nghỉ hưu")))))</f>
        <v/>
      </c>
      <c r="I1337" s="6"/>
      <c r="J1337" s="11" t="str">
        <f aca="false">IF(B1337="","",IFERROR(INDEX('Hộ gia đình'!$B$2:$B$2000,MATCH(B1337,'Hộ gia đình'!$A$2:$A$2000,0)),"Mã hộ không tồn tại"))</f>
        <v/>
      </c>
      <c r="K1337" s="14"/>
      <c r="L1337" s="14"/>
      <c r="M1337" s="6"/>
      <c r="N1337" s="6"/>
      <c r="O1337" s="6"/>
      <c r="P1337" s="6"/>
      <c r="Q1337" s="6"/>
      <c r="R1337" s="12"/>
    </row>
    <row r="1338" customFormat="false" ht="15" hidden="false" customHeight="true" outlineLevel="0" collapsed="false">
      <c r="A1338" s="6"/>
      <c r="B1338" s="6"/>
      <c r="C1338" s="6"/>
      <c r="D1338" s="6"/>
      <c r="E1338" s="13"/>
      <c r="F1338" s="6"/>
      <c r="G1338" s="11" t="str">
        <f aca="true">IF(F1338="","",YEAR(TODAY())-F1338)</f>
        <v/>
      </c>
      <c r="H1338" s="11" t="str">
        <f aca="false">IF(C1338="","",IF(G1338="","Thiếu thông tin",IF(G1338&lt;6,"Trẻ em",IF(G1338&lt;23,"Học sinh / Sinh viên",IF(G1338&lt;60,"Đang đi làm","Nghỉ hưu")))))</f>
        <v/>
      </c>
      <c r="I1338" s="6"/>
      <c r="J1338" s="11" t="str">
        <f aca="false">IF(B1338="","",IFERROR(INDEX('Hộ gia đình'!$B$2:$B$2000,MATCH(B1338,'Hộ gia đình'!$A$2:$A$2000,0)),"Mã hộ không tồn tại"))</f>
        <v/>
      </c>
      <c r="K1338" s="14"/>
      <c r="L1338" s="14"/>
      <c r="M1338" s="6"/>
      <c r="N1338" s="6"/>
      <c r="O1338" s="6"/>
      <c r="P1338" s="6"/>
      <c r="Q1338" s="6"/>
      <c r="R1338" s="12"/>
    </row>
    <row r="1339" customFormat="false" ht="15" hidden="false" customHeight="true" outlineLevel="0" collapsed="false">
      <c r="A1339" s="6"/>
      <c r="B1339" s="6"/>
      <c r="C1339" s="6"/>
      <c r="D1339" s="6"/>
      <c r="E1339" s="13"/>
      <c r="F1339" s="6"/>
      <c r="G1339" s="11" t="str">
        <f aca="true">IF(F1339="","",YEAR(TODAY())-F1339)</f>
        <v/>
      </c>
      <c r="H1339" s="11" t="str">
        <f aca="false">IF(C1339="","",IF(G1339="","Thiếu thông tin",IF(G1339&lt;6,"Trẻ em",IF(G1339&lt;23,"Học sinh / Sinh viên",IF(G1339&lt;60,"Đang đi làm","Nghỉ hưu")))))</f>
        <v/>
      </c>
      <c r="I1339" s="6"/>
      <c r="J1339" s="11" t="str">
        <f aca="false">IF(B1339="","",IFERROR(INDEX('Hộ gia đình'!$B$2:$B$2000,MATCH(B1339,'Hộ gia đình'!$A$2:$A$2000,0)),"Mã hộ không tồn tại"))</f>
        <v/>
      </c>
      <c r="K1339" s="14"/>
      <c r="L1339" s="14"/>
      <c r="M1339" s="6"/>
      <c r="N1339" s="6"/>
      <c r="O1339" s="6"/>
      <c r="P1339" s="6"/>
      <c r="Q1339" s="6"/>
      <c r="R1339" s="12"/>
    </row>
    <row r="1340" customFormat="false" ht="15" hidden="false" customHeight="true" outlineLevel="0" collapsed="false">
      <c r="A1340" s="6"/>
      <c r="B1340" s="6"/>
      <c r="C1340" s="6"/>
      <c r="D1340" s="6"/>
      <c r="E1340" s="13"/>
      <c r="F1340" s="6"/>
      <c r="G1340" s="11" t="str">
        <f aca="true">IF(F1340="","",YEAR(TODAY())-F1340)</f>
        <v/>
      </c>
      <c r="H1340" s="11" t="str">
        <f aca="false">IF(C1340="","",IF(G1340="","Thiếu thông tin",IF(G1340&lt;6,"Trẻ em",IF(G1340&lt;23,"Học sinh / Sinh viên",IF(G1340&lt;60,"Đang đi làm","Nghỉ hưu")))))</f>
        <v/>
      </c>
      <c r="I1340" s="6"/>
      <c r="J1340" s="11" t="str">
        <f aca="false">IF(B1340="","",IFERROR(INDEX('Hộ gia đình'!$B$2:$B$2000,MATCH(B1340,'Hộ gia đình'!$A$2:$A$2000,0)),"Mã hộ không tồn tại"))</f>
        <v/>
      </c>
      <c r="K1340" s="14"/>
      <c r="L1340" s="14"/>
      <c r="M1340" s="6"/>
      <c r="N1340" s="6"/>
      <c r="O1340" s="6"/>
      <c r="P1340" s="6"/>
      <c r="Q1340" s="6"/>
      <c r="R1340" s="12"/>
    </row>
    <row r="1341" customFormat="false" ht="15" hidden="false" customHeight="true" outlineLevel="0" collapsed="false">
      <c r="A1341" s="6"/>
      <c r="B1341" s="6"/>
      <c r="C1341" s="6"/>
      <c r="D1341" s="6"/>
      <c r="E1341" s="13"/>
      <c r="F1341" s="6"/>
      <c r="G1341" s="11" t="str">
        <f aca="true">IF(F1341="","",YEAR(TODAY())-F1341)</f>
        <v/>
      </c>
      <c r="H1341" s="11" t="str">
        <f aca="false">IF(C1341="","",IF(G1341="","Thiếu thông tin",IF(G1341&lt;6,"Trẻ em",IF(G1341&lt;23,"Học sinh / Sinh viên",IF(G1341&lt;60,"Đang đi làm","Nghỉ hưu")))))</f>
        <v/>
      </c>
      <c r="I1341" s="6"/>
      <c r="J1341" s="11" t="str">
        <f aca="false">IF(B1341="","",IFERROR(INDEX('Hộ gia đình'!$B$2:$B$2000,MATCH(B1341,'Hộ gia đình'!$A$2:$A$2000,0)),"Mã hộ không tồn tại"))</f>
        <v/>
      </c>
      <c r="K1341" s="14"/>
      <c r="L1341" s="14"/>
      <c r="M1341" s="6"/>
      <c r="N1341" s="6"/>
      <c r="O1341" s="6"/>
      <c r="P1341" s="6"/>
      <c r="Q1341" s="6"/>
      <c r="R1341" s="12"/>
    </row>
    <row r="1342" customFormat="false" ht="15" hidden="false" customHeight="true" outlineLevel="0" collapsed="false">
      <c r="A1342" s="6"/>
      <c r="B1342" s="6"/>
      <c r="C1342" s="6"/>
      <c r="D1342" s="6"/>
      <c r="E1342" s="13"/>
      <c r="F1342" s="6"/>
      <c r="G1342" s="11" t="str">
        <f aca="true">IF(F1342="","",YEAR(TODAY())-F1342)</f>
        <v/>
      </c>
      <c r="H1342" s="11" t="str">
        <f aca="false">IF(C1342="","",IF(G1342="","Thiếu thông tin",IF(G1342&lt;6,"Trẻ em",IF(G1342&lt;23,"Học sinh / Sinh viên",IF(G1342&lt;60,"Đang đi làm","Nghỉ hưu")))))</f>
        <v/>
      </c>
      <c r="I1342" s="6"/>
      <c r="J1342" s="11" t="str">
        <f aca="false">IF(B1342="","",IFERROR(INDEX('Hộ gia đình'!$B$2:$B$2000,MATCH(B1342,'Hộ gia đình'!$A$2:$A$2000,0)),"Mã hộ không tồn tại"))</f>
        <v/>
      </c>
      <c r="K1342" s="14"/>
      <c r="L1342" s="14"/>
      <c r="M1342" s="6"/>
      <c r="N1342" s="6"/>
      <c r="O1342" s="6"/>
      <c r="P1342" s="6"/>
      <c r="Q1342" s="6"/>
      <c r="R1342" s="12"/>
    </row>
    <row r="1343" customFormat="false" ht="15" hidden="false" customHeight="true" outlineLevel="0" collapsed="false">
      <c r="A1343" s="6"/>
      <c r="B1343" s="6"/>
      <c r="C1343" s="6"/>
      <c r="D1343" s="6"/>
      <c r="E1343" s="13"/>
      <c r="F1343" s="6"/>
      <c r="G1343" s="11" t="str">
        <f aca="true">IF(F1343="","",YEAR(TODAY())-F1343)</f>
        <v/>
      </c>
      <c r="H1343" s="11" t="str">
        <f aca="false">IF(C1343="","",IF(G1343="","Thiếu thông tin",IF(G1343&lt;6,"Trẻ em",IF(G1343&lt;23,"Học sinh / Sinh viên",IF(G1343&lt;60,"Đang đi làm","Nghỉ hưu")))))</f>
        <v/>
      </c>
      <c r="I1343" s="6"/>
      <c r="J1343" s="11" t="str">
        <f aca="false">IF(B1343="","",IFERROR(INDEX('Hộ gia đình'!$B$2:$B$2000,MATCH(B1343,'Hộ gia đình'!$A$2:$A$2000,0)),"Mã hộ không tồn tại"))</f>
        <v/>
      </c>
      <c r="K1343" s="14"/>
      <c r="L1343" s="14"/>
      <c r="M1343" s="6"/>
      <c r="N1343" s="6"/>
      <c r="O1343" s="6"/>
      <c r="P1343" s="6"/>
      <c r="Q1343" s="6"/>
      <c r="R1343" s="12"/>
    </row>
    <row r="1344" customFormat="false" ht="15" hidden="false" customHeight="true" outlineLevel="0" collapsed="false">
      <c r="A1344" s="6"/>
      <c r="B1344" s="6"/>
      <c r="C1344" s="6"/>
      <c r="D1344" s="6"/>
      <c r="E1344" s="13"/>
      <c r="F1344" s="6"/>
      <c r="G1344" s="11" t="str">
        <f aca="true">IF(F1344="","",YEAR(TODAY())-F1344)</f>
        <v/>
      </c>
      <c r="H1344" s="11" t="str">
        <f aca="false">IF(C1344="","",IF(G1344="","Thiếu thông tin",IF(G1344&lt;6,"Trẻ em",IF(G1344&lt;23,"Học sinh / Sinh viên",IF(G1344&lt;60,"Đang đi làm","Nghỉ hưu")))))</f>
        <v/>
      </c>
      <c r="I1344" s="6"/>
      <c r="J1344" s="11" t="str">
        <f aca="false">IF(B1344="","",IFERROR(INDEX('Hộ gia đình'!$B$2:$B$2000,MATCH(B1344,'Hộ gia đình'!$A$2:$A$2000,0)),"Mã hộ không tồn tại"))</f>
        <v/>
      </c>
      <c r="K1344" s="14"/>
      <c r="L1344" s="14"/>
      <c r="M1344" s="6"/>
      <c r="N1344" s="6"/>
      <c r="O1344" s="6"/>
      <c r="P1344" s="6"/>
      <c r="Q1344" s="6"/>
      <c r="R1344" s="12"/>
    </row>
    <row r="1345" customFormat="false" ht="15" hidden="false" customHeight="true" outlineLevel="0" collapsed="false">
      <c r="A1345" s="6"/>
      <c r="B1345" s="6"/>
      <c r="C1345" s="6"/>
      <c r="D1345" s="6"/>
      <c r="E1345" s="13"/>
      <c r="F1345" s="6"/>
      <c r="G1345" s="11" t="str">
        <f aca="true">IF(F1345="","",YEAR(TODAY())-F1345)</f>
        <v/>
      </c>
      <c r="H1345" s="11" t="str">
        <f aca="false">IF(C1345="","",IF(G1345="","Thiếu thông tin",IF(G1345&lt;6,"Trẻ em",IF(G1345&lt;23,"Học sinh / Sinh viên",IF(G1345&lt;60,"Đang đi làm","Nghỉ hưu")))))</f>
        <v/>
      </c>
      <c r="I1345" s="6"/>
      <c r="J1345" s="11" t="str">
        <f aca="false">IF(B1345="","",IFERROR(INDEX('Hộ gia đình'!$B$2:$B$2000,MATCH(B1345,'Hộ gia đình'!$A$2:$A$2000,0)),"Mã hộ không tồn tại"))</f>
        <v/>
      </c>
      <c r="K1345" s="14"/>
      <c r="L1345" s="14"/>
      <c r="M1345" s="6"/>
      <c r="N1345" s="6"/>
      <c r="O1345" s="6"/>
      <c r="P1345" s="6"/>
      <c r="Q1345" s="6"/>
      <c r="R1345" s="12"/>
    </row>
    <row r="1346" customFormat="false" ht="15" hidden="false" customHeight="true" outlineLevel="0" collapsed="false">
      <c r="A1346" s="6"/>
      <c r="B1346" s="6"/>
      <c r="C1346" s="6"/>
      <c r="D1346" s="6"/>
      <c r="E1346" s="13"/>
      <c r="F1346" s="6"/>
      <c r="G1346" s="11" t="str">
        <f aca="true">IF(F1346="","",YEAR(TODAY())-F1346)</f>
        <v/>
      </c>
      <c r="H1346" s="11" t="str">
        <f aca="false">IF(C1346="","",IF(G1346="","Thiếu thông tin",IF(G1346&lt;6,"Trẻ em",IF(G1346&lt;23,"Học sinh / Sinh viên",IF(G1346&lt;60,"Đang đi làm","Nghỉ hưu")))))</f>
        <v/>
      </c>
      <c r="I1346" s="6"/>
      <c r="J1346" s="11" t="str">
        <f aca="false">IF(B1346="","",IFERROR(INDEX('Hộ gia đình'!$B$2:$B$2000,MATCH(B1346,'Hộ gia đình'!$A$2:$A$2000,0)),"Mã hộ không tồn tại"))</f>
        <v/>
      </c>
      <c r="K1346" s="14"/>
      <c r="L1346" s="14"/>
      <c r="M1346" s="6"/>
      <c r="N1346" s="6"/>
      <c r="O1346" s="6"/>
      <c r="P1346" s="6"/>
      <c r="Q1346" s="6"/>
      <c r="R1346" s="12"/>
    </row>
    <row r="1347" customFormat="false" ht="15" hidden="false" customHeight="true" outlineLevel="0" collapsed="false">
      <c r="A1347" s="6"/>
      <c r="B1347" s="6"/>
      <c r="C1347" s="6"/>
      <c r="D1347" s="6"/>
      <c r="E1347" s="13"/>
      <c r="F1347" s="6"/>
      <c r="G1347" s="11" t="str">
        <f aca="true">IF(F1347="","",YEAR(TODAY())-F1347)</f>
        <v/>
      </c>
      <c r="H1347" s="11" t="str">
        <f aca="false">IF(C1347="","",IF(G1347="","Thiếu thông tin",IF(G1347&lt;6,"Trẻ em",IF(G1347&lt;23,"Học sinh / Sinh viên",IF(G1347&lt;60,"Đang đi làm","Nghỉ hưu")))))</f>
        <v/>
      </c>
      <c r="I1347" s="6"/>
      <c r="J1347" s="11" t="str">
        <f aca="false">IF(B1347="","",IFERROR(INDEX('Hộ gia đình'!$B$2:$B$2000,MATCH(B1347,'Hộ gia đình'!$A$2:$A$2000,0)),"Mã hộ không tồn tại"))</f>
        <v/>
      </c>
      <c r="K1347" s="14"/>
      <c r="L1347" s="14"/>
      <c r="M1347" s="6"/>
      <c r="N1347" s="6"/>
      <c r="O1347" s="6"/>
      <c r="P1347" s="6"/>
      <c r="Q1347" s="6"/>
      <c r="R1347" s="12"/>
    </row>
    <row r="1348" customFormat="false" ht="15" hidden="false" customHeight="true" outlineLevel="0" collapsed="false">
      <c r="A1348" s="6"/>
      <c r="B1348" s="6"/>
      <c r="C1348" s="6"/>
      <c r="D1348" s="6"/>
      <c r="E1348" s="13"/>
      <c r="F1348" s="6"/>
      <c r="G1348" s="11" t="str">
        <f aca="true">IF(F1348="","",YEAR(TODAY())-F1348)</f>
        <v/>
      </c>
      <c r="H1348" s="11" t="str">
        <f aca="false">IF(C1348="","",IF(G1348="","Thiếu thông tin",IF(G1348&lt;6,"Trẻ em",IF(G1348&lt;23,"Học sinh / Sinh viên",IF(G1348&lt;60,"Đang đi làm","Nghỉ hưu")))))</f>
        <v/>
      </c>
      <c r="I1348" s="6"/>
      <c r="J1348" s="11" t="str">
        <f aca="false">IF(B1348="","",IFERROR(INDEX('Hộ gia đình'!$B$2:$B$2000,MATCH(B1348,'Hộ gia đình'!$A$2:$A$2000,0)),"Mã hộ không tồn tại"))</f>
        <v/>
      </c>
      <c r="K1348" s="14"/>
      <c r="L1348" s="14"/>
      <c r="M1348" s="6"/>
      <c r="N1348" s="6"/>
      <c r="O1348" s="6"/>
      <c r="P1348" s="6"/>
      <c r="Q1348" s="6"/>
      <c r="R1348" s="12"/>
    </row>
    <row r="1349" customFormat="false" ht="15" hidden="false" customHeight="true" outlineLevel="0" collapsed="false">
      <c r="A1349" s="6"/>
      <c r="B1349" s="6"/>
      <c r="C1349" s="6"/>
      <c r="D1349" s="6"/>
      <c r="E1349" s="13"/>
      <c r="F1349" s="6"/>
      <c r="G1349" s="11" t="str">
        <f aca="true">IF(F1349="","",YEAR(TODAY())-F1349)</f>
        <v/>
      </c>
      <c r="H1349" s="11" t="str">
        <f aca="false">IF(C1349="","",IF(G1349="","Thiếu thông tin",IF(G1349&lt;6,"Trẻ em",IF(G1349&lt;23,"Học sinh / Sinh viên",IF(G1349&lt;60,"Đang đi làm","Nghỉ hưu")))))</f>
        <v/>
      </c>
      <c r="I1349" s="6"/>
      <c r="J1349" s="11" t="str">
        <f aca="false">IF(B1349="","",IFERROR(INDEX('Hộ gia đình'!$B$2:$B$2000,MATCH(B1349,'Hộ gia đình'!$A$2:$A$2000,0)),"Mã hộ không tồn tại"))</f>
        <v/>
      </c>
      <c r="K1349" s="14"/>
      <c r="L1349" s="14"/>
      <c r="M1349" s="6"/>
      <c r="N1349" s="6"/>
      <c r="O1349" s="6"/>
      <c r="P1349" s="6"/>
      <c r="Q1349" s="6"/>
      <c r="R1349" s="12"/>
    </row>
    <row r="1350" customFormat="false" ht="15" hidden="false" customHeight="true" outlineLevel="0" collapsed="false">
      <c r="A1350" s="6"/>
      <c r="B1350" s="6"/>
      <c r="C1350" s="6"/>
      <c r="D1350" s="6"/>
      <c r="E1350" s="13"/>
      <c r="F1350" s="6"/>
      <c r="G1350" s="11" t="str">
        <f aca="true">IF(F1350="","",YEAR(TODAY())-F1350)</f>
        <v/>
      </c>
      <c r="H1350" s="11" t="str">
        <f aca="false">IF(C1350="","",IF(G1350="","Thiếu thông tin",IF(G1350&lt;6,"Trẻ em",IF(G1350&lt;23,"Học sinh / Sinh viên",IF(G1350&lt;60,"Đang đi làm","Nghỉ hưu")))))</f>
        <v/>
      </c>
      <c r="I1350" s="6"/>
      <c r="J1350" s="11" t="str">
        <f aca="false">IF(B1350="","",IFERROR(INDEX('Hộ gia đình'!$B$2:$B$2000,MATCH(B1350,'Hộ gia đình'!$A$2:$A$2000,0)),"Mã hộ không tồn tại"))</f>
        <v/>
      </c>
      <c r="K1350" s="14"/>
      <c r="L1350" s="14"/>
      <c r="M1350" s="6"/>
      <c r="N1350" s="6"/>
      <c r="O1350" s="6"/>
      <c r="P1350" s="6"/>
      <c r="Q1350" s="6"/>
      <c r="R1350" s="12"/>
    </row>
    <row r="1351" customFormat="false" ht="15" hidden="false" customHeight="true" outlineLevel="0" collapsed="false">
      <c r="A1351" s="6"/>
      <c r="B1351" s="6"/>
      <c r="C1351" s="6"/>
      <c r="D1351" s="6"/>
      <c r="E1351" s="13"/>
      <c r="F1351" s="6"/>
      <c r="G1351" s="11" t="str">
        <f aca="true">IF(F1351="","",YEAR(TODAY())-F1351)</f>
        <v/>
      </c>
      <c r="H1351" s="11" t="str">
        <f aca="false">IF(C1351="","",IF(G1351="","Thiếu thông tin",IF(G1351&lt;6,"Trẻ em",IF(G1351&lt;23,"Học sinh / Sinh viên",IF(G1351&lt;60,"Đang đi làm","Nghỉ hưu")))))</f>
        <v/>
      </c>
      <c r="I1351" s="6"/>
      <c r="J1351" s="11" t="str">
        <f aca="false">IF(B1351="","",IFERROR(INDEX('Hộ gia đình'!$B$2:$B$2000,MATCH(B1351,'Hộ gia đình'!$A$2:$A$2000,0)),"Mã hộ không tồn tại"))</f>
        <v/>
      </c>
      <c r="K1351" s="14"/>
      <c r="L1351" s="14"/>
      <c r="M1351" s="6"/>
      <c r="N1351" s="6"/>
      <c r="O1351" s="6"/>
      <c r="P1351" s="6"/>
      <c r="Q1351" s="6"/>
      <c r="R1351" s="12"/>
    </row>
    <row r="1352" customFormat="false" ht="15" hidden="false" customHeight="true" outlineLevel="0" collapsed="false">
      <c r="A1352" s="6"/>
      <c r="B1352" s="6"/>
      <c r="C1352" s="6"/>
      <c r="D1352" s="6"/>
      <c r="E1352" s="13"/>
      <c r="F1352" s="6"/>
      <c r="G1352" s="11" t="str">
        <f aca="true">IF(F1352="","",YEAR(TODAY())-F1352)</f>
        <v/>
      </c>
      <c r="H1352" s="11" t="str">
        <f aca="false">IF(C1352="","",IF(G1352="","Thiếu thông tin",IF(G1352&lt;6,"Trẻ em",IF(G1352&lt;23,"Học sinh / Sinh viên",IF(G1352&lt;60,"Đang đi làm","Nghỉ hưu")))))</f>
        <v/>
      </c>
      <c r="I1352" s="6"/>
      <c r="J1352" s="11" t="str">
        <f aca="false">IF(B1352="","",IFERROR(INDEX('Hộ gia đình'!$B$2:$B$2000,MATCH(B1352,'Hộ gia đình'!$A$2:$A$2000,0)),"Mã hộ không tồn tại"))</f>
        <v/>
      </c>
      <c r="K1352" s="14"/>
      <c r="L1352" s="14"/>
      <c r="M1352" s="6"/>
      <c r="N1352" s="6"/>
      <c r="O1352" s="6"/>
      <c r="P1352" s="6"/>
      <c r="Q1352" s="6"/>
      <c r="R1352" s="12"/>
    </row>
    <row r="1353" customFormat="false" ht="15" hidden="false" customHeight="true" outlineLevel="0" collapsed="false">
      <c r="A1353" s="6"/>
      <c r="B1353" s="6"/>
      <c r="C1353" s="6"/>
      <c r="D1353" s="6"/>
      <c r="E1353" s="13"/>
      <c r="F1353" s="6"/>
      <c r="G1353" s="11" t="str">
        <f aca="true">IF(F1353="","",YEAR(TODAY())-F1353)</f>
        <v/>
      </c>
      <c r="H1353" s="11" t="str">
        <f aca="false">IF(C1353="","",IF(G1353="","Thiếu thông tin",IF(G1353&lt;6,"Trẻ em",IF(G1353&lt;23,"Học sinh / Sinh viên",IF(G1353&lt;60,"Đang đi làm","Nghỉ hưu")))))</f>
        <v/>
      </c>
      <c r="I1353" s="6"/>
      <c r="J1353" s="11" t="str">
        <f aca="false">IF(B1353="","",IFERROR(INDEX('Hộ gia đình'!$B$2:$B$2000,MATCH(B1353,'Hộ gia đình'!$A$2:$A$2000,0)),"Mã hộ không tồn tại"))</f>
        <v/>
      </c>
      <c r="K1353" s="14"/>
      <c r="L1353" s="14"/>
      <c r="M1353" s="6"/>
      <c r="N1353" s="6"/>
      <c r="O1353" s="6"/>
      <c r="P1353" s="6"/>
      <c r="Q1353" s="6"/>
      <c r="R1353" s="12"/>
    </row>
    <row r="1354" customFormat="false" ht="15" hidden="false" customHeight="true" outlineLevel="0" collapsed="false">
      <c r="A1354" s="6"/>
      <c r="B1354" s="6"/>
      <c r="C1354" s="6"/>
      <c r="D1354" s="6"/>
      <c r="E1354" s="13"/>
      <c r="F1354" s="6"/>
      <c r="G1354" s="11" t="str">
        <f aca="true">IF(F1354="","",YEAR(TODAY())-F1354)</f>
        <v/>
      </c>
      <c r="H1354" s="11" t="str">
        <f aca="false">IF(C1354="","",IF(G1354="","Thiếu thông tin",IF(G1354&lt;6,"Trẻ em",IF(G1354&lt;23,"Học sinh / Sinh viên",IF(G1354&lt;60,"Đang đi làm","Nghỉ hưu")))))</f>
        <v/>
      </c>
      <c r="I1354" s="6"/>
      <c r="J1354" s="11" t="str">
        <f aca="false">IF(B1354="","",IFERROR(INDEX('Hộ gia đình'!$B$2:$B$2000,MATCH(B1354,'Hộ gia đình'!$A$2:$A$2000,0)),"Mã hộ không tồn tại"))</f>
        <v/>
      </c>
      <c r="K1354" s="14"/>
      <c r="L1354" s="14"/>
      <c r="M1354" s="6"/>
      <c r="N1354" s="6"/>
      <c r="O1354" s="6"/>
      <c r="P1354" s="6"/>
      <c r="Q1354" s="6"/>
      <c r="R1354" s="12"/>
    </row>
    <row r="1355" customFormat="false" ht="15" hidden="false" customHeight="true" outlineLevel="0" collapsed="false">
      <c r="A1355" s="6"/>
      <c r="B1355" s="6"/>
      <c r="C1355" s="6"/>
      <c r="D1355" s="6"/>
      <c r="E1355" s="13"/>
      <c r="F1355" s="6"/>
      <c r="G1355" s="11" t="str">
        <f aca="true">IF(F1355="","",YEAR(TODAY())-F1355)</f>
        <v/>
      </c>
      <c r="H1355" s="11" t="str">
        <f aca="false">IF(C1355="","",IF(G1355="","Thiếu thông tin",IF(G1355&lt;6,"Trẻ em",IF(G1355&lt;23,"Học sinh / Sinh viên",IF(G1355&lt;60,"Đang đi làm","Nghỉ hưu")))))</f>
        <v/>
      </c>
      <c r="I1355" s="6"/>
      <c r="J1355" s="11" t="str">
        <f aca="false">IF(B1355="","",IFERROR(INDEX('Hộ gia đình'!$B$2:$B$2000,MATCH(B1355,'Hộ gia đình'!$A$2:$A$2000,0)),"Mã hộ không tồn tại"))</f>
        <v/>
      </c>
      <c r="K1355" s="14"/>
      <c r="L1355" s="14"/>
      <c r="M1355" s="6"/>
      <c r="N1355" s="6"/>
      <c r="O1355" s="6"/>
      <c r="P1355" s="6"/>
      <c r="Q1355" s="6"/>
      <c r="R1355" s="12"/>
    </row>
    <row r="1356" customFormat="false" ht="15" hidden="false" customHeight="true" outlineLevel="0" collapsed="false">
      <c r="A1356" s="6"/>
      <c r="B1356" s="6"/>
      <c r="C1356" s="6"/>
      <c r="D1356" s="6"/>
      <c r="E1356" s="13"/>
      <c r="F1356" s="6"/>
      <c r="G1356" s="11" t="str">
        <f aca="true">IF(F1356="","",YEAR(TODAY())-F1356)</f>
        <v/>
      </c>
      <c r="H1356" s="11" t="str">
        <f aca="false">IF(C1356="","",IF(G1356="","Thiếu thông tin",IF(G1356&lt;6,"Trẻ em",IF(G1356&lt;23,"Học sinh / Sinh viên",IF(G1356&lt;60,"Đang đi làm","Nghỉ hưu")))))</f>
        <v/>
      </c>
      <c r="I1356" s="6"/>
      <c r="J1356" s="11" t="str">
        <f aca="false">IF(B1356="","",IFERROR(INDEX('Hộ gia đình'!$B$2:$B$2000,MATCH(B1356,'Hộ gia đình'!$A$2:$A$2000,0)),"Mã hộ không tồn tại"))</f>
        <v/>
      </c>
      <c r="K1356" s="14"/>
      <c r="L1356" s="14"/>
      <c r="M1356" s="6"/>
      <c r="N1356" s="6"/>
      <c r="O1356" s="6"/>
      <c r="P1356" s="6"/>
      <c r="Q1356" s="6"/>
      <c r="R1356" s="12"/>
    </row>
    <row r="1357" customFormat="false" ht="15" hidden="false" customHeight="true" outlineLevel="0" collapsed="false">
      <c r="A1357" s="6"/>
      <c r="B1357" s="6"/>
      <c r="C1357" s="6"/>
      <c r="D1357" s="6"/>
      <c r="E1357" s="13"/>
      <c r="F1357" s="6"/>
      <c r="G1357" s="11" t="str">
        <f aca="true">IF(F1357="","",YEAR(TODAY())-F1357)</f>
        <v/>
      </c>
      <c r="H1357" s="11" t="str">
        <f aca="false">IF(C1357="","",IF(G1357="","Thiếu thông tin",IF(G1357&lt;6,"Trẻ em",IF(G1357&lt;23,"Học sinh / Sinh viên",IF(G1357&lt;60,"Đang đi làm","Nghỉ hưu")))))</f>
        <v/>
      </c>
      <c r="I1357" s="6"/>
      <c r="J1357" s="11" t="str">
        <f aca="false">IF(B1357="","",IFERROR(INDEX('Hộ gia đình'!$B$2:$B$2000,MATCH(B1357,'Hộ gia đình'!$A$2:$A$2000,0)),"Mã hộ không tồn tại"))</f>
        <v/>
      </c>
      <c r="K1357" s="14"/>
      <c r="L1357" s="14"/>
      <c r="M1357" s="6"/>
      <c r="N1357" s="6"/>
      <c r="O1357" s="6"/>
      <c r="P1357" s="6"/>
      <c r="Q1357" s="6"/>
      <c r="R1357" s="12"/>
    </row>
    <row r="1358" customFormat="false" ht="15" hidden="false" customHeight="true" outlineLevel="0" collapsed="false">
      <c r="A1358" s="6"/>
      <c r="B1358" s="6"/>
      <c r="C1358" s="6"/>
      <c r="D1358" s="6"/>
      <c r="E1358" s="13"/>
      <c r="F1358" s="6"/>
      <c r="G1358" s="11" t="str">
        <f aca="true">IF(F1358="","",YEAR(TODAY())-F1358)</f>
        <v/>
      </c>
      <c r="H1358" s="11" t="str">
        <f aca="false">IF(C1358="","",IF(G1358="","Thiếu thông tin",IF(G1358&lt;6,"Trẻ em",IF(G1358&lt;23,"Học sinh / Sinh viên",IF(G1358&lt;60,"Đang đi làm","Nghỉ hưu")))))</f>
        <v/>
      </c>
      <c r="I1358" s="6"/>
      <c r="J1358" s="11" t="str">
        <f aca="false">IF(B1358="","",IFERROR(INDEX('Hộ gia đình'!$B$2:$B$2000,MATCH(B1358,'Hộ gia đình'!$A$2:$A$2000,0)),"Mã hộ không tồn tại"))</f>
        <v/>
      </c>
      <c r="K1358" s="14"/>
      <c r="L1358" s="14"/>
      <c r="M1358" s="6"/>
      <c r="N1358" s="6"/>
      <c r="O1358" s="6"/>
      <c r="P1358" s="6"/>
      <c r="Q1358" s="6"/>
      <c r="R1358" s="12"/>
    </row>
    <row r="1359" customFormat="false" ht="15" hidden="false" customHeight="true" outlineLevel="0" collapsed="false">
      <c r="A1359" s="6"/>
      <c r="B1359" s="6"/>
      <c r="C1359" s="6"/>
      <c r="D1359" s="6"/>
      <c r="E1359" s="13"/>
      <c r="F1359" s="6"/>
      <c r="G1359" s="11" t="str">
        <f aca="true">IF(F1359="","",YEAR(TODAY())-F1359)</f>
        <v/>
      </c>
      <c r="H1359" s="11" t="str">
        <f aca="false">IF(C1359="","",IF(G1359="","Thiếu thông tin",IF(G1359&lt;6,"Trẻ em",IF(G1359&lt;23,"Học sinh / Sinh viên",IF(G1359&lt;60,"Đang đi làm","Nghỉ hưu")))))</f>
        <v/>
      </c>
      <c r="I1359" s="6"/>
      <c r="J1359" s="11" t="str">
        <f aca="false">IF(B1359="","",IFERROR(INDEX('Hộ gia đình'!$B$2:$B$2000,MATCH(B1359,'Hộ gia đình'!$A$2:$A$2000,0)),"Mã hộ không tồn tại"))</f>
        <v/>
      </c>
      <c r="K1359" s="14"/>
      <c r="L1359" s="14"/>
      <c r="M1359" s="6"/>
      <c r="N1359" s="6"/>
      <c r="O1359" s="6"/>
      <c r="P1359" s="6"/>
      <c r="Q1359" s="6"/>
      <c r="R1359" s="12"/>
    </row>
    <row r="1360" customFormat="false" ht="15" hidden="false" customHeight="true" outlineLevel="0" collapsed="false">
      <c r="A1360" s="6"/>
      <c r="B1360" s="6"/>
      <c r="C1360" s="6"/>
      <c r="D1360" s="6"/>
      <c r="E1360" s="13"/>
      <c r="F1360" s="6"/>
      <c r="G1360" s="11" t="str">
        <f aca="true">IF(F1360="","",YEAR(TODAY())-F1360)</f>
        <v/>
      </c>
      <c r="H1360" s="11" t="str">
        <f aca="false">IF(C1360="","",IF(G1360="","Thiếu thông tin",IF(G1360&lt;6,"Trẻ em",IF(G1360&lt;23,"Học sinh / Sinh viên",IF(G1360&lt;60,"Đang đi làm","Nghỉ hưu")))))</f>
        <v/>
      </c>
      <c r="I1360" s="6"/>
      <c r="J1360" s="11" t="str">
        <f aca="false">IF(B1360="","",IFERROR(INDEX('Hộ gia đình'!$B$2:$B$2000,MATCH(B1360,'Hộ gia đình'!$A$2:$A$2000,0)),"Mã hộ không tồn tại"))</f>
        <v/>
      </c>
      <c r="K1360" s="14"/>
      <c r="L1360" s="14"/>
      <c r="M1360" s="6"/>
      <c r="N1360" s="6"/>
      <c r="O1360" s="6"/>
      <c r="P1360" s="6"/>
      <c r="Q1360" s="6"/>
      <c r="R1360" s="12"/>
    </row>
    <row r="1361" customFormat="false" ht="15" hidden="false" customHeight="true" outlineLevel="0" collapsed="false">
      <c r="A1361" s="6"/>
      <c r="B1361" s="6"/>
      <c r="C1361" s="6"/>
      <c r="D1361" s="6"/>
      <c r="E1361" s="13"/>
      <c r="F1361" s="6"/>
      <c r="G1361" s="11" t="str">
        <f aca="true">IF(F1361="","",YEAR(TODAY())-F1361)</f>
        <v/>
      </c>
      <c r="H1361" s="11" t="str">
        <f aca="false">IF(C1361="","",IF(G1361="","Thiếu thông tin",IF(G1361&lt;6,"Trẻ em",IF(G1361&lt;23,"Học sinh / Sinh viên",IF(G1361&lt;60,"Đang đi làm","Nghỉ hưu")))))</f>
        <v/>
      </c>
      <c r="I1361" s="6"/>
      <c r="J1361" s="11" t="str">
        <f aca="false">IF(B1361="","",IFERROR(INDEX('Hộ gia đình'!$B$2:$B$2000,MATCH(B1361,'Hộ gia đình'!$A$2:$A$2000,0)),"Mã hộ không tồn tại"))</f>
        <v/>
      </c>
      <c r="K1361" s="14"/>
      <c r="L1361" s="14"/>
      <c r="M1361" s="6"/>
      <c r="N1361" s="6"/>
      <c r="O1361" s="6"/>
      <c r="P1361" s="6"/>
      <c r="Q1361" s="6"/>
      <c r="R1361" s="12"/>
    </row>
    <row r="1362" customFormat="false" ht="15" hidden="false" customHeight="true" outlineLevel="0" collapsed="false">
      <c r="A1362" s="6"/>
      <c r="B1362" s="6"/>
      <c r="C1362" s="6"/>
      <c r="D1362" s="6"/>
      <c r="E1362" s="13"/>
      <c r="F1362" s="6"/>
      <c r="G1362" s="11" t="str">
        <f aca="true">IF(F1362="","",YEAR(TODAY())-F1362)</f>
        <v/>
      </c>
      <c r="H1362" s="11" t="str">
        <f aca="false">IF(C1362="","",IF(G1362="","Thiếu thông tin",IF(G1362&lt;6,"Trẻ em",IF(G1362&lt;23,"Học sinh / Sinh viên",IF(G1362&lt;60,"Đang đi làm","Nghỉ hưu")))))</f>
        <v/>
      </c>
      <c r="I1362" s="6"/>
      <c r="J1362" s="11" t="str">
        <f aca="false">IF(B1362="","",IFERROR(INDEX('Hộ gia đình'!$B$2:$B$2000,MATCH(B1362,'Hộ gia đình'!$A$2:$A$2000,0)),"Mã hộ không tồn tại"))</f>
        <v/>
      </c>
      <c r="K1362" s="14"/>
      <c r="L1362" s="14"/>
      <c r="M1362" s="6"/>
      <c r="N1362" s="6"/>
      <c r="O1362" s="6"/>
      <c r="P1362" s="6"/>
      <c r="Q1362" s="6"/>
      <c r="R1362" s="12"/>
    </row>
    <row r="1363" customFormat="false" ht="15" hidden="false" customHeight="true" outlineLevel="0" collapsed="false">
      <c r="A1363" s="6"/>
      <c r="B1363" s="6"/>
      <c r="C1363" s="6"/>
      <c r="D1363" s="6"/>
      <c r="E1363" s="13"/>
      <c r="F1363" s="6"/>
      <c r="G1363" s="11" t="str">
        <f aca="true">IF(F1363="","",YEAR(TODAY())-F1363)</f>
        <v/>
      </c>
      <c r="H1363" s="11" t="str">
        <f aca="false">IF(C1363="","",IF(G1363="","Thiếu thông tin",IF(G1363&lt;6,"Trẻ em",IF(G1363&lt;23,"Học sinh / Sinh viên",IF(G1363&lt;60,"Đang đi làm","Nghỉ hưu")))))</f>
        <v/>
      </c>
      <c r="I1363" s="6"/>
      <c r="J1363" s="11" t="str">
        <f aca="false">IF(B1363="","",IFERROR(INDEX('Hộ gia đình'!$B$2:$B$2000,MATCH(B1363,'Hộ gia đình'!$A$2:$A$2000,0)),"Mã hộ không tồn tại"))</f>
        <v/>
      </c>
      <c r="K1363" s="14"/>
      <c r="L1363" s="14"/>
      <c r="M1363" s="6"/>
      <c r="N1363" s="6"/>
      <c r="O1363" s="6"/>
      <c r="P1363" s="6"/>
      <c r="Q1363" s="6"/>
      <c r="R1363" s="12"/>
    </row>
    <row r="1364" customFormat="false" ht="15" hidden="false" customHeight="true" outlineLevel="0" collapsed="false">
      <c r="A1364" s="6"/>
      <c r="B1364" s="6"/>
      <c r="C1364" s="6"/>
      <c r="D1364" s="6"/>
      <c r="E1364" s="13"/>
      <c r="F1364" s="6"/>
      <c r="G1364" s="11" t="str">
        <f aca="true">IF(F1364="","",YEAR(TODAY())-F1364)</f>
        <v/>
      </c>
      <c r="H1364" s="11" t="str">
        <f aca="false">IF(C1364="","",IF(G1364="","Thiếu thông tin",IF(G1364&lt;6,"Trẻ em",IF(G1364&lt;23,"Học sinh / Sinh viên",IF(G1364&lt;60,"Đang đi làm","Nghỉ hưu")))))</f>
        <v/>
      </c>
      <c r="I1364" s="6"/>
      <c r="J1364" s="11" t="str">
        <f aca="false">IF(B1364="","",IFERROR(INDEX('Hộ gia đình'!$B$2:$B$2000,MATCH(B1364,'Hộ gia đình'!$A$2:$A$2000,0)),"Mã hộ không tồn tại"))</f>
        <v/>
      </c>
      <c r="K1364" s="14"/>
      <c r="L1364" s="14"/>
      <c r="M1364" s="6"/>
      <c r="N1364" s="6"/>
      <c r="O1364" s="6"/>
      <c r="P1364" s="6"/>
      <c r="Q1364" s="6"/>
      <c r="R1364" s="12"/>
    </row>
    <row r="1365" customFormat="false" ht="15" hidden="false" customHeight="true" outlineLevel="0" collapsed="false">
      <c r="A1365" s="6"/>
      <c r="B1365" s="6"/>
      <c r="C1365" s="6"/>
      <c r="D1365" s="6"/>
      <c r="E1365" s="13"/>
      <c r="F1365" s="6"/>
      <c r="G1365" s="11" t="str">
        <f aca="true">IF(F1365="","",YEAR(TODAY())-F1365)</f>
        <v/>
      </c>
      <c r="H1365" s="11" t="str">
        <f aca="false">IF(C1365="","",IF(G1365="","Thiếu thông tin",IF(G1365&lt;6,"Trẻ em",IF(G1365&lt;23,"Học sinh / Sinh viên",IF(G1365&lt;60,"Đang đi làm","Nghỉ hưu")))))</f>
        <v/>
      </c>
      <c r="I1365" s="6"/>
      <c r="J1365" s="11" t="str">
        <f aca="false">IF(B1365="","",IFERROR(INDEX('Hộ gia đình'!$B$2:$B$2000,MATCH(B1365,'Hộ gia đình'!$A$2:$A$2000,0)),"Mã hộ không tồn tại"))</f>
        <v/>
      </c>
      <c r="K1365" s="14"/>
      <c r="L1365" s="14"/>
      <c r="M1365" s="6"/>
      <c r="N1365" s="6"/>
      <c r="O1365" s="6"/>
      <c r="P1365" s="6"/>
      <c r="Q1365" s="6"/>
      <c r="R1365" s="12"/>
    </row>
    <row r="1366" customFormat="false" ht="15" hidden="false" customHeight="true" outlineLevel="0" collapsed="false">
      <c r="A1366" s="6"/>
      <c r="B1366" s="6"/>
      <c r="C1366" s="6"/>
      <c r="D1366" s="6"/>
      <c r="E1366" s="13"/>
      <c r="F1366" s="6"/>
      <c r="G1366" s="11" t="str">
        <f aca="true">IF(F1366="","",YEAR(TODAY())-F1366)</f>
        <v/>
      </c>
      <c r="H1366" s="11" t="str">
        <f aca="false">IF(C1366="","",IF(G1366="","Thiếu thông tin",IF(G1366&lt;6,"Trẻ em",IF(G1366&lt;23,"Học sinh / Sinh viên",IF(G1366&lt;60,"Đang đi làm","Nghỉ hưu")))))</f>
        <v/>
      </c>
      <c r="I1366" s="6"/>
      <c r="J1366" s="11" t="str">
        <f aca="false">IF(B1366="","",IFERROR(INDEX('Hộ gia đình'!$B$2:$B$2000,MATCH(B1366,'Hộ gia đình'!$A$2:$A$2000,0)),"Mã hộ không tồn tại"))</f>
        <v/>
      </c>
      <c r="K1366" s="14"/>
      <c r="L1366" s="14"/>
      <c r="M1366" s="6"/>
      <c r="N1366" s="6"/>
      <c r="O1366" s="6"/>
      <c r="P1366" s="6"/>
      <c r="Q1366" s="6"/>
      <c r="R1366" s="12"/>
    </row>
    <row r="1367" customFormat="false" ht="15" hidden="false" customHeight="true" outlineLevel="0" collapsed="false">
      <c r="A1367" s="6"/>
      <c r="B1367" s="6"/>
      <c r="C1367" s="6"/>
      <c r="D1367" s="6"/>
      <c r="E1367" s="13"/>
      <c r="F1367" s="6"/>
      <c r="G1367" s="11" t="str">
        <f aca="true">IF(F1367="","",YEAR(TODAY())-F1367)</f>
        <v/>
      </c>
      <c r="H1367" s="11" t="str">
        <f aca="false">IF(C1367="","",IF(G1367="","Thiếu thông tin",IF(G1367&lt;6,"Trẻ em",IF(G1367&lt;23,"Học sinh / Sinh viên",IF(G1367&lt;60,"Đang đi làm","Nghỉ hưu")))))</f>
        <v/>
      </c>
      <c r="I1367" s="6"/>
      <c r="J1367" s="11" t="str">
        <f aca="false">IF(B1367="","",IFERROR(INDEX('Hộ gia đình'!$B$2:$B$2000,MATCH(B1367,'Hộ gia đình'!$A$2:$A$2000,0)),"Mã hộ không tồn tại"))</f>
        <v/>
      </c>
      <c r="K1367" s="14"/>
      <c r="L1367" s="14"/>
      <c r="M1367" s="6"/>
      <c r="N1367" s="6"/>
      <c r="O1367" s="6"/>
      <c r="P1367" s="6"/>
      <c r="Q1367" s="6"/>
      <c r="R1367" s="12"/>
    </row>
    <row r="1368" customFormat="false" ht="15" hidden="false" customHeight="true" outlineLevel="0" collapsed="false">
      <c r="A1368" s="6"/>
      <c r="B1368" s="6"/>
      <c r="C1368" s="6"/>
      <c r="D1368" s="6"/>
      <c r="E1368" s="13"/>
      <c r="F1368" s="6"/>
      <c r="G1368" s="11" t="str">
        <f aca="true">IF(F1368="","",YEAR(TODAY())-F1368)</f>
        <v/>
      </c>
      <c r="H1368" s="11" t="str">
        <f aca="false">IF(C1368="","",IF(G1368="","Thiếu thông tin",IF(G1368&lt;6,"Trẻ em",IF(G1368&lt;23,"Học sinh / Sinh viên",IF(G1368&lt;60,"Đang đi làm","Nghỉ hưu")))))</f>
        <v/>
      </c>
      <c r="I1368" s="6"/>
      <c r="J1368" s="11" t="str">
        <f aca="false">IF(B1368="","",IFERROR(INDEX('Hộ gia đình'!$B$2:$B$2000,MATCH(B1368,'Hộ gia đình'!$A$2:$A$2000,0)),"Mã hộ không tồn tại"))</f>
        <v/>
      </c>
      <c r="K1368" s="14"/>
      <c r="L1368" s="14"/>
      <c r="M1368" s="6"/>
      <c r="N1368" s="6"/>
      <c r="O1368" s="6"/>
      <c r="P1368" s="6"/>
      <c r="Q1368" s="6"/>
      <c r="R1368" s="12"/>
    </row>
    <row r="1369" customFormat="false" ht="15" hidden="false" customHeight="true" outlineLevel="0" collapsed="false">
      <c r="A1369" s="6"/>
      <c r="B1369" s="6"/>
      <c r="C1369" s="6"/>
      <c r="D1369" s="6"/>
      <c r="E1369" s="13"/>
      <c r="F1369" s="6"/>
      <c r="G1369" s="11" t="str">
        <f aca="true">IF(F1369="","",YEAR(TODAY())-F1369)</f>
        <v/>
      </c>
      <c r="H1369" s="11" t="str">
        <f aca="false">IF(C1369="","",IF(G1369="","Thiếu thông tin",IF(G1369&lt;6,"Trẻ em",IF(G1369&lt;23,"Học sinh / Sinh viên",IF(G1369&lt;60,"Đang đi làm","Nghỉ hưu")))))</f>
        <v/>
      </c>
      <c r="I1369" s="6"/>
      <c r="J1369" s="11" t="str">
        <f aca="false">IF(B1369="","",IFERROR(INDEX('Hộ gia đình'!$B$2:$B$2000,MATCH(B1369,'Hộ gia đình'!$A$2:$A$2000,0)),"Mã hộ không tồn tại"))</f>
        <v/>
      </c>
      <c r="K1369" s="14"/>
      <c r="L1369" s="14"/>
      <c r="M1369" s="6"/>
      <c r="N1369" s="6"/>
      <c r="O1369" s="6"/>
      <c r="P1369" s="6"/>
      <c r="Q1369" s="6"/>
      <c r="R1369" s="12"/>
    </row>
    <row r="1370" customFormat="false" ht="15" hidden="false" customHeight="true" outlineLevel="0" collapsed="false">
      <c r="A1370" s="6"/>
      <c r="B1370" s="6"/>
      <c r="C1370" s="6"/>
      <c r="D1370" s="6"/>
      <c r="E1370" s="13"/>
      <c r="F1370" s="6"/>
      <c r="G1370" s="11" t="str">
        <f aca="true">IF(F1370="","",YEAR(TODAY())-F1370)</f>
        <v/>
      </c>
      <c r="H1370" s="11" t="str">
        <f aca="false">IF(C1370="","",IF(G1370="","Thiếu thông tin",IF(G1370&lt;6,"Trẻ em",IF(G1370&lt;23,"Học sinh / Sinh viên",IF(G1370&lt;60,"Đang đi làm","Nghỉ hưu")))))</f>
        <v/>
      </c>
      <c r="I1370" s="6"/>
      <c r="J1370" s="11" t="str">
        <f aca="false">IF(B1370="","",IFERROR(INDEX('Hộ gia đình'!$B$2:$B$2000,MATCH(B1370,'Hộ gia đình'!$A$2:$A$2000,0)),"Mã hộ không tồn tại"))</f>
        <v/>
      </c>
      <c r="K1370" s="14"/>
      <c r="L1370" s="14"/>
      <c r="M1370" s="6"/>
      <c r="N1370" s="6"/>
      <c r="O1370" s="6"/>
      <c r="P1370" s="6"/>
      <c r="Q1370" s="6"/>
      <c r="R1370" s="12"/>
    </row>
    <row r="1371" customFormat="false" ht="15" hidden="false" customHeight="true" outlineLevel="0" collapsed="false">
      <c r="A1371" s="6"/>
      <c r="B1371" s="6"/>
      <c r="C1371" s="6"/>
      <c r="D1371" s="6"/>
      <c r="E1371" s="13"/>
      <c r="F1371" s="6"/>
      <c r="G1371" s="11" t="str">
        <f aca="true">IF(F1371="","",YEAR(TODAY())-F1371)</f>
        <v/>
      </c>
      <c r="H1371" s="11" t="str">
        <f aca="false">IF(C1371="","",IF(G1371="","Thiếu thông tin",IF(G1371&lt;6,"Trẻ em",IF(G1371&lt;23,"Học sinh / Sinh viên",IF(G1371&lt;60,"Đang đi làm","Nghỉ hưu")))))</f>
        <v/>
      </c>
      <c r="I1371" s="6"/>
      <c r="J1371" s="11" t="str">
        <f aca="false">IF(B1371="","",IFERROR(INDEX('Hộ gia đình'!$B$2:$B$2000,MATCH(B1371,'Hộ gia đình'!$A$2:$A$2000,0)),"Mã hộ không tồn tại"))</f>
        <v/>
      </c>
      <c r="K1371" s="14"/>
      <c r="L1371" s="14"/>
      <c r="M1371" s="6"/>
      <c r="N1371" s="6"/>
      <c r="O1371" s="6"/>
      <c r="P1371" s="6"/>
      <c r="Q1371" s="6"/>
      <c r="R1371" s="12"/>
    </row>
    <row r="1372" customFormat="false" ht="15" hidden="false" customHeight="true" outlineLevel="0" collapsed="false">
      <c r="A1372" s="6"/>
      <c r="B1372" s="6"/>
      <c r="C1372" s="6"/>
      <c r="D1372" s="6"/>
      <c r="E1372" s="13"/>
      <c r="F1372" s="6"/>
      <c r="G1372" s="11" t="str">
        <f aca="true">IF(F1372="","",YEAR(TODAY())-F1372)</f>
        <v/>
      </c>
      <c r="H1372" s="11" t="str">
        <f aca="false">IF(C1372="","",IF(G1372="","Thiếu thông tin",IF(G1372&lt;6,"Trẻ em",IF(G1372&lt;23,"Học sinh / Sinh viên",IF(G1372&lt;60,"Đang đi làm","Nghỉ hưu")))))</f>
        <v/>
      </c>
      <c r="I1372" s="6"/>
      <c r="J1372" s="11" t="str">
        <f aca="false">IF(B1372="","",IFERROR(INDEX('Hộ gia đình'!$B$2:$B$2000,MATCH(B1372,'Hộ gia đình'!$A$2:$A$2000,0)),"Mã hộ không tồn tại"))</f>
        <v/>
      </c>
      <c r="K1372" s="14"/>
      <c r="L1372" s="14"/>
      <c r="M1372" s="6"/>
      <c r="N1372" s="6"/>
      <c r="O1372" s="6"/>
      <c r="P1372" s="6"/>
      <c r="Q1372" s="6"/>
      <c r="R1372" s="12"/>
    </row>
    <row r="1373" customFormat="false" ht="15" hidden="false" customHeight="true" outlineLevel="0" collapsed="false">
      <c r="A1373" s="6"/>
      <c r="B1373" s="6"/>
      <c r="C1373" s="6"/>
      <c r="D1373" s="6"/>
      <c r="E1373" s="13"/>
      <c r="F1373" s="6"/>
      <c r="G1373" s="11" t="str">
        <f aca="true">IF(F1373="","",YEAR(TODAY())-F1373)</f>
        <v/>
      </c>
      <c r="H1373" s="11" t="str">
        <f aca="false">IF(C1373="","",IF(G1373="","Thiếu thông tin",IF(G1373&lt;6,"Trẻ em",IF(G1373&lt;23,"Học sinh / Sinh viên",IF(G1373&lt;60,"Đang đi làm","Nghỉ hưu")))))</f>
        <v/>
      </c>
      <c r="I1373" s="6"/>
      <c r="J1373" s="11" t="str">
        <f aca="false">IF(B1373="","",IFERROR(INDEX('Hộ gia đình'!$B$2:$B$2000,MATCH(B1373,'Hộ gia đình'!$A$2:$A$2000,0)),"Mã hộ không tồn tại"))</f>
        <v/>
      </c>
      <c r="K1373" s="14"/>
      <c r="L1373" s="14"/>
      <c r="M1373" s="6"/>
      <c r="N1373" s="6"/>
      <c r="O1373" s="6"/>
      <c r="P1373" s="6"/>
      <c r="Q1373" s="6"/>
      <c r="R1373" s="12"/>
    </row>
    <row r="1374" customFormat="false" ht="15" hidden="false" customHeight="true" outlineLevel="0" collapsed="false">
      <c r="A1374" s="6"/>
      <c r="B1374" s="6"/>
      <c r="C1374" s="6"/>
      <c r="D1374" s="6"/>
      <c r="E1374" s="13"/>
      <c r="F1374" s="6"/>
      <c r="G1374" s="11" t="str">
        <f aca="true">IF(F1374="","",YEAR(TODAY())-F1374)</f>
        <v/>
      </c>
      <c r="H1374" s="11" t="str">
        <f aca="false">IF(C1374="","",IF(G1374="","Thiếu thông tin",IF(G1374&lt;6,"Trẻ em",IF(G1374&lt;23,"Học sinh / Sinh viên",IF(G1374&lt;60,"Đang đi làm","Nghỉ hưu")))))</f>
        <v/>
      </c>
      <c r="I1374" s="6"/>
      <c r="J1374" s="11" t="str">
        <f aca="false">IF(B1374="","",IFERROR(INDEX('Hộ gia đình'!$B$2:$B$2000,MATCH(B1374,'Hộ gia đình'!$A$2:$A$2000,0)),"Mã hộ không tồn tại"))</f>
        <v/>
      </c>
      <c r="K1374" s="14"/>
      <c r="L1374" s="14"/>
      <c r="M1374" s="6"/>
      <c r="N1374" s="6"/>
      <c r="O1374" s="6"/>
      <c r="P1374" s="6"/>
      <c r="Q1374" s="6"/>
      <c r="R1374" s="12"/>
    </row>
    <row r="1375" customFormat="false" ht="15" hidden="false" customHeight="true" outlineLevel="0" collapsed="false">
      <c r="A1375" s="6"/>
      <c r="B1375" s="6"/>
      <c r="C1375" s="6"/>
      <c r="D1375" s="6"/>
      <c r="E1375" s="13"/>
      <c r="F1375" s="6"/>
      <c r="G1375" s="11" t="str">
        <f aca="true">IF(F1375="","",YEAR(TODAY())-F1375)</f>
        <v/>
      </c>
      <c r="H1375" s="11" t="str">
        <f aca="false">IF(C1375="","",IF(G1375="","Thiếu thông tin",IF(G1375&lt;6,"Trẻ em",IF(G1375&lt;23,"Học sinh / Sinh viên",IF(G1375&lt;60,"Đang đi làm","Nghỉ hưu")))))</f>
        <v/>
      </c>
      <c r="I1375" s="6"/>
      <c r="J1375" s="11" t="str">
        <f aca="false">IF(B1375="","",IFERROR(INDEX('Hộ gia đình'!$B$2:$B$2000,MATCH(B1375,'Hộ gia đình'!$A$2:$A$2000,0)),"Mã hộ không tồn tại"))</f>
        <v/>
      </c>
      <c r="K1375" s="14"/>
      <c r="L1375" s="14"/>
      <c r="M1375" s="6"/>
      <c r="N1375" s="6"/>
      <c r="O1375" s="6"/>
      <c r="P1375" s="6"/>
      <c r="Q1375" s="6"/>
      <c r="R1375" s="12"/>
    </row>
    <row r="1376" customFormat="false" ht="15" hidden="false" customHeight="true" outlineLevel="0" collapsed="false">
      <c r="A1376" s="6"/>
      <c r="B1376" s="6"/>
      <c r="C1376" s="6"/>
      <c r="D1376" s="6"/>
      <c r="E1376" s="13"/>
      <c r="F1376" s="6"/>
      <c r="G1376" s="11" t="str">
        <f aca="true">IF(F1376="","",YEAR(TODAY())-F1376)</f>
        <v/>
      </c>
      <c r="H1376" s="11" t="str">
        <f aca="false">IF(C1376="","",IF(G1376="","Thiếu thông tin",IF(G1376&lt;6,"Trẻ em",IF(G1376&lt;23,"Học sinh / Sinh viên",IF(G1376&lt;60,"Đang đi làm","Nghỉ hưu")))))</f>
        <v/>
      </c>
      <c r="I1376" s="6"/>
      <c r="J1376" s="11" t="str">
        <f aca="false">IF(B1376="","",IFERROR(INDEX('Hộ gia đình'!$B$2:$B$2000,MATCH(B1376,'Hộ gia đình'!$A$2:$A$2000,0)),"Mã hộ không tồn tại"))</f>
        <v/>
      </c>
      <c r="K1376" s="14"/>
      <c r="L1376" s="14"/>
      <c r="M1376" s="6"/>
      <c r="N1376" s="6"/>
      <c r="O1376" s="6"/>
      <c r="P1376" s="6"/>
      <c r="Q1376" s="6"/>
      <c r="R1376" s="12"/>
    </row>
    <row r="1377" customFormat="false" ht="15" hidden="false" customHeight="true" outlineLevel="0" collapsed="false">
      <c r="A1377" s="6"/>
      <c r="B1377" s="6"/>
      <c r="C1377" s="6"/>
      <c r="D1377" s="6"/>
      <c r="E1377" s="13"/>
      <c r="F1377" s="6"/>
      <c r="G1377" s="11" t="str">
        <f aca="true">IF(F1377="","",YEAR(TODAY())-F1377)</f>
        <v/>
      </c>
      <c r="H1377" s="11" t="str">
        <f aca="false">IF(C1377="","",IF(G1377="","Thiếu thông tin",IF(G1377&lt;6,"Trẻ em",IF(G1377&lt;23,"Học sinh / Sinh viên",IF(G1377&lt;60,"Đang đi làm","Nghỉ hưu")))))</f>
        <v/>
      </c>
      <c r="I1377" s="6"/>
      <c r="J1377" s="11" t="str">
        <f aca="false">IF(B1377="","",IFERROR(INDEX('Hộ gia đình'!$B$2:$B$2000,MATCH(B1377,'Hộ gia đình'!$A$2:$A$2000,0)),"Mã hộ không tồn tại"))</f>
        <v/>
      </c>
      <c r="K1377" s="14"/>
      <c r="L1377" s="14"/>
      <c r="M1377" s="6"/>
      <c r="N1377" s="6"/>
      <c r="O1377" s="6"/>
      <c r="P1377" s="6"/>
      <c r="Q1377" s="6"/>
      <c r="R1377" s="12"/>
    </row>
    <row r="1378" customFormat="false" ht="15" hidden="false" customHeight="true" outlineLevel="0" collapsed="false">
      <c r="A1378" s="6"/>
      <c r="B1378" s="6"/>
      <c r="C1378" s="6"/>
      <c r="D1378" s="6"/>
      <c r="E1378" s="13"/>
      <c r="F1378" s="6"/>
      <c r="G1378" s="11" t="str">
        <f aca="true">IF(F1378="","",YEAR(TODAY())-F1378)</f>
        <v/>
      </c>
      <c r="H1378" s="11" t="str">
        <f aca="false">IF(C1378="","",IF(G1378="","Thiếu thông tin",IF(G1378&lt;6,"Trẻ em",IF(G1378&lt;23,"Học sinh / Sinh viên",IF(G1378&lt;60,"Đang đi làm","Nghỉ hưu")))))</f>
        <v/>
      </c>
      <c r="I1378" s="6"/>
      <c r="J1378" s="11" t="str">
        <f aca="false">IF(B1378="","",IFERROR(INDEX('Hộ gia đình'!$B$2:$B$2000,MATCH(B1378,'Hộ gia đình'!$A$2:$A$2000,0)),"Mã hộ không tồn tại"))</f>
        <v/>
      </c>
      <c r="K1378" s="14"/>
      <c r="L1378" s="14"/>
      <c r="M1378" s="6"/>
      <c r="N1378" s="6"/>
      <c r="O1378" s="6"/>
      <c r="P1378" s="6"/>
      <c r="Q1378" s="6"/>
      <c r="R1378" s="12"/>
    </row>
    <row r="1379" customFormat="false" ht="15" hidden="false" customHeight="true" outlineLevel="0" collapsed="false">
      <c r="A1379" s="6"/>
      <c r="B1379" s="6"/>
      <c r="C1379" s="6"/>
      <c r="D1379" s="6"/>
      <c r="E1379" s="13"/>
      <c r="F1379" s="6"/>
      <c r="G1379" s="11" t="str">
        <f aca="true">IF(F1379="","",YEAR(TODAY())-F1379)</f>
        <v/>
      </c>
      <c r="H1379" s="11" t="str">
        <f aca="false">IF(C1379="","",IF(G1379="","Thiếu thông tin",IF(G1379&lt;6,"Trẻ em",IF(G1379&lt;23,"Học sinh / Sinh viên",IF(G1379&lt;60,"Đang đi làm","Nghỉ hưu")))))</f>
        <v/>
      </c>
      <c r="I1379" s="6"/>
      <c r="J1379" s="11" t="str">
        <f aca="false">IF(B1379="","",IFERROR(INDEX('Hộ gia đình'!$B$2:$B$2000,MATCH(B1379,'Hộ gia đình'!$A$2:$A$2000,0)),"Mã hộ không tồn tại"))</f>
        <v/>
      </c>
      <c r="K1379" s="14"/>
      <c r="L1379" s="14"/>
      <c r="M1379" s="6"/>
      <c r="N1379" s="6"/>
      <c r="O1379" s="6"/>
      <c r="P1379" s="6"/>
      <c r="Q1379" s="6"/>
      <c r="R1379" s="12"/>
    </row>
    <row r="1380" customFormat="false" ht="15" hidden="false" customHeight="true" outlineLevel="0" collapsed="false">
      <c r="A1380" s="6"/>
      <c r="B1380" s="6"/>
      <c r="C1380" s="6"/>
      <c r="D1380" s="6"/>
      <c r="E1380" s="13"/>
      <c r="F1380" s="6"/>
      <c r="G1380" s="11" t="str">
        <f aca="true">IF(F1380="","",YEAR(TODAY())-F1380)</f>
        <v/>
      </c>
      <c r="H1380" s="11" t="str">
        <f aca="false">IF(C1380="","",IF(G1380="","Thiếu thông tin",IF(G1380&lt;6,"Trẻ em",IF(G1380&lt;23,"Học sinh / Sinh viên",IF(G1380&lt;60,"Đang đi làm","Nghỉ hưu")))))</f>
        <v/>
      </c>
      <c r="I1380" s="6"/>
      <c r="J1380" s="11" t="str">
        <f aca="false">IF(B1380="","",IFERROR(INDEX('Hộ gia đình'!$B$2:$B$2000,MATCH(B1380,'Hộ gia đình'!$A$2:$A$2000,0)),"Mã hộ không tồn tại"))</f>
        <v/>
      </c>
      <c r="K1380" s="14"/>
      <c r="L1380" s="14"/>
      <c r="M1380" s="6"/>
      <c r="N1380" s="6"/>
      <c r="O1380" s="6"/>
      <c r="P1380" s="6"/>
      <c r="Q1380" s="6"/>
      <c r="R1380" s="12"/>
    </row>
    <row r="1381" customFormat="false" ht="15" hidden="false" customHeight="true" outlineLevel="0" collapsed="false">
      <c r="A1381" s="6"/>
      <c r="B1381" s="6"/>
      <c r="C1381" s="6"/>
      <c r="D1381" s="6"/>
      <c r="E1381" s="13"/>
      <c r="F1381" s="6"/>
      <c r="G1381" s="11" t="str">
        <f aca="true">IF(F1381="","",YEAR(TODAY())-F1381)</f>
        <v/>
      </c>
      <c r="H1381" s="11" t="str">
        <f aca="false">IF(C1381="","",IF(G1381="","Thiếu thông tin",IF(G1381&lt;6,"Trẻ em",IF(G1381&lt;23,"Học sinh / Sinh viên",IF(G1381&lt;60,"Đang đi làm","Nghỉ hưu")))))</f>
        <v/>
      </c>
      <c r="I1381" s="6"/>
      <c r="J1381" s="11" t="str">
        <f aca="false">IF(B1381="","",IFERROR(INDEX('Hộ gia đình'!$B$2:$B$2000,MATCH(B1381,'Hộ gia đình'!$A$2:$A$2000,0)),"Mã hộ không tồn tại"))</f>
        <v/>
      </c>
      <c r="K1381" s="14"/>
      <c r="L1381" s="14"/>
      <c r="M1381" s="6"/>
      <c r="N1381" s="6"/>
      <c r="O1381" s="6"/>
      <c r="P1381" s="6"/>
      <c r="Q1381" s="6"/>
      <c r="R1381" s="12"/>
    </row>
    <row r="1382" customFormat="false" ht="15" hidden="false" customHeight="true" outlineLevel="0" collapsed="false">
      <c r="A1382" s="6"/>
      <c r="B1382" s="6"/>
      <c r="C1382" s="6"/>
      <c r="D1382" s="6"/>
      <c r="E1382" s="13"/>
      <c r="F1382" s="6"/>
      <c r="G1382" s="11" t="str">
        <f aca="true">IF(F1382="","",YEAR(TODAY())-F1382)</f>
        <v/>
      </c>
      <c r="H1382" s="11" t="str">
        <f aca="false">IF(C1382="","",IF(G1382="","Thiếu thông tin",IF(G1382&lt;6,"Trẻ em",IF(G1382&lt;23,"Học sinh / Sinh viên",IF(G1382&lt;60,"Đang đi làm","Nghỉ hưu")))))</f>
        <v/>
      </c>
      <c r="I1382" s="6"/>
      <c r="J1382" s="11" t="str">
        <f aca="false">IF(B1382="","",IFERROR(INDEX('Hộ gia đình'!$B$2:$B$2000,MATCH(B1382,'Hộ gia đình'!$A$2:$A$2000,0)),"Mã hộ không tồn tại"))</f>
        <v/>
      </c>
      <c r="K1382" s="14"/>
      <c r="L1382" s="14"/>
      <c r="M1382" s="6"/>
      <c r="N1382" s="6"/>
      <c r="O1382" s="6"/>
      <c r="P1382" s="6"/>
      <c r="Q1382" s="6"/>
      <c r="R1382" s="12"/>
    </row>
    <row r="1383" customFormat="false" ht="15" hidden="false" customHeight="true" outlineLevel="0" collapsed="false">
      <c r="A1383" s="6"/>
      <c r="B1383" s="6"/>
      <c r="C1383" s="6"/>
      <c r="D1383" s="6"/>
      <c r="E1383" s="13"/>
      <c r="F1383" s="6"/>
      <c r="G1383" s="11" t="str">
        <f aca="true">IF(F1383="","",YEAR(TODAY())-F1383)</f>
        <v/>
      </c>
      <c r="H1383" s="11" t="str">
        <f aca="false">IF(C1383="","",IF(G1383="","Thiếu thông tin",IF(G1383&lt;6,"Trẻ em",IF(G1383&lt;23,"Học sinh / Sinh viên",IF(G1383&lt;60,"Đang đi làm","Nghỉ hưu")))))</f>
        <v/>
      </c>
      <c r="I1383" s="6"/>
      <c r="J1383" s="11" t="str">
        <f aca="false">IF(B1383="","",IFERROR(INDEX('Hộ gia đình'!$B$2:$B$2000,MATCH(B1383,'Hộ gia đình'!$A$2:$A$2000,0)),"Mã hộ không tồn tại"))</f>
        <v/>
      </c>
      <c r="K1383" s="14"/>
      <c r="L1383" s="14"/>
      <c r="M1383" s="6"/>
      <c r="N1383" s="6"/>
      <c r="O1383" s="6"/>
      <c r="P1383" s="6"/>
      <c r="Q1383" s="6"/>
      <c r="R1383" s="12"/>
    </row>
    <row r="1384" customFormat="false" ht="15" hidden="false" customHeight="true" outlineLevel="0" collapsed="false">
      <c r="A1384" s="6"/>
      <c r="B1384" s="6"/>
      <c r="C1384" s="6"/>
      <c r="D1384" s="6"/>
      <c r="E1384" s="13"/>
      <c r="F1384" s="6"/>
      <c r="G1384" s="11" t="str">
        <f aca="true">IF(F1384="","",YEAR(TODAY())-F1384)</f>
        <v/>
      </c>
      <c r="H1384" s="11" t="str">
        <f aca="false">IF(C1384="","",IF(G1384="","Thiếu thông tin",IF(G1384&lt;6,"Trẻ em",IF(G1384&lt;23,"Học sinh / Sinh viên",IF(G1384&lt;60,"Đang đi làm","Nghỉ hưu")))))</f>
        <v/>
      </c>
      <c r="I1384" s="6"/>
      <c r="J1384" s="11" t="str">
        <f aca="false">IF(B1384="","",IFERROR(INDEX('Hộ gia đình'!$B$2:$B$2000,MATCH(B1384,'Hộ gia đình'!$A$2:$A$2000,0)),"Mã hộ không tồn tại"))</f>
        <v/>
      </c>
      <c r="K1384" s="14"/>
      <c r="L1384" s="14"/>
      <c r="M1384" s="6"/>
      <c r="N1384" s="6"/>
      <c r="O1384" s="6"/>
      <c r="P1384" s="6"/>
      <c r="Q1384" s="6"/>
      <c r="R1384" s="12"/>
    </row>
    <row r="1385" customFormat="false" ht="15" hidden="false" customHeight="true" outlineLevel="0" collapsed="false">
      <c r="A1385" s="6"/>
      <c r="B1385" s="6"/>
      <c r="C1385" s="6"/>
      <c r="D1385" s="6"/>
      <c r="E1385" s="13"/>
      <c r="F1385" s="6"/>
      <c r="G1385" s="11" t="str">
        <f aca="true">IF(F1385="","",YEAR(TODAY())-F1385)</f>
        <v/>
      </c>
      <c r="H1385" s="11" t="str">
        <f aca="false">IF(C1385="","",IF(G1385="","Thiếu thông tin",IF(G1385&lt;6,"Trẻ em",IF(G1385&lt;23,"Học sinh / Sinh viên",IF(G1385&lt;60,"Đang đi làm","Nghỉ hưu")))))</f>
        <v/>
      </c>
      <c r="I1385" s="6"/>
      <c r="J1385" s="11" t="str">
        <f aca="false">IF(B1385="","",IFERROR(INDEX('Hộ gia đình'!$B$2:$B$2000,MATCH(B1385,'Hộ gia đình'!$A$2:$A$2000,0)),"Mã hộ không tồn tại"))</f>
        <v/>
      </c>
      <c r="K1385" s="14"/>
      <c r="L1385" s="14"/>
      <c r="M1385" s="6"/>
      <c r="N1385" s="6"/>
      <c r="O1385" s="6"/>
      <c r="P1385" s="6"/>
      <c r="Q1385" s="6"/>
      <c r="R1385" s="12"/>
    </row>
    <row r="1386" customFormat="false" ht="15" hidden="false" customHeight="true" outlineLevel="0" collapsed="false">
      <c r="A1386" s="6"/>
      <c r="B1386" s="6"/>
      <c r="C1386" s="6"/>
      <c r="D1386" s="6"/>
      <c r="E1386" s="13"/>
      <c r="F1386" s="6"/>
      <c r="G1386" s="11" t="str">
        <f aca="true">IF(F1386="","",YEAR(TODAY())-F1386)</f>
        <v/>
      </c>
      <c r="H1386" s="11" t="str">
        <f aca="false">IF(C1386="","",IF(G1386="","Thiếu thông tin",IF(G1386&lt;6,"Trẻ em",IF(G1386&lt;23,"Học sinh / Sinh viên",IF(G1386&lt;60,"Đang đi làm","Nghỉ hưu")))))</f>
        <v/>
      </c>
      <c r="I1386" s="6"/>
      <c r="J1386" s="11" t="str">
        <f aca="false">IF(B1386="","",IFERROR(INDEX('Hộ gia đình'!$B$2:$B$2000,MATCH(B1386,'Hộ gia đình'!$A$2:$A$2000,0)),"Mã hộ không tồn tại"))</f>
        <v/>
      </c>
      <c r="K1386" s="14"/>
      <c r="L1386" s="14"/>
      <c r="M1386" s="6"/>
      <c r="N1386" s="6"/>
      <c r="O1386" s="6"/>
      <c r="P1386" s="6"/>
      <c r="Q1386" s="6"/>
      <c r="R1386" s="12"/>
    </row>
    <row r="1387" customFormat="false" ht="15" hidden="false" customHeight="true" outlineLevel="0" collapsed="false">
      <c r="A1387" s="6"/>
      <c r="B1387" s="6"/>
      <c r="C1387" s="6"/>
      <c r="D1387" s="6"/>
      <c r="E1387" s="13"/>
      <c r="F1387" s="6"/>
      <c r="G1387" s="11" t="str">
        <f aca="true">IF(F1387="","",YEAR(TODAY())-F1387)</f>
        <v/>
      </c>
      <c r="H1387" s="11" t="str">
        <f aca="false">IF(C1387="","",IF(G1387="","Thiếu thông tin",IF(G1387&lt;6,"Trẻ em",IF(G1387&lt;23,"Học sinh / Sinh viên",IF(G1387&lt;60,"Đang đi làm","Nghỉ hưu")))))</f>
        <v/>
      </c>
      <c r="I1387" s="6"/>
      <c r="J1387" s="11" t="str">
        <f aca="false">IF(B1387="","",IFERROR(INDEX('Hộ gia đình'!$B$2:$B$2000,MATCH(B1387,'Hộ gia đình'!$A$2:$A$2000,0)),"Mã hộ không tồn tại"))</f>
        <v/>
      </c>
      <c r="K1387" s="14"/>
      <c r="L1387" s="14"/>
      <c r="M1387" s="6"/>
      <c r="N1387" s="6"/>
      <c r="O1387" s="6"/>
      <c r="P1387" s="6"/>
      <c r="Q1387" s="6"/>
      <c r="R1387" s="12"/>
    </row>
    <row r="1388" customFormat="false" ht="15" hidden="false" customHeight="true" outlineLevel="0" collapsed="false">
      <c r="A1388" s="6"/>
      <c r="B1388" s="6"/>
      <c r="C1388" s="6"/>
      <c r="D1388" s="6"/>
      <c r="E1388" s="13"/>
      <c r="F1388" s="6"/>
      <c r="G1388" s="11" t="str">
        <f aca="true">IF(F1388="","",YEAR(TODAY())-F1388)</f>
        <v/>
      </c>
      <c r="H1388" s="11" t="str">
        <f aca="false">IF(C1388="","",IF(G1388="","Thiếu thông tin",IF(G1388&lt;6,"Trẻ em",IF(G1388&lt;23,"Học sinh / Sinh viên",IF(G1388&lt;60,"Đang đi làm","Nghỉ hưu")))))</f>
        <v/>
      </c>
      <c r="I1388" s="6"/>
      <c r="J1388" s="11" t="str">
        <f aca="false">IF(B1388="","",IFERROR(INDEX('Hộ gia đình'!$B$2:$B$2000,MATCH(B1388,'Hộ gia đình'!$A$2:$A$2000,0)),"Mã hộ không tồn tại"))</f>
        <v/>
      </c>
      <c r="K1388" s="14"/>
      <c r="L1388" s="14"/>
      <c r="M1388" s="6"/>
      <c r="N1388" s="6"/>
      <c r="O1388" s="6"/>
      <c r="P1388" s="6"/>
      <c r="Q1388" s="6"/>
      <c r="R1388" s="12"/>
    </row>
    <row r="1389" customFormat="false" ht="15" hidden="false" customHeight="true" outlineLevel="0" collapsed="false">
      <c r="A1389" s="6"/>
      <c r="B1389" s="6"/>
      <c r="C1389" s="6"/>
      <c r="D1389" s="6"/>
      <c r="E1389" s="13"/>
      <c r="F1389" s="6"/>
      <c r="G1389" s="11" t="str">
        <f aca="true">IF(F1389="","",YEAR(TODAY())-F1389)</f>
        <v/>
      </c>
      <c r="H1389" s="11" t="str">
        <f aca="false">IF(C1389="","",IF(G1389="","Thiếu thông tin",IF(G1389&lt;6,"Trẻ em",IF(G1389&lt;23,"Học sinh / Sinh viên",IF(G1389&lt;60,"Đang đi làm","Nghỉ hưu")))))</f>
        <v/>
      </c>
      <c r="I1389" s="6"/>
      <c r="J1389" s="11" t="str">
        <f aca="false">IF(B1389="","",IFERROR(INDEX('Hộ gia đình'!$B$2:$B$2000,MATCH(B1389,'Hộ gia đình'!$A$2:$A$2000,0)),"Mã hộ không tồn tại"))</f>
        <v/>
      </c>
      <c r="K1389" s="14"/>
      <c r="L1389" s="14"/>
      <c r="M1389" s="6"/>
      <c r="N1389" s="6"/>
      <c r="O1389" s="6"/>
      <c r="P1389" s="6"/>
      <c r="Q1389" s="6"/>
      <c r="R1389" s="12"/>
    </row>
    <row r="1390" customFormat="false" ht="15" hidden="false" customHeight="true" outlineLevel="0" collapsed="false">
      <c r="A1390" s="6"/>
      <c r="B1390" s="6"/>
      <c r="C1390" s="6"/>
      <c r="D1390" s="6"/>
      <c r="E1390" s="13"/>
      <c r="F1390" s="6"/>
      <c r="G1390" s="11" t="str">
        <f aca="true">IF(F1390="","",YEAR(TODAY())-F1390)</f>
        <v/>
      </c>
      <c r="H1390" s="11" t="str">
        <f aca="false">IF(C1390="","",IF(G1390="","Thiếu thông tin",IF(G1390&lt;6,"Trẻ em",IF(G1390&lt;23,"Học sinh / Sinh viên",IF(G1390&lt;60,"Đang đi làm","Nghỉ hưu")))))</f>
        <v/>
      </c>
      <c r="I1390" s="6"/>
      <c r="J1390" s="11" t="str">
        <f aca="false">IF(B1390="","",IFERROR(INDEX('Hộ gia đình'!$B$2:$B$2000,MATCH(B1390,'Hộ gia đình'!$A$2:$A$2000,0)),"Mã hộ không tồn tại"))</f>
        <v/>
      </c>
      <c r="K1390" s="14"/>
      <c r="L1390" s="14"/>
      <c r="M1390" s="6"/>
      <c r="N1390" s="6"/>
      <c r="O1390" s="6"/>
      <c r="P1390" s="6"/>
      <c r="Q1390" s="6"/>
      <c r="R1390" s="12"/>
    </row>
    <row r="1391" customFormat="false" ht="15" hidden="false" customHeight="true" outlineLevel="0" collapsed="false">
      <c r="A1391" s="6"/>
      <c r="B1391" s="6"/>
      <c r="C1391" s="6"/>
      <c r="D1391" s="6"/>
      <c r="E1391" s="13"/>
      <c r="F1391" s="6"/>
      <c r="G1391" s="11" t="str">
        <f aca="true">IF(F1391="","",YEAR(TODAY())-F1391)</f>
        <v/>
      </c>
      <c r="H1391" s="11" t="str">
        <f aca="false">IF(C1391="","",IF(G1391="","Thiếu thông tin",IF(G1391&lt;6,"Trẻ em",IF(G1391&lt;23,"Học sinh / Sinh viên",IF(G1391&lt;60,"Đang đi làm","Nghỉ hưu")))))</f>
        <v/>
      </c>
      <c r="I1391" s="6"/>
      <c r="J1391" s="11" t="str">
        <f aca="false">IF(B1391="","",IFERROR(INDEX('Hộ gia đình'!$B$2:$B$2000,MATCH(B1391,'Hộ gia đình'!$A$2:$A$2000,0)),"Mã hộ không tồn tại"))</f>
        <v/>
      </c>
      <c r="K1391" s="14"/>
      <c r="L1391" s="14"/>
      <c r="M1391" s="6"/>
      <c r="N1391" s="6"/>
      <c r="O1391" s="6"/>
      <c r="P1391" s="6"/>
      <c r="Q1391" s="6"/>
      <c r="R1391" s="12"/>
    </row>
    <row r="1392" customFormat="false" ht="15" hidden="false" customHeight="true" outlineLevel="0" collapsed="false">
      <c r="A1392" s="6"/>
      <c r="B1392" s="6"/>
      <c r="C1392" s="6"/>
      <c r="D1392" s="6"/>
      <c r="E1392" s="13"/>
      <c r="F1392" s="6"/>
      <c r="G1392" s="11" t="str">
        <f aca="true">IF(F1392="","",YEAR(TODAY())-F1392)</f>
        <v/>
      </c>
      <c r="H1392" s="11" t="str">
        <f aca="false">IF(C1392="","",IF(G1392="","Thiếu thông tin",IF(G1392&lt;6,"Trẻ em",IF(G1392&lt;23,"Học sinh / Sinh viên",IF(G1392&lt;60,"Đang đi làm","Nghỉ hưu")))))</f>
        <v/>
      </c>
      <c r="I1392" s="6"/>
      <c r="J1392" s="11" t="str">
        <f aca="false">IF(B1392="","",IFERROR(INDEX('Hộ gia đình'!$B$2:$B$2000,MATCH(B1392,'Hộ gia đình'!$A$2:$A$2000,0)),"Mã hộ không tồn tại"))</f>
        <v/>
      </c>
      <c r="K1392" s="14"/>
      <c r="L1392" s="14"/>
      <c r="M1392" s="6"/>
      <c r="N1392" s="6"/>
      <c r="O1392" s="6"/>
      <c r="P1392" s="6"/>
      <c r="Q1392" s="6"/>
      <c r="R1392" s="12"/>
    </row>
    <row r="1393" customFormat="false" ht="15" hidden="false" customHeight="true" outlineLevel="0" collapsed="false">
      <c r="A1393" s="6"/>
      <c r="B1393" s="6"/>
      <c r="C1393" s="6"/>
      <c r="D1393" s="6"/>
      <c r="E1393" s="13"/>
      <c r="F1393" s="6"/>
      <c r="G1393" s="11" t="str">
        <f aca="true">IF(F1393="","",YEAR(TODAY())-F1393)</f>
        <v/>
      </c>
      <c r="H1393" s="11" t="str">
        <f aca="false">IF(C1393="","",IF(G1393="","Thiếu thông tin",IF(G1393&lt;6,"Trẻ em",IF(G1393&lt;23,"Học sinh / Sinh viên",IF(G1393&lt;60,"Đang đi làm","Nghỉ hưu")))))</f>
        <v/>
      </c>
      <c r="I1393" s="6"/>
      <c r="J1393" s="11" t="str">
        <f aca="false">IF(B1393="","",IFERROR(INDEX('Hộ gia đình'!$B$2:$B$2000,MATCH(B1393,'Hộ gia đình'!$A$2:$A$2000,0)),"Mã hộ không tồn tại"))</f>
        <v/>
      </c>
      <c r="K1393" s="14"/>
      <c r="L1393" s="14"/>
      <c r="M1393" s="6"/>
      <c r="N1393" s="6"/>
      <c r="O1393" s="6"/>
      <c r="P1393" s="6"/>
      <c r="Q1393" s="6"/>
      <c r="R1393" s="12"/>
    </row>
    <row r="1394" customFormat="false" ht="15" hidden="false" customHeight="true" outlineLevel="0" collapsed="false">
      <c r="A1394" s="6"/>
      <c r="B1394" s="6"/>
      <c r="C1394" s="6"/>
      <c r="D1394" s="6"/>
      <c r="E1394" s="13"/>
      <c r="F1394" s="6"/>
      <c r="G1394" s="11" t="str">
        <f aca="true">IF(F1394="","",YEAR(TODAY())-F1394)</f>
        <v/>
      </c>
      <c r="H1394" s="11" t="str">
        <f aca="false">IF(C1394="","",IF(G1394="","Thiếu thông tin",IF(G1394&lt;6,"Trẻ em",IF(G1394&lt;23,"Học sinh / Sinh viên",IF(G1394&lt;60,"Đang đi làm","Nghỉ hưu")))))</f>
        <v/>
      </c>
      <c r="I1394" s="6"/>
      <c r="J1394" s="11" t="str">
        <f aca="false">IF(B1394="","",IFERROR(INDEX('Hộ gia đình'!$B$2:$B$2000,MATCH(B1394,'Hộ gia đình'!$A$2:$A$2000,0)),"Mã hộ không tồn tại"))</f>
        <v/>
      </c>
      <c r="K1394" s="14"/>
      <c r="L1394" s="14"/>
      <c r="M1394" s="6"/>
      <c r="N1394" s="6"/>
      <c r="O1394" s="6"/>
      <c r="P1394" s="6"/>
      <c r="Q1394" s="6"/>
      <c r="R1394" s="12"/>
    </row>
    <row r="1395" customFormat="false" ht="15" hidden="false" customHeight="true" outlineLevel="0" collapsed="false">
      <c r="A1395" s="6"/>
      <c r="B1395" s="6"/>
      <c r="C1395" s="6"/>
      <c r="D1395" s="6"/>
      <c r="E1395" s="13"/>
      <c r="F1395" s="6"/>
      <c r="G1395" s="11" t="str">
        <f aca="true">IF(F1395="","",YEAR(TODAY())-F1395)</f>
        <v/>
      </c>
      <c r="H1395" s="11" t="str">
        <f aca="false">IF(C1395="","",IF(G1395="","Thiếu thông tin",IF(G1395&lt;6,"Trẻ em",IF(G1395&lt;23,"Học sinh / Sinh viên",IF(G1395&lt;60,"Đang đi làm","Nghỉ hưu")))))</f>
        <v/>
      </c>
      <c r="I1395" s="6"/>
      <c r="J1395" s="11" t="str">
        <f aca="false">IF(B1395="","",IFERROR(INDEX('Hộ gia đình'!$B$2:$B$2000,MATCH(B1395,'Hộ gia đình'!$A$2:$A$2000,0)),"Mã hộ không tồn tại"))</f>
        <v/>
      </c>
      <c r="K1395" s="14"/>
      <c r="L1395" s="14"/>
      <c r="M1395" s="6"/>
      <c r="N1395" s="6"/>
      <c r="O1395" s="6"/>
      <c r="P1395" s="6"/>
      <c r="Q1395" s="6"/>
      <c r="R1395" s="12"/>
    </row>
    <row r="1396" customFormat="false" ht="15" hidden="false" customHeight="true" outlineLevel="0" collapsed="false">
      <c r="A1396" s="6"/>
      <c r="B1396" s="6"/>
      <c r="C1396" s="6"/>
      <c r="D1396" s="6"/>
      <c r="E1396" s="13"/>
      <c r="F1396" s="6"/>
      <c r="G1396" s="11" t="str">
        <f aca="true">IF(F1396="","",YEAR(TODAY())-F1396)</f>
        <v/>
      </c>
      <c r="H1396" s="11" t="str">
        <f aca="false">IF(C1396="","",IF(G1396="","Thiếu thông tin",IF(G1396&lt;6,"Trẻ em",IF(G1396&lt;23,"Học sinh / Sinh viên",IF(G1396&lt;60,"Đang đi làm","Nghỉ hưu")))))</f>
        <v/>
      </c>
      <c r="I1396" s="6"/>
      <c r="J1396" s="11" t="str">
        <f aca="false">IF(B1396="","",IFERROR(INDEX('Hộ gia đình'!$B$2:$B$2000,MATCH(B1396,'Hộ gia đình'!$A$2:$A$2000,0)),"Mã hộ không tồn tại"))</f>
        <v/>
      </c>
      <c r="K1396" s="14"/>
      <c r="L1396" s="14"/>
      <c r="M1396" s="6"/>
      <c r="N1396" s="6"/>
      <c r="O1396" s="6"/>
      <c r="P1396" s="6"/>
      <c r="Q1396" s="6"/>
      <c r="R1396" s="12"/>
    </row>
    <row r="1397" customFormat="false" ht="15" hidden="false" customHeight="true" outlineLevel="0" collapsed="false">
      <c r="A1397" s="6"/>
      <c r="B1397" s="6"/>
      <c r="C1397" s="6"/>
      <c r="D1397" s="6"/>
      <c r="E1397" s="13"/>
      <c r="F1397" s="6"/>
      <c r="G1397" s="11" t="str">
        <f aca="true">IF(F1397="","",YEAR(TODAY())-F1397)</f>
        <v/>
      </c>
      <c r="H1397" s="11" t="str">
        <f aca="false">IF(C1397="","",IF(G1397="","Thiếu thông tin",IF(G1397&lt;6,"Trẻ em",IF(G1397&lt;23,"Học sinh / Sinh viên",IF(G1397&lt;60,"Đang đi làm","Nghỉ hưu")))))</f>
        <v/>
      </c>
      <c r="I1397" s="6"/>
      <c r="J1397" s="11" t="str">
        <f aca="false">IF(B1397="","",IFERROR(INDEX('Hộ gia đình'!$B$2:$B$2000,MATCH(B1397,'Hộ gia đình'!$A$2:$A$2000,0)),"Mã hộ không tồn tại"))</f>
        <v/>
      </c>
      <c r="K1397" s="14"/>
      <c r="L1397" s="14"/>
      <c r="M1397" s="6"/>
      <c r="N1397" s="6"/>
      <c r="O1397" s="6"/>
      <c r="P1397" s="6"/>
      <c r="Q1397" s="6"/>
      <c r="R1397" s="12"/>
    </row>
    <row r="1398" customFormat="false" ht="15" hidden="false" customHeight="true" outlineLevel="0" collapsed="false">
      <c r="A1398" s="6"/>
      <c r="B1398" s="6"/>
      <c r="C1398" s="6"/>
      <c r="D1398" s="6"/>
      <c r="E1398" s="13"/>
      <c r="F1398" s="6"/>
      <c r="G1398" s="11" t="str">
        <f aca="true">IF(F1398="","",YEAR(TODAY())-F1398)</f>
        <v/>
      </c>
      <c r="H1398" s="11" t="str">
        <f aca="false">IF(C1398="","",IF(G1398="","Thiếu thông tin",IF(G1398&lt;6,"Trẻ em",IF(G1398&lt;23,"Học sinh / Sinh viên",IF(G1398&lt;60,"Đang đi làm","Nghỉ hưu")))))</f>
        <v/>
      </c>
      <c r="I1398" s="6"/>
      <c r="J1398" s="11" t="str">
        <f aca="false">IF(B1398="","",IFERROR(INDEX('Hộ gia đình'!$B$2:$B$2000,MATCH(B1398,'Hộ gia đình'!$A$2:$A$2000,0)),"Mã hộ không tồn tại"))</f>
        <v/>
      </c>
      <c r="K1398" s="14"/>
      <c r="L1398" s="14"/>
      <c r="M1398" s="6"/>
      <c r="N1398" s="6"/>
      <c r="O1398" s="6"/>
      <c r="P1398" s="6"/>
      <c r="Q1398" s="6"/>
      <c r="R1398" s="12"/>
    </row>
    <row r="1399" customFormat="false" ht="15" hidden="false" customHeight="true" outlineLevel="0" collapsed="false">
      <c r="A1399" s="6"/>
      <c r="B1399" s="6"/>
      <c r="C1399" s="6"/>
      <c r="D1399" s="6"/>
      <c r="E1399" s="13"/>
      <c r="F1399" s="6"/>
      <c r="G1399" s="11" t="str">
        <f aca="true">IF(F1399="","",YEAR(TODAY())-F1399)</f>
        <v/>
      </c>
      <c r="H1399" s="11" t="str">
        <f aca="false">IF(C1399="","",IF(G1399="","Thiếu thông tin",IF(G1399&lt;6,"Trẻ em",IF(G1399&lt;23,"Học sinh / Sinh viên",IF(G1399&lt;60,"Đang đi làm","Nghỉ hưu")))))</f>
        <v/>
      </c>
      <c r="I1399" s="6"/>
      <c r="J1399" s="11" t="str">
        <f aca="false">IF(B1399="","",IFERROR(INDEX('Hộ gia đình'!$B$2:$B$2000,MATCH(B1399,'Hộ gia đình'!$A$2:$A$2000,0)),"Mã hộ không tồn tại"))</f>
        <v/>
      </c>
      <c r="K1399" s="14"/>
      <c r="L1399" s="14"/>
      <c r="M1399" s="6"/>
      <c r="N1399" s="6"/>
      <c r="O1399" s="6"/>
      <c r="P1399" s="6"/>
      <c r="Q1399" s="6"/>
      <c r="R1399" s="12"/>
    </row>
    <row r="1400" customFormat="false" ht="15" hidden="false" customHeight="true" outlineLevel="0" collapsed="false">
      <c r="A1400" s="6"/>
      <c r="B1400" s="6"/>
      <c r="C1400" s="6"/>
      <c r="D1400" s="6"/>
      <c r="E1400" s="13"/>
      <c r="F1400" s="6"/>
      <c r="G1400" s="11" t="str">
        <f aca="true">IF(F1400="","",YEAR(TODAY())-F1400)</f>
        <v/>
      </c>
      <c r="H1400" s="11" t="str">
        <f aca="false">IF(C1400="","",IF(G1400="","Thiếu thông tin",IF(G1400&lt;6,"Trẻ em",IF(G1400&lt;23,"Học sinh / Sinh viên",IF(G1400&lt;60,"Đang đi làm","Nghỉ hưu")))))</f>
        <v/>
      </c>
      <c r="I1400" s="6"/>
      <c r="J1400" s="11" t="str">
        <f aca="false">IF(B1400="","",IFERROR(INDEX('Hộ gia đình'!$B$2:$B$2000,MATCH(B1400,'Hộ gia đình'!$A$2:$A$2000,0)),"Mã hộ không tồn tại"))</f>
        <v/>
      </c>
      <c r="K1400" s="14"/>
      <c r="L1400" s="14"/>
      <c r="M1400" s="6"/>
      <c r="N1400" s="6"/>
      <c r="O1400" s="6"/>
      <c r="P1400" s="6"/>
      <c r="Q1400" s="6"/>
      <c r="R1400" s="12"/>
    </row>
    <row r="1401" customFormat="false" ht="15" hidden="false" customHeight="true" outlineLevel="0" collapsed="false">
      <c r="A1401" s="6"/>
      <c r="B1401" s="6"/>
      <c r="C1401" s="6"/>
      <c r="D1401" s="6"/>
      <c r="E1401" s="13"/>
      <c r="F1401" s="6"/>
      <c r="G1401" s="11" t="str">
        <f aca="true">IF(F1401="","",YEAR(TODAY())-F1401)</f>
        <v/>
      </c>
      <c r="H1401" s="11" t="str">
        <f aca="false">IF(C1401="","",IF(G1401="","Thiếu thông tin",IF(G1401&lt;6,"Trẻ em",IF(G1401&lt;23,"Học sinh / Sinh viên",IF(G1401&lt;60,"Đang đi làm","Nghỉ hưu")))))</f>
        <v/>
      </c>
      <c r="I1401" s="6"/>
      <c r="J1401" s="11" t="str">
        <f aca="false">IF(B1401="","",IFERROR(INDEX('Hộ gia đình'!$B$2:$B$2000,MATCH(B1401,'Hộ gia đình'!$A$2:$A$2000,0)),"Mã hộ không tồn tại"))</f>
        <v/>
      </c>
      <c r="K1401" s="14"/>
      <c r="L1401" s="14"/>
      <c r="M1401" s="6"/>
      <c r="N1401" s="6"/>
      <c r="O1401" s="6"/>
      <c r="P1401" s="6"/>
      <c r="Q1401" s="6"/>
      <c r="R1401" s="12"/>
    </row>
    <row r="1402" customFormat="false" ht="15" hidden="false" customHeight="true" outlineLevel="0" collapsed="false">
      <c r="A1402" s="6"/>
      <c r="B1402" s="6"/>
      <c r="C1402" s="6"/>
      <c r="D1402" s="6"/>
      <c r="E1402" s="13"/>
      <c r="F1402" s="6"/>
      <c r="G1402" s="11" t="str">
        <f aca="true">IF(F1402="","",YEAR(TODAY())-F1402)</f>
        <v/>
      </c>
      <c r="H1402" s="11" t="str">
        <f aca="false">IF(C1402="","",IF(G1402="","Thiếu thông tin",IF(G1402&lt;6,"Trẻ em",IF(G1402&lt;23,"Học sinh / Sinh viên",IF(G1402&lt;60,"Đang đi làm","Nghỉ hưu")))))</f>
        <v/>
      </c>
      <c r="I1402" s="6"/>
      <c r="J1402" s="11" t="str">
        <f aca="false">IF(B1402="","",IFERROR(INDEX('Hộ gia đình'!$B$2:$B$2000,MATCH(B1402,'Hộ gia đình'!$A$2:$A$2000,0)),"Mã hộ không tồn tại"))</f>
        <v/>
      </c>
      <c r="K1402" s="14"/>
      <c r="L1402" s="14"/>
      <c r="M1402" s="6"/>
      <c r="N1402" s="6"/>
      <c r="O1402" s="6"/>
      <c r="P1402" s="6"/>
      <c r="Q1402" s="6"/>
      <c r="R1402" s="12"/>
    </row>
    <row r="1403" customFormat="false" ht="15" hidden="false" customHeight="true" outlineLevel="0" collapsed="false">
      <c r="A1403" s="6"/>
      <c r="B1403" s="6"/>
      <c r="C1403" s="6"/>
      <c r="D1403" s="6"/>
      <c r="E1403" s="13"/>
      <c r="F1403" s="6"/>
      <c r="G1403" s="11" t="str">
        <f aca="true">IF(F1403="","",YEAR(TODAY())-F1403)</f>
        <v/>
      </c>
      <c r="H1403" s="11" t="str">
        <f aca="false">IF(C1403="","",IF(G1403="","Thiếu thông tin",IF(G1403&lt;6,"Trẻ em",IF(G1403&lt;23,"Học sinh / Sinh viên",IF(G1403&lt;60,"Đang đi làm","Nghỉ hưu")))))</f>
        <v/>
      </c>
      <c r="I1403" s="6"/>
      <c r="J1403" s="11" t="str">
        <f aca="false">IF(B1403="","",IFERROR(INDEX('Hộ gia đình'!$B$2:$B$2000,MATCH(B1403,'Hộ gia đình'!$A$2:$A$2000,0)),"Mã hộ không tồn tại"))</f>
        <v/>
      </c>
      <c r="K1403" s="14"/>
      <c r="L1403" s="14"/>
      <c r="M1403" s="6"/>
      <c r="N1403" s="6"/>
      <c r="O1403" s="6"/>
      <c r="P1403" s="6"/>
      <c r="Q1403" s="6"/>
      <c r="R1403" s="12"/>
    </row>
    <row r="1404" customFormat="false" ht="15" hidden="false" customHeight="true" outlineLevel="0" collapsed="false">
      <c r="A1404" s="6"/>
      <c r="B1404" s="6"/>
      <c r="C1404" s="6"/>
      <c r="D1404" s="6"/>
      <c r="E1404" s="13"/>
      <c r="F1404" s="6"/>
      <c r="G1404" s="11" t="str">
        <f aca="true">IF(F1404="","",YEAR(TODAY())-F1404)</f>
        <v/>
      </c>
      <c r="H1404" s="11" t="str">
        <f aca="false">IF(C1404="","",IF(G1404="","Thiếu thông tin",IF(G1404&lt;6,"Trẻ em",IF(G1404&lt;23,"Học sinh / Sinh viên",IF(G1404&lt;60,"Đang đi làm","Nghỉ hưu")))))</f>
        <v/>
      </c>
      <c r="I1404" s="6"/>
      <c r="J1404" s="11" t="str">
        <f aca="false">IF(B1404="","",IFERROR(INDEX('Hộ gia đình'!$B$2:$B$2000,MATCH(B1404,'Hộ gia đình'!$A$2:$A$2000,0)),"Mã hộ không tồn tại"))</f>
        <v/>
      </c>
      <c r="K1404" s="14"/>
      <c r="L1404" s="14"/>
      <c r="M1404" s="6"/>
      <c r="N1404" s="6"/>
      <c r="O1404" s="6"/>
      <c r="P1404" s="6"/>
      <c r="Q1404" s="6"/>
      <c r="R1404" s="12"/>
    </row>
    <row r="1405" customFormat="false" ht="15" hidden="false" customHeight="true" outlineLevel="0" collapsed="false">
      <c r="A1405" s="6"/>
      <c r="B1405" s="6"/>
      <c r="C1405" s="6"/>
      <c r="D1405" s="6"/>
      <c r="E1405" s="13"/>
      <c r="F1405" s="6"/>
      <c r="G1405" s="11" t="str">
        <f aca="true">IF(F1405="","",YEAR(TODAY())-F1405)</f>
        <v/>
      </c>
      <c r="H1405" s="11" t="str">
        <f aca="false">IF(C1405="","",IF(G1405="","Thiếu thông tin",IF(G1405&lt;6,"Trẻ em",IF(G1405&lt;23,"Học sinh / Sinh viên",IF(G1405&lt;60,"Đang đi làm","Nghỉ hưu")))))</f>
        <v/>
      </c>
      <c r="I1405" s="6"/>
      <c r="J1405" s="11" t="str">
        <f aca="false">IF(B1405="","",IFERROR(INDEX('Hộ gia đình'!$B$2:$B$2000,MATCH(B1405,'Hộ gia đình'!$A$2:$A$2000,0)),"Mã hộ không tồn tại"))</f>
        <v/>
      </c>
      <c r="K1405" s="14"/>
      <c r="L1405" s="14"/>
      <c r="M1405" s="6"/>
      <c r="N1405" s="6"/>
      <c r="O1405" s="6"/>
      <c r="P1405" s="6"/>
      <c r="Q1405" s="6"/>
      <c r="R1405" s="12"/>
    </row>
    <row r="1406" customFormat="false" ht="15" hidden="false" customHeight="true" outlineLevel="0" collapsed="false">
      <c r="A1406" s="6"/>
      <c r="B1406" s="6"/>
      <c r="C1406" s="6"/>
      <c r="D1406" s="6"/>
      <c r="E1406" s="13"/>
      <c r="F1406" s="6"/>
      <c r="G1406" s="11" t="str">
        <f aca="true">IF(F1406="","",YEAR(TODAY())-F1406)</f>
        <v/>
      </c>
      <c r="H1406" s="11" t="str">
        <f aca="false">IF(C1406="","",IF(G1406="","Thiếu thông tin",IF(G1406&lt;6,"Trẻ em",IF(G1406&lt;23,"Học sinh / Sinh viên",IF(G1406&lt;60,"Đang đi làm","Nghỉ hưu")))))</f>
        <v/>
      </c>
      <c r="I1406" s="6"/>
      <c r="J1406" s="11" t="str">
        <f aca="false">IF(B1406="","",IFERROR(INDEX('Hộ gia đình'!$B$2:$B$2000,MATCH(B1406,'Hộ gia đình'!$A$2:$A$2000,0)),"Mã hộ không tồn tại"))</f>
        <v/>
      </c>
      <c r="K1406" s="14"/>
      <c r="L1406" s="14"/>
      <c r="M1406" s="6"/>
      <c r="N1406" s="6"/>
      <c r="O1406" s="6"/>
      <c r="P1406" s="6"/>
      <c r="Q1406" s="6"/>
      <c r="R1406" s="12"/>
    </row>
    <row r="1407" customFormat="false" ht="15" hidden="false" customHeight="true" outlineLevel="0" collapsed="false">
      <c r="A1407" s="6"/>
      <c r="B1407" s="6"/>
      <c r="C1407" s="6"/>
      <c r="D1407" s="6"/>
      <c r="E1407" s="13"/>
      <c r="F1407" s="6"/>
      <c r="G1407" s="11" t="str">
        <f aca="true">IF(F1407="","",YEAR(TODAY())-F1407)</f>
        <v/>
      </c>
      <c r="H1407" s="11" t="str">
        <f aca="false">IF(C1407="","",IF(G1407="","Thiếu thông tin",IF(G1407&lt;6,"Trẻ em",IF(G1407&lt;23,"Học sinh / Sinh viên",IF(G1407&lt;60,"Đang đi làm","Nghỉ hưu")))))</f>
        <v/>
      </c>
      <c r="I1407" s="6"/>
      <c r="J1407" s="11" t="str">
        <f aca="false">IF(B1407="","",IFERROR(INDEX('Hộ gia đình'!$B$2:$B$2000,MATCH(B1407,'Hộ gia đình'!$A$2:$A$2000,0)),"Mã hộ không tồn tại"))</f>
        <v/>
      </c>
      <c r="K1407" s="14"/>
      <c r="L1407" s="14"/>
      <c r="M1407" s="6"/>
      <c r="N1407" s="6"/>
      <c r="O1407" s="6"/>
      <c r="P1407" s="6"/>
      <c r="Q1407" s="6"/>
      <c r="R1407" s="12"/>
    </row>
    <row r="1408" customFormat="false" ht="15" hidden="false" customHeight="true" outlineLevel="0" collapsed="false">
      <c r="A1408" s="6"/>
      <c r="B1408" s="6"/>
      <c r="C1408" s="6"/>
      <c r="D1408" s="6"/>
      <c r="E1408" s="13"/>
      <c r="F1408" s="6"/>
      <c r="G1408" s="11" t="str">
        <f aca="true">IF(F1408="","",YEAR(TODAY())-F1408)</f>
        <v/>
      </c>
      <c r="H1408" s="11" t="str">
        <f aca="false">IF(C1408="","",IF(G1408="","Thiếu thông tin",IF(G1408&lt;6,"Trẻ em",IF(G1408&lt;23,"Học sinh / Sinh viên",IF(G1408&lt;60,"Đang đi làm","Nghỉ hưu")))))</f>
        <v/>
      </c>
      <c r="I1408" s="6"/>
      <c r="J1408" s="11" t="str">
        <f aca="false">IF(B1408="","",IFERROR(INDEX('Hộ gia đình'!$B$2:$B$2000,MATCH(B1408,'Hộ gia đình'!$A$2:$A$2000,0)),"Mã hộ không tồn tại"))</f>
        <v/>
      </c>
      <c r="K1408" s="14"/>
      <c r="L1408" s="14"/>
      <c r="M1408" s="6"/>
      <c r="N1408" s="6"/>
      <c r="O1408" s="6"/>
      <c r="P1408" s="6"/>
      <c r="Q1408" s="6"/>
      <c r="R1408" s="12"/>
    </row>
    <row r="1409" customFormat="false" ht="15" hidden="false" customHeight="true" outlineLevel="0" collapsed="false">
      <c r="A1409" s="6"/>
      <c r="B1409" s="6"/>
      <c r="C1409" s="6"/>
      <c r="D1409" s="6"/>
      <c r="E1409" s="13"/>
      <c r="F1409" s="6"/>
      <c r="G1409" s="11" t="str">
        <f aca="true">IF(F1409="","",YEAR(TODAY())-F1409)</f>
        <v/>
      </c>
      <c r="H1409" s="11" t="str">
        <f aca="false">IF(C1409="","",IF(G1409="","Thiếu thông tin",IF(G1409&lt;6,"Trẻ em",IF(G1409&lt;23,"Học sinh / Sinh viên",IF(G1409&lt;60,"Đang đi làm","Nghỉ hưu")))))</f>
        <v/>
      </c>
      <c r="I1409" s="6"/>
      <c r="J1409" s="11" t="str">
        <f aca="false">IF(B1409="","",IFERROR(INDEX('Hộ gia đình'!$B$2:$B$2000,MATCH(B1409,'Hộ gia đình'!$A$2:$A$2000,0)),"Mã hộ không tồn tại"))</f>
        <v/>
      </c>
      <c r="K1409" s="14"/>
      <c r="L1409" s="14"/>
      <c r="M1409" s="6"/>
      <c r="N1409" s="6"/>
      <c r="O1409" s="6"/>
      <c r="P1409" s="6"/>
      <c r="Q1409" s="6"/>
      <c r="R1409" s="12"/>
    </row>
    <row r="1410" customFormat="false" ht="15" hidden="false" customHeight="true" outlineLevel="0" collapsed="false">
      <c r="A1410" s="6"/>
      <c r="B1410" s="6"/>
      <c r="C1410" s="6"/>
      <c r="D1410" s="6"/>
      <c r="E1410" s="13"/>
      <c r="F1410" s="6"/>
      <c r="G1410" s="11" t="str">
        <f aca="true">IF(F1410="","",YEAR(TODAY())-F1410)</f>
        <v/>
      </c>
      <c r="H1410" s="11" t="str">
        <f aca="false">IF(C1410="","",IF(G1410="","Thiếu thông tin",IF(G1410&lt;6,"Trẻ em",IF(G1410&lt;23,"Học sinh / Sinh viên",IF(G1410&lt;60,"Đang đi làm","Nghỉ hưu")))))</f>
        <v/>
      </c>
      <c r="I1410" s="6"/>
      <c r="J1410" s="11" t="str">
        <f aca="false">IF(B1410="","",IFERROR(INDEX('Hộ gia đình'!$B$2:$B$2000,MATCH(B1410,'Hộ gia đình'!$A$2:$A$2000,0)),"Mã hộ không tồn tại"))</f>
        <v/>
      </c>
      <c r="K1410" s="14"/>
      <c r="L1410" s="14"/>
      <c r="M1410" s="6"/>
      <c r="N1410" s="6"/>
      <c r="O1410" s="6"/>
      <c r="P1410" s="6"/>
      <c r="Q1410" s="6"/>
      <c r="R1410" s="12"/>
    </row>
    <row r="1411" customFormat="false" ht="15" hidden="false" customHeight="true" outlineLevel="0" collapsed="false">
      <c r="A1411" s="6"/>
      <c r="B1411" s="6"/>
      <c r="C1411" s="6"/>
      <c r="D1411" s="6"/>
      <c r="E1411" s="13"/>
      <c r="F1411" s="6"/>
      <c r="G1411" s="11" t="str">
        <f aca="true">IF(F1411="","",YEAR(TODAY())-F1411)</f>
        <v/>
      </c>
      <c r="H1411" s="11" t="str">
        <f aca="false">IF(C1411="","",IF(G1411="","Thiếu thông tin",IF(G1411&lt;6,"Trẻ em",IF(G1411&lt;23,"Học sinh / Sinh viên",IF(G1411&lt;60,"Đang đi làm","Nghỉ hưu")))))</f>
        <v/>
      </c>
      <c r="I1411" s="6"/>
      <c r="J1411" s="11" t="str">
        <f aca="false">IF(B1411="","",IFERROR(INDEX('Hộ gia đình'!$B$2:$B$2000,MATCH(B1411,'Hộ gia đình'!$A$2:$A$2000,0)),"Mã hộ không tồn tại"))</f>
        <v/>
      </c>
      <c r="K1411" s="14"/>
      <c r="L1411" s="14"/>
      <c r="M1411" s="6"/>
      <c r="N1411" s="6"/>
      <c r="O1411" s="6"/>
      <c r="P1411" s="6"/>
      <c r="Q1411" s="6"/>
      <c r="R1411" s="12"/>
    </row>
    <row r="1412" customFormat="false" ht="15" hidden="false" customHeight="true" outlineLevel="0" collapsed="false">
      <c r="A1412" s="6"/>
      <c r="B1412" s="6"/>
      <c r="C1412" s="6"/>
      <c r="D1412" s="6"/>
      <c r="E1412" s="13"/>
      <c r="F1412" s="6"/>
      <c r="G1412" s="11" t="str">
        <f aca="true">IF(F1412="","",YEAR(TODAY())-F1412)</f>
        <v/>
      </c>
      <c r="H1412" s="11" t="str">
        <f aca="false">IF(C1412="","",IF(G1412="","Thiếu thông tin",IF(G1412&lt;6,"Trẻ em",IF(G1412&lt;23,"Học sinh / Sinh viên",IF(G1412&lt;60,"Đang đi làm","Nghỉ hưu")))))</f>
        <v/>
      </c>
      <c r="I1412" s="6"/>
      <c r="J1412" s="11" t="str">
        <f aca="false">IF(B1412="","",IFERROR(INDEX('Hộ gia đình'!$B$2:$B$2000,MATCH(B1412,'Hộ gia đình'!$A$2:$A$2000,0)),"Mã hộ không tồn tại"))</f>
        <v/>
      </c>
      <c r="K1412" s="14"/>
      <c r="L1412" s="14"/>
      <c r="M1412" s="6"/>
      <c r="N1412" s="6"/>
      <c r="O1412" s="6"/>
      <c r="P1412" s="6"/>
      <c r="Q1412" s="6"/>
      <c r="R1412" s="12"/>
    </row>
    <row r="1413" customFormat="false" ht="15" hidden="false" customHeight="true" outlineLevel="0" collapsed="false">
      <c r="A1413" s="6"/>
      <c r="B1413" s="6"/>
      <c r="C1413" s="6"/>
      <c r="D1413" s="6"/>
      <c r="E1413" s="13"/>
      <c r="F1413" s="6"/>
      <c r="G1413" s="11" t="str">
        <f aca="true">IF(F1413="","",YEAR(TODAY())-F1413)</f>
        <v/>
      </c>
      <c r="H1413" s="11" t="str">
        <f aca="false">IF(C1413="","",IF(G1413="","Thiếu thông tin",IF(G1413&lt;6,"Trẻ em",IF(G1413&lt;23,"Học sinh / Sinh viên",IF(G1413&lt;60,"Đang đi làm","Nghỉ hưu")))))</f>
        <v/>
      </c>
      <c r="I1413" s="6"/>
      <c r="J1413" s="11" t="str">
        <f aca="false">IF(B1413="","",IFERROR(INDEX('Hộ gia đình'!$B$2:$B$2000,MATCH(B1413,'Hộ gia đình'!$A$2:$A$2000,0)),"Mã hộ không tồn tại"))</f>
        <v/>
      </c>
      <c r="K1413" s="14"/>
      <c r="L1413" s="14"/>
      <c r="M1413" s="6"/>
      <c r="N1413" s="6"/>
      <c r="O1413" s="6"/>
      <c r="P1413" s="6"/>
      <c r="Q1413" s="6"/>
      <c r="R1413" s="12"/>
    </row>
    <row r="1414" customFormat="false" ht="15" hidden="false" customHeight="true" outlineLevel="0" collapsed="false">
      <c r="A1414" s="6"/>
      <c r="B1414" s="6"/>
      <c r="C1414" s="6"/>
      <c r="D1414" s="6"/>
      <c r="E1414" s="13"/>
      <c r="F1414" s="6"/>
      <c r="G1414" s="11" t="str">
        <f aca="true">IF(F1414="","",YEAR(TODAY())-F1414)</f>
        <v/>
      </c>
      <c r="H1414" s="11" t="str">
        <f aca="false">IF(C1414="","",IF(G1414="","Thiếu thông tin",IF(G1414&lt;6,"Trẻ em",IF(G1414&lt;23,"Học sinh / Sinh viên",IF(G1414&lt;60,"Đang đi làm","Nghỉ hưu")))))</f>
        <v/>
      </c>
      <c r="I1414" s="6"/>
      <c r="J1414" s="11" t="str">
        <f aca="false">IF(B1414="","",IFERROR(INDEX('Hộ gia đình'!$B$2:$B$2000,MATCH(B1414,'Hộ gia đình'!$A$2:$A$2000,0)),"Mã hộ không tồn tại"))</f>
        <v/>
      </c>
      <c r="K1414" s="14"/>
      <c r="L1414" s="14"/>
      <c r="M1414" s="6"/>
      <c r="N1414" s="6"/>
      <c r="O1414" s="6"/>
      <c r="P1414" s="6"/>
      <c r="Q1414" s="6"/>
      <c r="R1414" s="12"/>
    </row>
    <row r="1415" customFormat="false" ht="15" hidden="false" customHeight="true" outlineLevel="0" collapsed="false">
      <c r="A1415" s="6"/>
      <c r="B1415" s="6"/>
      <c r="C1415" s="6"/>
      <c r="D1415" s="6"/>
      <c r="E1415" s="13"/>
      <c r="F1415" s="6"/>
      <c r="G1415" s="11" t="str">
        <f aca="true">IF(F1415="","",YEAR(TODAY())-F1415)</f>
        <v/>
      </c>
      <c r="H1415" s="11" t="str">
        <f aca="false">IF(C1415="","",IF(G1415="","Thiếu thông tin",IF(G1415&lt;6,"Trẻ em",IF(G1415&lt;23,"Học sinh / Sinh viên",IF(G1415&lt;60,"Đang đi làm","Nghỉ hưu")))))</f>
        <v/>
      </c>
      <c r="I1415" s="6"/>
      <c r="J1415" s="11" t="str">
        <f aca="false">IF(B1415="","",IFERROR(INDEX('Hộ gia đình'!$B$2:$B$2000,MATCH(B1415,'Hộ gia đình'!$A$2:$A$2000,0)),"Mã hộ không tồn tại"))</f>
        <v/>
      </c>
      <c r="K1415" s="14"/>
      <c r="L1415" s="14"/>
      <c r="M1415" s="6"/>
      <c r="N1415" s="6"/>
      <c r="O1415" s="6"/>
      <c r="P1415" s="6"/>
      <c r="Q1415" s="6"/>
      <c r="R1415" s="12"/>
    </row>
    <row r="1416" customFormat="false" ht="15" hidden="false" customHeight="true" outlineLevel="0" collapsed="false">
      <c r="A1416" s="6"/>
      <c r="B1416" s="6"/>
      <c r="C1416" s="6"/>
      <c r="D1416" s="6"/>
      <c r="E1416" s="13"/>
      <c r="F1416" s="6"/>
      <c r="G1416" s="11" t="str">
        <f aca="true">IF(F1416="","",YEAR(TODAY())-F1416)</f>
        <v/>
      </c>
      <c r="H1416" s="11" t="str">
        <f aca="false">IF(C1416="","",IF(G1416="","Thiếu thông tin",IF(G1416&lt;6,"Trẻ em",IF(G1416&lt;23,"Học sinh / Sinh viên",IF(G1416&lt;60,"Đang đi làm","Nghỉ hưu")))))</f>
        <v/>
      </c>
      <c r="I1416" s="6"/>
      <c r="J1416" s="11" t="str">
        <f aca="false">IF(B1416="","",IFERROR(INDEX('Hộ gia đình'!$B$2:$B$2000,MATCH(B1416,'Hộ gia đình'!$A$2:$A$2000,0)),"Mã hộ không tồn tại"))</f>
        <v/>
      </c>
      <c r="K1416" s="14"/>
      <c r="L1416" s="14"/>
      <c r="M1416" s="6"/>
      <c r="N1416" s="6"/>
      <c r="O1416" s="6"/>
      <c r="P1416" s="6"/>
      <c r="Q1416" s="6"/>
      <c r="R1416" s="12"/>
    </row>
    <row r="1417" customFormat="false" ht="15" hidden="false" customHeight="true" outlineLevel="0" collapsed="false">
      <c r="A1417" s="6"/>
      <c r="B1417" s="6"/>
      <c r="C1417" s="6"/>
      <c r="D1417" s="6"/>
      <c r="E1417" s="13"/>
      <c r="F1417" s="6"/>
      <c r="G1417" s="11" t="str">
        <f aca="true">IF(F1417="","",YEAR(TODAY())-F1417)</f>
        <v/>
      </c>
      <c r="H1417" s="11" t="str">
        <f aca="false">IF(C1417="","",IF(G1417="","Thiếu thông tin",IF(G1417&lt;6,"Trẻ em",IF(G1417&lt;23,"Học sinh / Sinh viên",IF(G1417&lt;60,"Đang đi làm","Nghỉ hưu")))))</f>
        <v/>
      </c>
      <c r="I1417" s="6"/>
      <c r="J1417" s="11" t="str">
        <f aca="false">IF(B1417="","",IFERROR(INDEX('Hộ gia đình'!$B$2:$B$2000,MATCH(B1417,'Hộ gia đình'!$A$2:$A$2000,0)),"Mã hộ không tồn tại"))</f>
        <v/>
      </c>
      <c r="K1417" s="14"/>
      <c r="L1417" s="14"/>
      <c r="M1417" s="6"/>
      <c r="N1417" s="6"/>
      <c r="O1417" s="6"/>
      <c r="P1417" s="6"/>
      <c r="Q1417" s="6"/>
      <c r="R1417" s="12"/>
    </row>
    <row r="1418" customFormat="false" ht="15" hidden="false" customHeight="true" outlineLevel="0" collapsed="false">
      <c r="A1418" s="6"/>
      <c r="B1418" s="6"/>
      <c r="C1418" s="6"/>
      <c r="D1418" s="6"/>
      <c r="E1418" s="13"/>
      <c r="F1418" s="6"/>
      <c r="G1418" s="11" t="str">
        <f aca="true">IF(F1418="","",YEAR(TODAY())-F1418)</f>
        <v/>
      </c>
      <c r="H1418" s="11" t="str">
        <f aca="false">IF(C1418="","",IF(G1418="","Thiếu thông tin",IF(G1418&lt;6,"Trẻ em",IF(G1418&lt;23,"Học sinh / Sinh viên",IF(G1418&lt;60,"Đang đi làm","Nghỉ hưu")))))</f>
        <v/>
      </c>
      <c r="I1418" s="6"/>
      <c r="J1418" s="11" t="str">
        <f aca="false">IF(B1418="","",IFERROR(INDEX('Hộ gia đình'!$B$2:$B$2000,MATCH(B1418,'Hộ gia đình'!$A$2:$A$2000,0)),"Mã hộ không tồn tại"))</f>
        <v/>
      </c>
      <c r="K1418" s="14"/>
      <c r="L1418" s="14"/>
      <c r="M1418" s="6"/>
      <c r="N1418" s="6"/>
      <c r="O1418" s="6"/>
      <c r="P1418" s="6"/>
      <c r="Q1418" s="6"/>
      <c r="R1418" s="12"/>
    </row>
    <row r="1419" customFormat="false" ht="15" hidden="false" customHeight="true" outlineLevel="0" collapsed="false">
      <c r="A1419" s="6"/>
      <c r="B1419" s="6"/>
      <c r="C1419" s="6"/>
      <c r="D1419" s="6"/>
      <c r="E1419" s="13"/>
      <c r="F1419" s="6"/>
      <c r="G1419" s="11" t="str">
        <f aca="true">IF(F1419="","",YEAR(TODAY())-F1419)</f>
        <v/>
      </c>
      <c r="H1419" s="11" t="str">
        <f aca="false">IF(C1419="","",IF(G1419="","Thiếu thông tin",IF(G1419&lt;6,"Trẻ em",IF(G1419&lt;23,"Học sinh / Sinh viên",IF(G1419&lt;60,"Đang đi làm","Nghỉ hưu")))))</f>
        <v/>
      </c>
      <c r="I1419" s="6"/>
      <c r="J1419" s="11" t="str">
        <f aca="false">IF(B1419="","",IFERROR(INDEX('Hộ gia đình'!$B$2:$B$2000,MATCH(B1419,'Hộ gia đình'!$A$2:$A$2000,0)),"Mã hộ không tồn tại"))</f>
        <v/>
      </c>
      <c r="K1419" s="14"/>
      <c r="L1419" s="14"/>
      <c r="M1419" s="6"/>
      <c r="N1419" s="6"/>
      <c r="O1419" s="6"/>
      <c r="P1419" s="6"/>
      <c r="Q1419" s="6"/>
      <c r="R1419" s="12"/>
    </row>
    <row r="1420" customFormat="false" ht="15" hidden="false" customHeight="true" outlineLevel="0" collapsed="false">
      <c r="A1420" s="6"/>
      <c r="B1420" s="6"/>
      <c r="C1420" s="6"/>
      <c r="D1420" s="6"/>
      <c r="E1420" s="13"/>
      <c r="F1420" s="6"/>
      <c r="G1420" s="11" t="str">
        <f aca="true">IF(F1420="","",YEAR(TODAY())-F1420)</f>
        <v/>
      </c>
      <c r="H1420" s="11" t="str">
        <f aca="false">IF(C1420="","",IF(G1420="","Thiếu thông tin",IF(G1420&lt;6,"Trẻ em",IF(G1420&lt;23,"Học sinh / Sinh viên",IF(G1420&lt;60,"Đang đi làm","Nghỉ hưu")))))</f>
        <v/>
      </c>
      <c r="I1420" s="6"/>
      <c r="J1420" s="11" t="str">
        <f aca="false">IF(B1420="","",IFERROR(INDEX('Hộ gia đình'!$B$2:$B$2000,MATCH(B1420,'Hộ gia đình'!$A$2:$A$2000,0)),"Mã hộ không tồn tại"))</f>
        <v/>
      </c>
      <c r="K1420" s="14"/>
      <c r="L1420" s="14"/>
      <c r="M1420" s="6"/>
      <c r="N1420" s="6"/>
      <c r="O1420" s="6"/>
      <c r="P1420" s="6"/>
      <c r="Q1420" s="6"/>
      <c r="R1420" s="12"/>
    </row>
    <row r="1421" customFormat="false" ht="15" hidden="false" customHeight="true" outlineLevel="0" collapsed="false">
      <c r="A1421" s="6"/>
      <c r="B1421" s="6"/>
      <c r="C1421" s="6"/>
      <c r="D1421" s="6"/>
      <c r="E1421" s="13"/>
      <c r="F1421" s="6"/>
      <c r="G1421" s="11" t="str">
        <f aca="true">IF(F1421="","",YEAR(TODAY())-F1421)</f>
        <v/>
      </c>
      <c r="H1421" s="11" t="str">
        <f aca="false">IF(C1421="","",IF(G1421="","Thiếu thông tin",IF(G1421&lt;6,"Trẻ em",IF(G1421&lt;23,"Học sinh / Sinh viên",IF(G1421&lt;60,"Đang đi làm","Nghỉ hưu")))))</f>
        <v/>
      </c>
      <c r="I1421" s="6"/>
      <c r="J1421" s="11" t="str">
        <f aca="false">IF(B1421="","",IFERROR(INDEX('Hộ gia đình'!$B$2:$B$2000,MATCH(B1421,'Hộ gia đình'!$A$2:$A$2000,0)),"Mã hộ không tồn tại"))</f>
        <v/>
      </c>
      <c r="K1421" s="14"/>
      <c r="L1421" s="14"/>
      <c r="M1421" s="6"/>
      <c r="N1421" s="6"/>
      <c r="O1421" s="6"/>
      <c r="P1421" s="6"/>
      <c r="Q1421" s="6"/>
      <c r="R1421" s="12"/>
    </row>
    <row r="1422" customFormat="false" ht="15" hidden="false" customHeight="true" outlineLevel="0" collapsed="false">
      <c r="A1422" s="6"/>
      <c r="B1422" s="6"/>
      <c r="C1422" s="6"/>
      <c r="D1422" s="6"/>
      <c r="E1422" s="13"/>
      <c r="F1422" s="6"/>
      <c r="G1422" s="11" t="str">
        <f aca="true">IF(F1422="","",YEAR(TODAY())-F1422)</f>
        <v/>
      </c>
      <c r="H1422" s="11" t="str">
        <f aca="false">IF(C1422="","",IF(G1422="","Thiếu thông tin",IF(G1422&lt;6,"Trẻ em",IF(G1422&lt;23,"Học sinh / Sinh viên",IF(G1422&lt;60,"Đang đi làm","Nghỉ hưu")))))</f>
        <v/>
      </c>
      <c r="I1422" s="6"/>
      <c r="J1422" s="11" t="str">
        <f aca="false">IF(B1422="","",IFERROR(INDEX('Hộ gia đình'!$B$2:$B$2000,MATCH(B1422,'Hộ gia đình'!$A$2:$A$2000,0)),"Mã hộ không tồn tại"))</f>
        <v/>
      </c>
      <c r="K1422" s="14"/>
      <c r="L1422" s="14"/>
      <c r="M1422" s="6"/>
      <c r="N1422" s="6"/>
      <c r="O1422" s="6"/>
      <c r="P1422" s="6"/>
      <c r="Q1422" s="6"/>
      <c r="R1422" s="12"/>
    </row>
    <row r="1423" customFormat="false" ht="15" hidden="false" customHeight="true" outlineLevel="0" collapsed="false">
      <c r="A1423" s="6"/>
      <c r="B1423" s="6"/>
      <c r="C1423" s="6"/>
      <c r="D1423" s="6"/>
      <c r="E1423" s="13"/>
      <c r="F1423" s="6"/>
      <c r="G1423" s="11" t="str">
        <f aca="true">IF(F1423="","",YEAR(TODAY())-F1423)</f>
        <v/>
      </c>
      <c r="H1423" s="11" t="str">
        <f aca="false">IF(C1423="","",IF(G1423="","Thiếu thông tin",IF(G1423&lt;6,"Trẻ em",IF(G1423&lt;23,"Học sinh / Sinh viên",IF(G1423&lt;60,"Đang đi làm","Nghỉ hưu")))))</f>
        <v/>
      </c>
      <c r="I1423" s="6"/>
      <c r="J1423" s="11" t="str">
        <f aca="false">IF(B1423="","",IFERROR(INDEX('Hộ gia đình'!$B$2:$B$2000,MATCH(B1423,'Hộ gia đình'!$A$2:$A$2000,0)),"Mã hộ không tồn tại"))</f>
        <v/>
      </c>
      <c r="K1423" s="14"/>
      <c r="L1423" s="14"/>
      <c r="M1423" s="6"/>
      <c r="N1423" s="6"/>
      <c r="O1423" s="6"/>
      <c r="P1423" s="6"/>
      <c r="Q1423" s="6"/>
      <c r="R1423" s="12"/>
    </row>
    <row r="1424" customFormat="false" ht="15" hidden="false" customHeight="true" outlineLevel="0" collapsed="false">
      <c r="A1424" s="6"/>
      <c r="B1424" s="6"/>
      <c r="C1424" s="6"/>
      <c r="D1424" s="6"/>
      <c r="E1424" s="13"/>
      <c r="F1424" s="6"/>
      <c r="G1424" s="11" t="str">
        <f aca="true">IF(F1424="","",YEAR(TODAY())-F1424)</f>
        <v/>
      </c>
      <c r="H1424" s="11" t="str">
        <f aca="false">IF(C1424="","",IF(G1424="","Thiếu thông tin",IF(G1424&lt;6,"Trẻ em",IF(G1424&lt;23,"Học sinh / Sinh viên",IF(G1424&lt;60,"Đang đi làm","Nghỉ hưu")))))</f>
        <v/>
      </c>
      <c r="I1424" s="6"/>
      <c r="J1424" s="11" t="str">
        <f aca="false">IF(B1424="","",IFERROR(INDEX('Hộ gia đình'!$B$2:$B$2000,MATCH(B1424,'Hộ gia đình'!$A$2:$A$2000,0)),"Mã hộ không tồn tại"))</f>
        <v/>
      </c>
      <c r="K1424" s="14"/>
      <c r="L1424" s="14"/>
      <c r="M1424" s="6"/>
      <c r="N1424" s="6"/>
      <c r="O1424" s="6"/>
      <c r="P1424" s="6"/>
      <c r="Q1424" s="6"/>
      <c r="R1424" s="12"/>
    </row>
    <row r="1425" customFormat="false" ht="15" hidden="false" customHeight="true" outlineLevel="0" collapsed="false">
      <c r="A1425" s="6"/>
      <c r="B1425" s="6"/>
      <c r="C1425" s="6"/>
      <c r="D1425" s="6"/>
      <c r="E1425" s="13"/>
      <c r="F1425" s="6"/>
      <c r="G1425" s="11" t="str">
        <f aca="true">IF(F1425="","",YEAR(TODAY())-F1425)</f>
        <v/>
      </c>
      <c r="H1425" s="11" t="str">
        <f aca="false">IF(C1425="","",IF(G1425="","Thiếu thông tin",IF(G1425&lt;6,"Trẻ em",IF(G1425&lt;23,"Học sinh / Sinh viên",IF(G1425&lt;60,"Đang đi làm","Nghỉ hưu")))))</f>
        <v/>
      </c>
      <c r="I1425" s="6"/>
      <c r="J1425" s="11" t="str">
        <f aca="false">IF(B1425="","",IFERROR(INDEX('Hộ gia đình'!$B$2:$B$2000,MATCH(B1425,'Hộ gia đình'!$A$2:$A$2000,0)),"Mã hộ không tồn tại"))</f>
        <v/>
      </c>
      <c r="K1425" s="14"/>
      <c r="L1425" s="14"/>
      <c r="M1425" s="6"/>
      <c r="N1425" s="6"/>
      <c r="O1425" s="6"/>
      <c r="P1425" s="6"/>
      <c r="Q1425" s="6"/>
      <c r="R1425" s="12"/>
    </row>
    <row r="1426" customFormat="false" ht="15" hidden="false" customHeight="true" outlineLevel="0" collapsed="false">
      <c r="A1426" s="6"/>
      <c r="B1426" s="6"/>
      <c r="C1426" s="6"/>
      <c r="D1426" s="6"/>
      <c r="E1426" s="13"/>
      <c r="F1426" s="6"/>
      <c r="G1426" s="11" t="str">
        <f aca="true">IF(F1426="","",YEAR(TODAY())-F1426)</f>
        <v/>
      </c>
      <c r="H1426" s="11" t="str">
        <f aca="false">IF(C1426="","",IF(G1426="","Thiếu thông tin",IF(G1426&lt;6,"Trẻ em",IF(G1426&lt;23,"Học sinh / Sinh viên",IF(G1426&lt;60,"Đang đi làm","Nghỉ hưu")))))</f>
        <v/>
      </c>
      <c r="I1426" s="6"/>
      <c r="J1426" s="11" t="str">
        <f aca="false">IF(B1426="","",IFERROR(INDEX('Hộ gia đình'!$B$2:$B$2000,MATCH(B1426,'Hộ gia đình'!$A$2:$A$2000,0)),"Mã hộ không tồn tại"))</f>
        <v/>
      </c>
      <c r="K1426" s="14"/>
      <c r="L1426" s="14"/>
      <c r="M1426" s="6"/>
      <c r="N1426" s="6"/>
      <c r="O1426" s="6"/>
      <c r="P1426" s="6"/>
      <c r="Q1426" s="6"/>
      <c r="R1426" s="12"/>
    </row>
    <row r="1427" customFormat="false" ht="15" hidden="false" customHeight="true" outlineLevel="0" collapsed="false">
      <c r="A1427" s="6"/>
      <c r="B1427" s="6"/>
      <c r="C1427" s="6"/>
      <c r="D1427" s="6"/>
      <c r="E1427" s="13"/>
      <c r="F1427" s="6"/>
      <c r="G1427" s="11" t="str">
        <f aca="true">IF(F1427="","",YEAR(TODAY())-F1427)</f>
        <v/>
      </c>
      <c r="H1427" s="11" t="str">
        <f aca="false">IF(C1427="","",IF(G1427="","Thiếu thông tin",IF(G1427&lt;6,"Trẻ em",IF(G1427&lt;23,"Học sinh / Sinh viên",IF(G1427&lt;60,"Đang đi làm","Nghỉ hưu")))))</f>
        <v/>
      </c>
      <c r="I1427" s="6"/>
      <c r="J1427" s="11" t="str">
        <f aca="false">IF(B1427="","",IFERROR(INDEX('Hộ gia đình'!$B$2:$B$2000,MATCH(B1427,'Hộ gia đình'!$A$2:$A$2000,0)),"Mã hộ không tồn tại"))</f>
        <v/>
      </c>
      <c r="K1427" s="14"/>
      <c r="L1427" s="14"/>
      <c r="M1427" s="6"/>
      <c r="N1427" s="6"/>
      <c r="O1427" s="6"/>
      <c r="P1427" s="6"/>
      <c r="Q1427" s="6"/>
      <c r="R1427" s="12"/>
    </row>
    <row r="1428" customFormat="false" ht="15" hidden="false" customHeight="true" outlineLevel="0" collapsed="false">
      <c r="A1428" s="6"/>
      <c r="B1428" s="6"/>
      <c r="C1428" s="6"/>
      <c r="D1428" s="6"/>
      <c r="E1428" s="13"/>
      <c r="F1428" s="6"/>
      <c r="G1428" s="11" t="str">
        <f aca="true">IF(F1428="","",YEAR(TODAY())-F1428)</f>
        <v/>
      </c>
      <c r="H1428" s="11" t="str">
        <f aca="false">IF(C1428="","",IF(G1428="","Thiếu thông tin",IF(G1428&lt;6,"Trẻ em",IF(G1428&lt;23,"Học sinh / Sinh viên",IF(G1428&lt;60,"Đang đi làm","Nghỉ hưu")))))</f>
        <v/>
      </c>
      <c r="I1428" s="6"/>
      <c r="J1428" s="11" t="str">
        <f aca="false">IF(B1428="","",IFERROR(INDEX('Hộ gia đình'!$B$2:$B$2000,MATCH(B1428,'Hộ gia đình'!$A$2:$A$2000,0)),"Mã hộ không tồn tại"))</f>
        <v/>
      </c>
      <c r="K1428" s="14"/>
      <c r="L1428" s="14"/>
      <c r="M1428" s="6"/>
      <c r="N1428" s="6"/>
      <c r="O1428" s="6"/>
      <c r="P1428" s="6"/>
      <c r="Q1428" s="6"/>
      <c r="R1428" s="12"/>
    </row>
    <row r="1429" customFormat="false" ht="15" hidden="false" customHeight="true" outlineLevel="0" collapsed="false">
      <c r="A1429" s="6"/>
      <c r="B1429" s="6"/>
      <c r="C1429" s="6"/>
      <c r="D1429" s="6"/>
      <c r="E1429" s="13"/>
      <c r="F1429" s="6"/>
      <c r="G1429" s="11" t="str">
        <f aca="true">IF(F1429="","",YEAR(TODAY())-F1429)</f>
        <v/>
      </c>
      <c r="H1429" s="11" t="str">
        <f aca="false">IF(C1429="","",IF(G1429="","Thiếu thông tin",IF(G1429&lt;6,"Trẻ em",IF(G1429&lt;23,"Học sinh / Sinh viên",IF(G1429&lt;60,"Đang đi làm","Nghỉ hưu")))))</f>
        <v/>
      </c>
      <c r="I1429" s="6"/>
      <c r="J1429" s="11" t="str">
        <f aca="false">IF(B1429="","",IFERROR(INDEX('Hộ gia đình'!$B$2:$B$2000,MATCH(B1429,'Hộ gia đình'!$A$2:$A$2000,0)),"Mã hộ không tồn tại"))</f>
        <v/>
      </c>
      <c r="K1429" s="14"/>
      <c r="L1429" s="14"/>
      <c r="M1429" s="6"/>
      <c r="N1429" s="6"/>
      <c r="O1429" s="6"/>
      <c r="P1429" s="6"/>
      <c r="Q1429" s="6"/>
      <c r="R1429" s="12"/>
    </row>
    <row r="1430" customFormat="false" ht="15" hidden="false" customHeight="true" outlineLevel="0" collapsed="false">
      <c r="A1430" s="6"/>
      <c r="B1430" s="6"/>
      <c r="C1430" s="6"/>
      <c r="D1430" s="6"/>
      <c r="E1430" s="13"/>
      <c r="F1430" s="6"/>
      <c r="G1430" s="11" t="str">
        <f aca="true">IF(F1430="","",YEAR(TODAY())-F1430)</f>
        <v/>
      </c>
      <c r="H1430" s="11" t="str">
        <f aca="false">IF(C1430="","",IF(G1430="","Thiếu thông tin",IF(G1430&lt;6,"Trẻ em",IF(G1430&lt;23,"Học sinh / Sinh viên",IF(G1430&lt;60,"Đang đi làm","Nghỉ hưu")))))</f>
        <v/>
      </c>
      <c r="I1430" s="6"/>
      <c r="J1430" s="11" t="str">
        <f aca="false">IF(B1430="","",IFERROR(INDEX('Hộ gia đình'!$B$2:$B$2000,MATCH(B1430,'Hộ gia đình'!$A$2:$A$2000,0)),"Mã hộ không tồn tại"))</f>
        <v/>
      </c>
      <c r="K1430" s="14"/>
      <c r="L1430" s="14"/>
      <c r="M1430" s="6"/>
      <c r="N1430" s="6"/>
      <c r="O1430" s="6"/>
      <c r="P1430" s="6"/>
      <c r="Q1430" s="6"/>
      <c r="R1430" s="12"/>
    </row>
    <row r="1431" customFormat="false" ht="15" hidden="false" customHeight="true" outlineLevel="0" collapsed="false">
      <c r="A1431" s="6"/>
      <c r="B1431" s="6"/>
      <c r="C1431" s="6"/>
      <c r="D1431" s="6"/>
      <c r="E1431" s="13"/>
      <c r="F1431" s="6"/>
      <c r="G1431" s="11" t="str">
        <f aca="true">IF(F1431="","",YEAR(TODAY())-F1431)</f>
        <v/>
      </c>
      <c r="H1431" s="11" t="str">
        <f aca="false">IF(C1431="","",IF(G1431="","Thiếu thông tin",IF(G1431&lt;6,"Trẻ em",IF(G1431&lt;23,"Học sinh / Sinh viên",IF(G1431&lt;60,"Đang đi làm","Nghỉ hưu")))))</f>
        <v/>
      </c>
      <c r="I1431" s="6"/>
      <c r="J1431" s="11" t="str">
        <f aca="false">IF(B1431="","",IFERROR(INDEX('Hộ gia đình'!$B$2:$B$2000,MATCH(B1431,'Hộ gia đình'!$A$2:$A$2000,0)),"Mã hộ không tồn tại"))</f>
        <v/>
      </c>
      <c r="K1431" s="14"/>
      <c r="L1431" s="14"/>
      <c r="M1431" s="6"/>
      <c r="N1431" s="6"/>
      <c r="O1431" s="6"/>
      <c r="P1431" s="6"/>
      <c r="Q1431" s="6"/>
      <c r="R1431" s="12"/>
    </row>
    <row r="1432" customFormat="false" ht="15" hidden="false" customHeight="true" outlineLevel="0" collapsed="false">
      <c r="A1432" s="6"/>
      <c r="B1432" s="6"/>
      <c r="C1432" s="6"/>
      <c r="D1432" s="6"/>
      <c r="E1432" s="13"/>
      <c r="F1432" s="6"/>
      <c r="G1432" s="11" t="str">
        <f aca="true">IF(F1432="","",YEAR(TODAY())-F1432)</f>
        <v/>
      </c>
      <c r="H1432" s="11" t="str">
        <f aca="false">IF(C1432="","",IF(G1432="","Thiếu thông tin",IF(G1432&lt;6,"Trẻ em",IF(G1432&lt;23,"Học sinh / Sinh viên",IF(G1432&lt;60,"Đang đi làm","Nghỉ hưu")))))</f>
        <v/>
      </c>
      <c r="I1432" s="6"/>
      <c r="J1432" s="11" t="str">
        <f aca="false">IF(B1432="","",IFERROR(INDEX('Hộ gia đình'!$B$2:$B$2000,MATCH(B1432,'Hộ gia đình'!$A$2:$A$2000,0)),"Mã hộ không tồn tại"))</f>
        <v/>
      </c>
      <c r="K1432" s="14"/>
      <c r="L1432" s="14"/>
      <c r="M1432" s="6"/>
      <c r="N1432" s="6"/>
      <c r="O1432" s="6"/>
      <c r="P1432" s="6"/>
      <c r="Q1432" s="6"/>
      <c r="R1432" s="12"/>
    </row>
    <row r="1433" customFormat="false" ht="15" hidden="false" customHeight="true" outlineLevel="0" collapsed="false">
      <c r="A1433" s="6"/>
      <c r="B1433" s="6"/>
      <c r="C1433" s="6"/>
      <c r="D1433" s="6"/>
      <c r="E1433" s="13"/>
      <c r="F1433" s="6"/>
      <c r="G1433" s="11" t="str">
        <f aca="true">IF(F1433="","",YEAR(TODAY())-F1433)</f>
        <v/>
      </c>
      <c r="H1433" s="11" t="str">
        <f aca="false">IF(C1433="","",IF(G1433="","Thiếu thông tin",IF(G1433&lt;6,"Trẻ em",IF(G1433&lt;23,"Học sinh / Sinh viên",IF(G1433&lt;60,"Đang đi làm","Nghỉ hưu")))))</f>
        <v/>
      </c>
      <c r="I1433" s="6"/>
      <c r="J1433" s="11" t="str">
        <f aca="false">IF(B1433="","",IFERROR(INDEX('Hộ gia đình'!$B$2:$B$2000,MATCH(B1433,'Hộ gia đình'!$A$2:$A$2000,0)),"Mã hộ không tồn tại"))</f>
        <v/>
      </c>
      <c r="K1433" s="14"/>
      <c r="L1433" s="14"/>
      <c r="M1433" s="6"/>
      <c r="N1433" s="6"/>
      <c r="O1433" s="6"/>
      <c r="P1433" s="6"/>
      <c r="Q1433" s="6"/>
      <c r="R1433" s="12"/>
    </row>
    <row r="1434" customFormat="false" ht="15" hidden="false" customHeight="true" outlineLevel="0" collapsed="false">
      <c r="A1434" s="6"/>
      <c r="B1434" s="6"/>
      <c r="C1434" s="6"/>
      <c r="D1434" s="6"/>
      <c r="E1434" s="13"/>
      <c r="F1434" s="6"/>
      <c r="G1434" s="11" t="str">
        <f aca="true">IF(F1434="","",YEAR(TODAY())-F1434)</f>
        <v/>
      </c>
      <c r="H1434" s="11" t="str">
        <f aca="false">IF(C1434="","",IF(G1434="","Thiếu thông tin",IF(G1434&lt;6,"Trẻ em",IF(G1434&lt;23,"Học sinh / Sinh viên",IF(G1434&lt;60,"Đang đi làm","Nghỉ hưu")))))</f>
        <v/>
      </c>
      <c r="I1434" s="6"/>
      <c r="J1434" s="11" t="str">
        <f aca="false">IF(B1434="","",IFERROR(INDEX('Hộ gia đình'!$B$2:$B$2000,MATCH(B1434,'Hộ gia đình'!$A$2:$A$2000,0)),"Mã hộ không tồn tại"))</f>
        <v/>
      </c>
      <c r="K1434" s="14"/>
      <c r="L1434" s="14"/>
      <c r="M1434" s="6"/>
      <c r="N1434" s="6"/>
      <c r="O1434" s="6"/>
      <c r="P1434" s="6"/>
      <c r="Q1434" s="6"/>
      <c r="R1434" s="12"/>
    </row>
    <row r="1435" customFormat="false" ht="15" hidden="false" customHeight="true" outlineLevel="0" collapsed="false">
      <c r="A1435" s="6"/>
      <c r="B1435" s="6"/>
      <c r="C1435" s="6"/>
      <c r="D1435" s="6"/>
      <c r="E1435" s="13"/>
      <c r="F1435" s="6"/>
      <c r="G1435" s="11" t="str">
        <f aca="true">IF(F1435="","",YEAR(TODAY())-F1435)</f>
        <v/>
      </c>
      <c r="H1435" s="11" t="str">
        <f aca="false">IF(C1435="","",IF(G1435="","Thiếu thông tin",IF(G1435&lt;6,"Trẻ em",IF(G1435&lt;23,"Học sinh / Sinh viên",IF(G1435&lt;60,"Đang đi làm","Nghỉ hưu")))))</f>
        <v/>
      </c>
      <c r="I1435" s="6"/>
      <c r="J1435" s="11" t="str">
        <f aca="false">IF(B1435="","",IFERROR(INDEX('Hộ gia đình'!$B$2:$B$2000,MATCH(B1435,'Hộ gia đình'!$A$2:$A$2000,0)),"Mã hộ không tồn tại"))</f>
        <v/>
      </c>
      <c r="K1435" s="14"/>
      <c r="L1435" s="14"/>
      <c r="M1435" s="6"/>
      <c r="N1435" s="6"/>
      <c r="O1435" s="6"/>
      <c r="P1435" s="6"/>
      <c r="Q1435" s="6"/>
      <c r="R1435" s="12"/>
    </row>
    <row r="1436" customFormat="false" ht="15" hidden="false" customHeight="true" outlineLevel="0" collapsed="false">
      <c r="A1436" s="6"/>
      <c r="B1436" s="6"/>
      <c r="C1436" s="6"/>
      <c r="D1436" s="6"/>
      <c r="E1436" s="13"/>
      <c r="F1436" s="6"/>
      <c r="G1436" s="11" t="str">
        <f aca="true">IF(F1436="","",YEAR(TODAY())-F1436)</f>
        <v/>
      </c>
      <c r="H1436" s="11" t="str">
        <f aca="false">IF(C1436="","",IF(G1436="","Thiếu thông tin",IF(G1436&lt;6,"Trẻ em",IF(G1436&lt;23,"Học sinh / Sinh viên",IF(G1436&lt;60,"Đang đi làm","Nghỉ hưu")))))</f>
        <v/>
      </c>
      <c r="I1436" s="6"/>
      <c r="J1436" s="11" t="str">
        <f aca="false">IF(B1436="","",IFERROR(INDEX('Hộ gia đình'!$B$2:$B$2000,MATCH(B1436,'Hộ gia đình'!$A$2:$A$2000,0)),"Mã hộ không tồn tại"))</f>
        <v/>
      </c>
      <c r="K1436" s="14"/>
      <c r="L1436" s="14"/>
      <c r="M1436" s="6"/>
      <c r="N1436" s="6"/>
      <c r="O1436" s="6"/>
      <c r="P1436" s="6"/>
      <c r="Q1436" s="6"/>
      <c r="R1436" s="12"/>
    </row>
    <row r="1437" customFormat="false" ht="15" hidden="false" customHeight="true" outlineLevel="0" collapsed="false">
      <c r="A1437" s="6"/>
      <c r="B1437" s="6"/>
      <c r="C1437" s="6"/>
      <c r="D1437" s="6"/>
      <c r="E1437" s="13"/>
      <c r="F1437" s="6"/>
      <c r="G1437" s="11" t="str">
        <f aca="true">IF(F1437="","",YEAR(TODAY())-F1437)</f>
        <v/>
      </c>
      <c r="H1437" s="11" t="str">
        <f aca="false">IF(C1437="","",IF(G1437="","Thiếu thông tin",IF(G1437&lt;6,"Trẻ em",IF(G1437&lt;23,"Học sinh / Sinh viên",IF(G1437&lt;60,"Đang đi làm","Nghỉ hưu")))))</f>
        <v/>
      </c>
      <c r="I1437" s="6"/>
      <c r="J1437" s="11" t="str">
        <f aca="false">IF(B1437="","",IFERROR(INDEX('Hộ gia đình'!$B$2:$B$2000,MATCH(B1437,'Hộ gia đình'!$A$2:$A$2000,0)),"Mã hộ không tồn tại"))</f>
        <v/>
      </c>
      <c r="K1437" s="14"/>
      <c r="L1437" s="14"/>
      <c r="M1437" s="6"/>
      <c r="N1437" s="6"/>
      <c r="O1437" s="6"/>
      <c r="P1437" s="6"/>
      <c r="Q1437" s="6"/>
      <c r="R1437" s="12"/>
    </row>
    <row r="1438" customFormat="false" ht="15" hidden="false" customHeight="true" outlineLevel="0" collapsed="false">
      <c r="A1438" s="6"/>
      <c r="B1438" s="6"/>
      <c r="C1438" s="6"/>
      <c r="D1438" s="6"/>
      <c r="E1438" s="13"/>
      <c r="F1438" s="6"/>
      <c r="G1438" s="11" t="str">
        <f aca="true">IF(F1438="","",YEAR(TODAY())-F1438)</f>
        <v/>
      </c>
      <c r="H1438" s="11" t="str">
        <f aca="false">IF(C1438="","",IF(G1438="","Thiếu thông tin",IF(G1438&lt;6,"Trẻ em",IF(G1438&lt;23,"Học sinh / Sinh viên",IF(G1438&lt;60,"Đang đi làm","Nghỉ hưu")))))</f>
        <v/>
      </c>
      <c r="I1438" s="6"/>
      <c r="J1438" s="11" t="str">
        <f aca="false">IF(B1438="","",IFERROR(INDEX('Hộ gia đình'!$B$2:$B$2000,MATCH(B1438,'Hộ gia đình'!$A$2:$A$2000,0)),"Mã hộ không tồn tại"))</f>
        <v/>
      </c>
      <c r="K1438" s="14"/>
      <c r="L1438" s="14"/>
      <c r="M1438" s="6"/>
      <c r="N1438" s="6"/>
      <c r="O1438" s="6"/>
      <c r="P1438" s="6"/>
      <c r="Q1438" s="6"/>
      <c r="R1438" s="12"/>
    </row>
    <row r="1439" customFormat="false" ht="15" hidden="false" customHeight="true" outlineLevel="0" collapsed="false">
      <c r="A1439" s="6"/>
      <c r="B1439" s="6"/>
      <c r="C1439" s="6"/>
      <c r="D1439" s="6"/>
      <c r="E1439" s="13"/>
      <c r="F1439" s="6"/>
      <c r="G1439" s="11" t="str">
        <f aca="true">IF(F1439="","",YEAR(TODAY())-F1439)</f>
        <v/>
      </c>
      <c r="H1439" s="11" t="str">
        <f aca="false">IF(C1439="","",IF(G1439="","Thiếu thông tin",IF(G1439&lt;6,"Trẻ em",IF(G1439&lt;23,"Học sinh / Sinh viên",IF(G1439&lt;60,"Đang đi làm","Nghỉ hưu")))))</f>
        <v/>
      </c>
      <c r="I1439" s="6"/>
      <c r="J1439" s="11" t="str">
        <f aca="false">IF(B1439="","",IFERROR(INDEX('Hộ gia đình'!$B$2:$B$2000,MATCH(B1439,'Hộ gia đình'!$A$2:$A$2000,0)),"Mã hộ không tồn tại"))</f>
        <v/>
      </c>
      <c r="K1439" s="14"/>
      <c r="L1439" s="14"/>
      <c r="M1439" s="6"/>
      <c r="N1439" s="6"/>
      <c r="O1439" s="6"/>
      <c r="P1439" s="6"/>
      <c r="Q1439" s="6"/>
      <c r="R1439" s="12"/>
    </row>
    <row r="1440" customFormat="false" ht="15" hidden="false" customHeight="true" outlineLevel="0" collapsed="false">
      <c r="A1440" s="6"/>
      <c r="B1440" s="6"/>
      <c r="C1440" s="6"/>
      <c r="D1440" s="6"/>
      <c r="E1440" s="13"/>
      <c r="F1440" s="6"/>
      <c r="G1440" s="11" t="str">
        <f aca="true">IF(F1440="","",YEAR(TODAY())-F1440)</f>
        <v/>
      </c>
      <c r="H1440" s="11" t="str">
        <f aca="false">IF(C1440="","",IF(G1440="","Thiếu thông tin",IF(G1440&lt;6,"Trẻ em",IF(G1440&lt;23,"Học sinh / Sinh viên",IF(G1440&lt;60,"Đang đi làm","Nghỉ hưu")))))</f>
        <v/>
      </c>
      <c r="I1440" s="6"/>
      <c r="J1440" s="11" t="str">
        <f aca="false">IF(B1440="","",IFERROR(INDEX('Hộ gia đình'!$B$2:$B$2000,MATCH(B1440,'Hộ gia đình'!$A$2:$A$2000,0)),"Mã hộ không tồn tại"))</f>
        <v/>
      </c>
      <c r="K1440" s="14"/>
      <c r="L1440" s="14"/>
      <c r="M1440" s="6"/>
      <c r="N1440" s="6"/>
      <c r="O1440" s="6"/>
      <c r="P1440" s="6"/>
      <c r="Q1440" s="6"/>
      <c r="R1440" s="12"/>
    </row>
    <row r="1441" customFormat="false" ht="15" hidden="false" customHeight="true" outlineLevel="0" collapsed="false">
      <c r="A1441" s="6"/>
      <c r="B1441" s="6"/>
      <c r="C1441" s="6"/>
      <c r="D1441" s="6"/>
      <c r="E1441" s="13"/>
      <c r="F1441" s="6"/>
      <c r="G1441" s="11" t="str">
        <f aca="true">IF(F1441="","",YEAR(TODAY())-F1441)</f>
        <v/>
      </c>
      <c r="H1441" s="11" t="str">
        <f aca="false">IF(C1441="","",IF(G1441="","Thiếu thông tin",IF(G1441&lt;6,"Trẻ em",IF(G1441&lt;23,"Học sinh / Sinh viên",IF(G1441&lt;60,"Đang đi làm","Nghỉ hưu")))))</f>
        <v/>
      </c>
      <c r="I1441" s="6"/>
      <c r="J1441" s="11" t="str">
        <f aca="false">IF(B1441="","",IFERROR(INDEX('Hộ gia đình'!$B$2:$B$2000,MATCH(B1441,'Hộ gia đình'!$A$2:$A$2000,0)),"Mã hộ không tồn tại"))</f>
        <v/>
      </c>
      <c r="K1441" s="14"/>
      <c r="L1441" s="14"/>
      <c r="M1441" s="6"/>
      <c r="N1441" s="6"/>
      <c r="O1441" s="6"/>
      <c r="P1441" s="6"/>
      <c r="Q1441" s="6"/>
      <c r="R1441" s="12"/>
    </row>
    <row r="1442" customFormat="false" ht="15" hidden="false" customHeight="true" outlineLevel="0" collapsed="false">
      <c r="A1442" s="6"/>
      <c r="B1442" s="6"/>
      <c r="C1442" s="6"/>
      <c r="D1442" s="6"/>
      <c r="E1442" s="13"/>
      <c r="F1442" s="6"/>
      <c r="G1442" s="11" t="str">
        <f aca="true">IF(F1442="","",YEAR(TODAY())-F1442)</f>
        <v/>
      </c>
      <c r="H1442" s="11" t="str">
        <f aca="false">IF(C1442="","",IF(G1442="","Thiếu thông tin",IF(G1442&lt;6,"Trẻ em",IF(G1442&lt;23,"Học sinh / Sinh viên",IF(G1442&lt;60,"Đang đi làm","Nghỉ hưu")))))</f>
        <v/>
      </c>
      <c r="I1442" s="6"/>
      <c r="J1442" s="11" t="str">
        <f aca="false">IF(B1442="","",IFERROR(INDEX('Hộ gia đình'!$B$2:$B$2000,MATCH(B1442,'Hộ gia đình'!$A$2:$A$2000,0)),"Mã hộ không tồn tại"))</f>
        <v/>
      </c>
      <c r="K1442" s="14"/>
      <c r="L1442" s="14"/>
      <c r="M1442" s="6"/>
      <c r="N1442" s="6"/>
      <c r="O1442" s="6"/>
      <c r="P1442" s="6"/>
      <c r="Q1442" s="6"/>
      <c r="R1442" s="12"/>
    </row>
    <row r="1443" customFormat="false" ht="15" hidden="false" customHeight="true" outlineLevel="0" collapsed="false">
      <c r="A1443" s="6"/>
      <c r="B1443" s="6"/>
      <c r="C1443" s="6"/>
      <c r="D1443" s="6"/>
      <c r="E1443" s="13"/>
      <c r="F1443" s="6"/>
      <c r="G1443" s="11" t="str">
        <f aca="true">IF(F1443="","",YEAR(TODAY())-F1443)</f>
        <v/>
      </c>
      <c r="H1443" s="11" t="str">
        <f aca="false">IF(C1443="","",IF(G1443="","Thiếu thông tin",IF(G1443&lt;6,"Trẻ em",IF(G1443&lt;23,"Học sinh / Sinh viên",IF(G1443&lt;60,"Đang đi làm","Nghỉ hưu")))))</f>
        <v/>
      </c>
      <c r="I1443" s="6"/>
      <c r="J1443" s="11" t="str">
        <f aca="false">IF(B1443="","",IFERROR(INDEX('Hộ gia đình'!$B$2:$B$2000,MATCH(B1443,'Hộ gia đình'!$A$2:$A$2000,0)),"Mã hộ không tồn tại"))</f>
        <v/>
      </c>
      <c r="K1443" s="14"/>
      <c r="L1443" s="14"/>
      <c r="M1443" s="6"/>
      <c r="N1443" s="6"/>
      <c r="O1443" s="6"/>
      <c r="P1443" s="6"/>
      <c r="Q1443" s="6"/>
      <c r="R1443" s="12"/>
    </row>
    <row r="1444" customFormat="false" ht="15" hidden="false" customHeight="true" outlineLevel="0" collapsed="false">
      <c r="A1444" s="6"/>
      <c r="B1444" s="6"/>
      <c r="C1444" s="6"/>
      <c r="D1444" s="6"/>
      <c r="E1444" s="13"/>
      <c r="F1444" s="6"/>
      <c r="G1444" s="11" t="str">
        <f aca="true">IF(F1444="","",YEAR(TODAY())-F1444)</f>
        <v/>
      </c>
      <c r="H1444" s="11" t="str">
        <f aca="false">IF(C1444="","",IF(G1444="","Thiếu thông tin",IF(G1444&lt;6,"Trẻ em",IF(G1444&lt;23,"Học sinh / Sinh viên",IF(G1444&lt;60,"Đang đi làm","Nghỉ hưu")))))</f>
        <v/>
      </c>
      <c r="I1444" s="6"/>
      <c r="J1444" s="11" t="str">
        <f aca="false">IF(B1444="","",IFERROR(INDEX('Hộ gia đình'!$B$2:$B$2000,MATCH(B1444,'Hộ gia đình'!$A$2:$A$2000,0)),"Mã hộ không tồn tại"))</f>
        <v/>
      </c>
      <c r="K1444" s="14"/>
      <c r="L1444" s="14"/>
      <c r="M1444" s="6"/>
      <c r="N1444" s="6"/>
      <c r="O1444" s="6"/>
      <c r="P1444" s="6"/>
      <c r="Q1444" s="6"/>
      <c r="R1444" s="12"/>
    </row>
    <row r="1445" customFormat="false" ht="15" hidden="false" customHeight="true" outlineLevel="0" collapsed="false">
      <c r="A1445" s="6"/>
      <c r="B1445" s="6"/>
      <c r="C1445" s="6"/>
      <c r="D1445" s="6"/>
      <c r="E1445" s="13"/>
      <c r="F1445" s="6"/>
      <c r="G1445" s="11" t="str">
        <f aca="true">IF(F1445="","",YEAR(TODAY())-F1445)</f>
        <v/>
      </c>
      <c r="H1445" s="11" t="str">
        <f aca="false">IF(C1445="","",IF(G1445="","Thiếu thông tin",IF(G1445&lt;6,"Trẻ em",IF(G1445&lt;23,"Học sinh / Sinh viên",IF(G1445&lt;60,"Đang đi làm","Nghỉ hưu")))))</f>
        <v/>
      </c>
      <c r="I1445" s="6"/>
      <c r="J1445" s="11" t="str">
        <f aca="false">IF(B1445="","",IFERROR(INDEX('Hộ gia đình'!$B$2:$B$2000,MATCH(B1445,'Hộ gia đình'!$A$2:$A$2000,0)),"Mã hộ không tồn tại"))</f>
        <v/>
      </c>
      <c r="K1445" s="14"/>
      <c r="L1445" s="14"/>
      <c r="M1445" s="6"/>
      <c r="N1445" s="6"/>
      <c r="O1445" s="6"/>
      <c r="P1445" s="6"/>
      <c r="Q1445" s="6"/>
      <c r="R1445" s="12"/>
    </row>
    <row r="1446" customFormat="false" ht="15" hidden="false" customHeight="true" outlineLevel="0" collapsed="false">
      <c r="A1446" s="6"/>
      <c r="B1446" s="6"/>
      <c r="C1446" s="6"/>
      <c r="D1446" s="6"/>
      <c r="E1446" s="13"/>
      <c r="F1446" s="6"/>
      <c r="G1446" s="11" t="str">
        <f aca="true">IF(F1446="","",YEAR(TODAY())-F1446)</f>
        <v/>
      </c>
      <c r="H1446" s="11" t="str">
        <f aca="false">IF(C1446="","",IF(G1446="","Thiếu thông tin",IF(G1446&lt;6,"Trẻ em",IF(G1446&lt;23,"Học sinh / Sinh viên",IF(G1446&lt;60,"Đang đi làm","Nghỉ hưu")))))</f>
        <v/>
      </c>
      <c r="I1446" s="6"/>
      <c r="J1446" s="11" t="str">
        <f aca="false">IF(B1446="","",IFERROR(INDEX('Hộ gia đình'!$B$2:$B$2000,MATCH(B1446,'Hộ gia đình'!$A$2:$A$2000,0)),"Mã hộ không tồn tại"))</f>
        <v/>
      </c>
      <c r="K1446" s="14"/>
      <c r="L1446" s="14"/>
      <c r="M1446" s="6"/>
      <c r="N1446" s="6"/>
      <c r="O1446" s="6"/>
      <c r="P1446" s="6"/>
      <c r="Q1446" s="6"/>
      <c r="R1446" s="12"/>
    </row>
    <row r="1447" customFormat="false" ht="15" hidden="false" customHeight="true" outlineLevel="0" collapsed="false">
      <c r="A1447" s="6"/>
      <c r="B1447" s="6"/>
      <c r="C1447" s="6"/>
      <c r="D1447" s="6"/>
      <c r="E1447" s="13"/>
      <c r="F1447" s="6"/>
      <c r="G1447" s="11" t="str">
        <f aca="true">IF(F1447="","",YEAR(TODAY())-F1447)</f>
        <v/>
      </c>
      <c r="H1447" s="11" t="str">
        <f aca="false">IF(C1447="","",IF(G1447="","Thiếu thông tin",IF(G1447&lt;6,"Trẻ em",IF(G1447&lt;23,"Học sinh / Sinh viên",IF(G1447&lt;60,"Đang đi làm","Nghỉ hưu")))))</f>
        <v/>
      </c>
      <c r="I1447" s="6"/>
      <c r="J1447" s="11" t="str">
        <f aca="false">IF(B1447="","",IFERROR(INDEX('Hộ gia đình'!$B$2:$B$2000,MATCH(B1447,'Hộ gia đình'!$A$2:$A$2000,0)),"Mã hộ không tồn tại"))</f>
        <v/>
      </c>
      <c r="K1447" s="14"/>
      <c r="L1447" s="14"/>
      <c r="M1447" s="6"/>
      <c r="N1447" s="6"/>
      <c r="O1447" s="6"/>
      <c r="P1447" s="6"/>
      <c r="Q1447" s="6"/>
      <c r="R1447" s="12"/>
    </row>
    <row r="1448" customFormat="false" ht="15" hidden="false" customHeight="true" outlineLevel="0" collapsed="false">
      <c r="A1448" s="6"/>
      <c r="B1448" s="6"/>
      <c r="C1448" s="6"/>
      <c r="D1448" s="6"/>
      <c r="E1448" s="13"/>
      <c r="F1448" s="6"/>
      <c r="G1448" s="11" t="str">
        <f aca="true">IF(F1448="","",YEAR(TODAY())-F1448)</f>
        <v/>
      </c>
      <c r="H1448" s="11" t="str">
        <f aca="false">IF(C1448="","",IF(G1448="","Thiếu thông tin",IF(G1448&lt;6,"Trẻ em",IF(G1448&lt;23,"Học sinh / Sinh viên",IF(G1448&lt;60,"Đang đi làm","Nghỉ hưu")))))</f>
        <v/>
      </c>
      <c r="I1448" s="6"/>
      <c r="J1448" s="11" t="str">
        <f aca="false">IF(B1448="","",IFERROR(INDEX('Hộ gia đình'!$B$2:$B$2000,MATCH(B1448,'Hộ gia đình'!$A$2:$A$2000,0)),"Mã hộ không tồn tại"))</f>
        <v/>
      </c>
      <c r="K1448" s="14"/>
      <c r="L1448" s="14"/>
      <c r="M1448" s="6"/>
      <c r="N1448" s="6"/>
      <c r="O1448" s="6"/>
      <c r="P1448" s="6"/>
      <c r="Q1448" s="6"/>
      <c r="R1448" s="12"/>
    </row>
    <row r="1449" customFormat="false" ht="15" hidden="false" customHeight="true" outlineLevel="0" collapsed="false">
      <c r="A1449" s="6"/>
      <c r="B1449" s="6"/>
      <c r="C1449" s="6"/>
      <c r="D1449" s="6"/>
      <c r="E1449" s="13"/>
      <c r="F1449" s="6"/>
      <c r="G1449" s="11" t="str">
        <f aca="true">IF(F1449="","",YEAR(TODAY())-F1449)</f>
        <v/>
      </c>
      <c r="H1449" s="11" t="str">
        <f aca="false">IF(C1449="","",IF(G1449="","Thiếu thông tin",IF(G1449&lt;6,"Trẻ em",IF(G1449&lt;23,"Học sinh / Sinh viên",IF(G1449&lt;60,"Đang đi làm","Nghỉ hưu")))))</f>
        <v/>
      </c>
      <c r="I1449" s="6"/>
      <c r="J1449" s="11" t="str">
        <f aca="false">IF(B1449="","",IFERROR(INDEX('Hộ gia đình'!$B$2:$B$2000,MATCH(B1449,'Hộ gia đình'!$A$2:$A$2000,0)),"Mã hộ không tồn tại"))</f>
        <v/>
      </c>
      <c r="K1449" s="14"/>
      <c r="L1449" s="14"/>
      <c r="M1449" s="6"/>
      <c r="N1449" s="6"/>
      <c r="O1449" s="6"/>
      <c r="P1449" s="6"/>
      <c r="Q1449" s="6"/>
      <c r="R1449" s="12"/>
    </row>
    <row r="1450" customFormat="false" ht="15" hidden="false" customHeight="true" outlineLevel="0" collapsed="false">
      <c r="A1450" s="6"/>
      <c r="B1450" s="6"/>
      <c r="C1450" s="6"/>
      <c r="D1450" s="6"/>
      <c r="E1450" s="13"/>
      <c r="F1450" s="6"/>
      <c r="G1450" s="11" t="str">
        <f aca="true">IF(F1450="","",YEAR(TODAY())-F1450)</f>
        <v/>
      </c>
      <c r="H1450" s="11" t="str">
        <f aca="false">IF(C1450="","",IF(G1450="","Thiếu thông tin",IF(G1450&lt;6,"Trẻ em",IF(G1450&lt;23,"Học sinh / Sinh viên",IF(G1450&lt;60,"Đang đi làm","Nghỉ hưu")))))</f>
        <v/>
      </c>
      <c r="I1450" s="6"/>
      <c r="J1450" s="11" t="str">
        <f aca="false">IF(B1450="","",IFERROR(INDEX('Hộ gia đình'!$B$2:$B$2000,MATCH(B1450,'Hộ gia đình'!$A$2:$A$2000,0)),"Mã hộ không tồn tại"))</f>
        <v/>
      </c>
      <c r="K1450" s="14"/>
      <c r="L1450" s="14"/>
      <c r="M1450" s="6"/>
      <c r="N1450" s="6"/>
      <c r="O1450" s="6"/>
      <c r="P1450" s="6"/>
      <c r="Q1450" s="6"/>
      <c r="R1450" s="12"/>
    </row>
    <row r="1451" customFormat="false" ht="15" hidden="false" customHeight="true" outlineLevel="0" collapsed="false">
      <c r="A1451" s="6"/>
      <c r="B1451" s="6"/>
      <c r="C1451" s="6"/>
      <c r="D1451" s="6"/>
      <c r="E1451" s="13"/>
      <c r="F1451" s="6"/>
      <c r="G1451" s="11" t="str">
        <f aca="true">IF(F1451="","",YEAR(TODAY())-F1451)</f>
        <v/>
      </c>
      <c r="H1451" s="11" t="str">
        <f aca="false">IF(C1451="","",IF(G1451="","Thiếu thông tin",IF(G1451&lt;6,"Trẻ em",IF(G1451&lt;23,"Học sinh / Sinh viên",IF(G1451&lt;60,"Đang đi làm","Nghỉ hưu")))))</f>
        <v/>
      </c>
      <c r="I1451" s="6"/>
      <c r="J1451" s="11" t="str">
        <f aca="false">IF(B1451="","",IFERROR(INDEX('Hộ gia đình'!$B$2:$B$2000,MATCH(B1451,'Hộ gia đình'!$A$2:$A$2000,0)),"Mã hộ không tồn tại"))</f>
        <v/>
      </c>
      <c r="K1451" s="14"/>
      <c r="L1451" s="14"/>
      <c r="M1451" s="6"/>
      <c r="N1451" s="6"/>
      <c r="O1451" s="6"/>
      <c r="P1451" s="6"/>
      <c r="Q1451" s="6"/>
      <c r="R1451" s="12"/>
    </row>
    <row r="1452" customFormat="false" ht="15" hidden="false" customHeight="true" outlineLevel="0" collapsed="false">
      <c r="A1452" s="6"/>
      <c r="B1452" s="6"/>
      <c r="C1452" s="6"/>
      <c r="D1452" s="6"/>
      <c r="E1452" s="13"/>
      <c r="F1452" s="6"/>
      <c r="G1452" s="11" t="str">
        <f aca="true">IF(F1452="","",YEAR(TODAY())-F1452)</f>
        <v/>
      </c>
      <c r="H1452" s="11" t="str">
        <f aca="false">IF(C1452="","",IF(G1452="","Thiếu thông tin",IF(G1452&lt;6,"Trẻ em",IF(G1452&lt;23,"Học sinh / Sinh viên",IF(G1452&lt;60,"Đang đi làm","Nghỉ hưu")))))</f>
        <v/>
      </c>
      <c r="I1452" s="6"/>
      <c r="J1452" s="11" t="str">
        <f aca="false">IF(B1452="","",IFERROR(INDEX('Hộ gia đình'!$B$2:$B$2000,MATCH(B1452,'Hộ gia đình'!$A$2:$A$2000,0)),"Mã hộ không tồn tại"))</f>
        <v/>
      </c>
      <c r="K1452" s="14"/>
      <c r="L1452" s="14"/>
      <c r="M1452" s="6"/>
      <c r="N1452" s="6"/>
      <c r="O1452" s="6"/>
      <c r="P1452" s="6"/>
      <c r="Q1452" s="6"/>
      <c r="R1452" s="12"/>
    </row>
    <row r="1453" customFormat="false" ht="15" hidden="false" customHeight="true" outlineLevel="0" collapsed="false">
      <c r="A1453" s="6"/>
      <c r="B1453" s="6"/>
      <c r="C1453" s="6"/>
      <c r="D1453" s="6"/>
      <c r="E1453" s="13"/>
      <c r="F1453" s="6"/>
      <c r="G1453" s="11" t="str">
        <f aca="true">IF(F1453="","",YEAR(TODAY())-F1453)</f>
        <v/>
      </c>
      <c r="H1453" s="11" t="str">
        <f aca="false">IF(C1453="","",IF(G1453="","Thiếu thông tin",IF(G1453&lt;6,"Trẻ em",IF(G1453&lt;23,"Học sinh / Sinh viên",IF(G1453&lt;60,"Đang đi làm","Nghỉ hưu")))))</f>
        <v/>
      </c>
      <c r="I1453" s="6"/>
      <c r="J1453" s="11" t="str">
        <f aca="false">IF(B1453="","",IFERROR(INDEX('Hộ gia đình'!$B$2:$B$2000,MATCH(B1453,'Hộ gia đình'!$A$2:$A$2000,0)),"Mã hộ không tồn tại"))</f>
        <v/>
      </c>
      <c r="K1453" s="14"/>
      <c r="L1453" s="14"/>
      <c r="M1453" s="6"/>
      <c r="N1453" s="6"/>
      <c r="O1453" s="6"/>
      <c r="P1453" s="6"/>
      <c r="Q1453" s="6"/>
      <c r="R1453" s="12"/>
    </row>
    <row r="1454" customFormat="false" ht="15" hidden="false" customHeight="true" outlineLevel="0" collapsed="false">
      <c r="A1454" s="6"/>
      <c r="B1454" s="6"/>
      <c r="C1454" s="6"/>
      <c r="D1454" s="6"/>
      <c r="E1454" s="13"/>
      <c r="F1454" s="6"/>
      <c r="G1454" s="11" t="str">
        <f aca="true">IF(F1454="","",YEAR(TODAY())-F1454)</f>
        <v/>
      </c>
      <c r="H1454" s="11" t="str">
        <f aca="false">IF(C1454="","",IF(G1454="","Thiếu thông tin",IF(G1454&lt;6,"Trẻ em",IF(G1454&lt;23,"Học sinh / Sinh viên",IF(G1454&lt;60,"Đang đi làm","Nghỉ hưu")))))</f>
        <v/>
      </c>
      <c r="I1454" s="6"/>
      <c r="J1454" s="11" t="str">
        <f aca="false">IF(B1454="","",IFERROR(INDEX('Hộ gia đình'!$B$2:$B$2000,MATCH(B1454,'Hộ gia đình'!$A$2:$A$2000,0)),"Mã hộ không tồn tại"))</f>
        <v/>
      </c>
      <c r="K1454" s="14"/>
      <c r="L1454" s="14"/>
      <c r="M1454" s="6"/>
      <c r="N1454" s="6"/>
      <c r="O1454" s="6"/>
      <c r="P1454" s="6"/>
      <c r="Q1454" s="6"/>
      <c r="R1454" s="12"/>
    </row>
    <row r="1455" customFormat="false" ht="15" hidden="false" customHeight="true" outlineLevel="0" collapsed="false">
      <c r="A1455" s="6"/>
      <c r="B1455" s="6"/>
      <c r="C1455" s="6"/>
      <c r="D1455" s="6"/>
      <c r="E1455" s="13"/>
      <c r="F1455" s="6"/>
      <c r="G1455" s="11" t="str">
        <f aca="true">IF(F1455="","",YEAR(TODAY())-F1455)</f>
        <v/>
      </c>
      <c r="H1455" s="11" t="str">
        <f aca="false">IF(C1455="","",IF(G1455="","Thiếu thông tin",IF(G1455&lt;6,"Trẻ em",IF(G1455&lt;23,"Học sinh / Sinh viên",IF(G1455&lt;60,"Đang đi làm","Nghỉ hưu")))))</f>
        <v/>
      </c>
      <c r="I1455" s="6"/>
      <c r="J1455" s="11" t="str">
        <f aca="false">IF(B1455="","",IFERROR(INDEX('Hộ gia đình'!$B$2:$B$2000,MATCH(B1455,'Hộ gia đình'!$A$2:$A$2000,0)),"Mã hộ không tồn tại"))</f>
        <v/>
      </c>
      <c r="K1455" s="14"/>
      <c r="L1455" s="14"/>
      <c r="M1455" s="6"/>
      <c r="N1455" s="6"/>
      <c r="O1455" s="6"/>
      <c r="P1455" s="6"/>
      <c r="Q1455" s="6"/>
      <c r="R1455" s="12"/>
    </row>
    <row r="1456" customFormat="false" ht="15" hidden="false" customHeight="true" outlineLevel="0" collapsed="false">
      <c r="A1456" s="6"/>
      <c r="B1456" s="6"/>
      <c r="C1456" s="6"/>
      <c r="D1456" s="6"/>
      <c r="E1456" s="13"/>
      <c r="F1456" s="6"/>
      <c r="G1456" s="11" t="str">
        <f aca="true">IF(F1456="","",YEAR(TODAY())-F1456)</f>
        <v/>
      </c>
      <c r="H1456" s="11" t="str">
        <f aca="false">IF(C1456="","",IF(G1456="","Thiếu thông tin",IF(G1456&lt;6,"Trẻ em",IF(G1456&lt;23,"Học sinh / Sinh viên",IF(G1456&lt;60,"Đang đi làm","Nghỉ hưu")))))</f>
        <v/>
      </c>
      <c r="I1456" s="6"/>
      <c r="J1456" s="11" t="str">
        <f aca="false">IF(B1456="","",IFERROR(INDEX('Hộ gia đình'!$B$2:$B$2000,MATCH(B1456,'Hộ gia đình'!$A$2:$A$2000,0)),"Mã hộ không tồn tại"))</f>
        <v/>
      </c>
      <c r="K1456" s="14"/>
      <c r="L1456" s="14"/>
      <c r="M1456" s="6"/>
      <c r="N1456" s="6"/>
      <c r="O1456" s="6"/>
      <c r="P1456" s="6"/>
      <c r="Q1456" s="6"/>
      <c r="R1456" s="12"/>
    </row>
    <row r="1457" customFormat="false" ht="15" hidden="false" customHeight="true" outlineLevel="0" collapsed="false">
      <c r="A1457" s="6"/>
      <c r="B1457" s="6"/>
      <c r="C1457" s="6"/>
      <c r="D1457" s="6"/>
      <c r="E1457" s="13"/>
      <c r="F1457" s="6"/>
      <c r="G1457" s="11" t="str">
        <f aca="true">IF(F1457="","",YEAR(TODAY())-F1457)</f>
        <v/>
      </c>
      <c r="H1457" s="11" t="str">
        <f aca="false">IF(C1457="","",IF(G1457="","Thiếu thông tin",IF(G1457&lt;6,"Trẻ em",IF(G1457&lt;23,"Học sinh / Sinh viên",IF(G1457&lt;60,"Đang đi làm","Nghỉ hưu")))))</f>
        <v/>
      </c>
      <c r="I1457" s="6"/>
      <c r="J1457" s="11" t="str">
        <f aca="false">IF(B1457="","",IFERROR(INDEX('Hộ gia đình'!$B$2:$B$2000,MATCH(B1457,'Hộ gia đình'!$A$2:$A$2000,0)),"Mã hộ không tồn tại"))</f>
        <v/>
      </c>
      <c r="K1457" s="14"/>
      <c r="L1457" s="14"/>
      <c r="M1457" s="6"/>
      <c r="N1457" s="6"/>
      <c r="O1457" s="6"/>
      <c r="P1457" s="6"/>
      <c r="Q1457" s="6"/>
      <c r="R1457" s="12"/>
    </row>
    <row r="1458" customFormat="false" ht="15" hidden="false" customHeight="true" outlineLevel="0" collapsed="false">
      <c r="A1458" s="6"/>
      <c r="B1458" s="6"/>
      <c r="C1458" s="6"/>
      <c r="D1458" s="6"/>
      <c r="E1458" s="13"/>
      <c r="F1458" s="6"/>
      <c r="G1458" s="11" t="str">
        <f aca="true">IF(F1458="","",YEAR(TODAY())-F1458)</f>
        <v/>
      </c>
      <c r="H1458" s="11" t="str">
        <f aca="false">IF(C1458="","",IF(G1458="","Thiếu thông tin",IF(G1458&lt;6,"Trẻ em",IF(G1458&lt;23,"Học sinh / Sinh viên",IF(G1458&lt;60,"Đang đi làm","Nghỉ hưu")))))</f>
        <v/>
      </c>
      <c r="I1458" s="6"/>
      <c r="J1458" s="11" t="str">
        <f aca="false">IF(B1458="","",IFERROR(INDEX('Hộ gia đình'!$B$2:$B$2000,MATCH(B1458,'Hộ gia đình'!$A$2:$A$2000,0)),"Mã hộ không tồn tại"))</f>
        <v/>
      </c>
      <c r="K1458" s="14"/>
      <c r="L1458" s="14"/>
      <c r="M1458" s="6"/>
      <c r="N1458" s="6"/>
      <c r="O1458" s="6"/>
      <c r="P1458" s="6"/>
      <c r="Q1458" s="6"/>
      <c r="R1458" s="12"/>
    </row>
    <row r="1459" customFormat="false" ht="15" hidden="false" customHeight="true" outlineLevel="0" collapsed="false">
      <c r="A1459" s="6"/>
      <c r="B1459" s="6"/>
      <c r="C1459" s="6"/>
      <c r="D1459" s="6"/>
      <c r="E1459" s="13"/>
      <c r="F1459" s="6"/>
      <c r="G1459" s="11" t="str">
        <f aca="true">IF(F1459="","",YEAR(TODAY())-F1459)</f>
        <v/>
      </c>
      <c r="H1459" s="11" t="str">
        <f aca="false">IF(C1459="","",IF(G1459="","Thiếu thông tin",IF(G1459&lt;6,"Trẻ em",IF(G1459&lt;23,"Học sinh / Sinh viên",IF(G1459&lt;60,"Đang đi làm","Nghỉ hưu")))))</f>
        <v/>
      </c>
      <c r="I1459" s="6"/>
      <c r="J1459" s="11" t="str">
        <f aca="false">IF(B1459="","",IFERROR(INDEX('Hộ gia đình'!$B$2:$B$2000,MATCH(B1459,'Hộ gia đình'!$A$2:$A$2000,0)),"Mã hộ không tồn tại"))</f>
        <v/>
      </c>
      <c r="K1459" s="14"/>
      <c r="L1459" s="14"/>
      <c r="M1459" s="6"/>
      <c r="N1459" s="6"/>
      <c r="O1459" s="6"/>
      <c r="P1459" s="6"/>
      <c r="Q1459" s="6"/>
      <c r="R1459" s="12"/>
    </row>
    <row r="1460" customFormat="false" ht="15" hidden="false" customHeight="true" outlineLevel="0" collapsed="false">
      <c r="A1460" s="6"/>
      <c r="B1460" s="6"/>
      <c r="C1460" s="6"/>
      <c r="D1460" s="6"/>
      <c r="E1460" s="13"/>
      <c r="F1460" s="6"/>
      <c r="G1460" s="11" t="str">
        <f aca="true">IF(F1460="","",YEAR(TODAY())-F1460)</f>
        <v/>
      </c>
      <c r="H1460" s="11" t="str">
        <f aca="false">IF(C1460="","",IF(G1460="","Thiếu thông tin",IF(G1460&lt;6,"Trẻ em",IF(G1460&lt;23,"Học sinh / Sinh viên",IF(G1460&lt;60,"Đang đi làm","Nghỉ hưu")))))</f>
        <v/>
      </c>
      <c r="I1460" s="6"/>
      <c r="J1460" s="11" t="str">
        <f aca="false">IF(B1460="","",IFERROR(INDEX('Hộ gia đình'!$B$2:$B$2000,MATCH(B1460,'Hộ gia đình'!$A$2:$A$2000,0)),"Mã hộ không tồn tại"))</f>
        <v/>
      </c>
      <c r="K1460" s="14"/>
      <c r="L1460" s="14"/>
      <c r="M1460" s="6"/>
      <c r="N1460" s="6"/>
      <c r="O1460" s="6"/>
      <c r="P1460" s="6"/>
      <c r="Q1460" s="6"/>
      <c r="R1460" s="12"/>
    </row>
    <row r="1461" customFormat="false" ht="15" hidden="false" customHeight="true" outlineLevel="0" collapsed="false">
      <c r="A1461" s="6"/>
      <c r="B1461" s="6"/>
      <c r="C1461" s="6"/>
      <c r="D1461" s="6"/>
      <c r="E1461" s="13"/>
      <c r="F1461" s="6"/>
      <c r="G1461" s="11" t="str">
        <f aca="true">IF(F1461="","",YEAR(TODAY())-F1461)</f>
        <v/>
      </c>
      <c r="H1461" s="11" t="str">
        <f aca="false">IF(C1461="","",IF(G1461="","Thiếu thông tin",IF(G1461&lt;6,"Trẻ em",IF(G1461&lt;23,"Học sinh / Sinh viên",IF(G1461&lt;60,"Đang đi làm","Nghỉ hưu")))))</f>
        <v/>
      </c>
      <c r="I1461" s="6"/>
      <c r="J1461" s="11" t="str">
        <f aca="false">IF(B1461="","",IFERROR(INDEX('Hộ gia đình'!$B$2:$B$2000,MATCH(B1461,'Hộ gia đình'!$A$2:$A$2000,0)),"Mã hộ không tồn tại"))</f>
        <v/>
      </c>
      <c r="K1461" s="14"/>
      <c r="L1461" s="14"/>
      <c r="M1461" s="6"/>
      <c r="N1461" s="6"/>
      <c r="O1461" s="6"/>
      <c r="P1461" s="6"/>
      <c r="Q1461" s="6"/>
      <c r="R1461" s="12"/>
    </row>
    <row r="1462" customFormat="false" ht="15" hidden="false" customHeight="true" outlineLevel="0" collapsed="false">
      <c r="A1462" s="6"/>
      <c r="B1462" s="6"/>
      <c r="C1462" s="6"/>
      <c r="D1462" s="6"/>
      <c r="E1462" s="13"/>
      <c r="F1462" s="6"/>
      <c r="G1462" s="11" t="str">
        <f aca="true">IF(F1462="","",YEAR(TODAY())-F1462)</f>
        <v/>
      </c>
      <c r="H1462" s="11" t="str">
        <f aca="false">IF(C1462="","",IF(G1462="","Thiếu thông tin",IF(G1462&lt;6,"Trẻ em",IF(G1462&lt;23,"Học sinh / Sinh viên",IF(G1462&lt;60,"Đang đi làm","Nghỉ hưu")))))</f>
        <v/>
      </c>
      <c r="I1462" s="6"/>
      <c r="J1462" s="11" t="str">
        <f aca="false">IF(B1462="","",IFERROR(INDEX('Hộ gia đình'!$B$2:$B$2000,MATCH(B1462,'Hộ gia đình'!$A$2:$A$2000,0)),"Mã hộ không tồn tại"))</f>
        <v/>
      </c>
      <c r="K1462" s="14"/>
      <c r="L1462" s="14"/>
      <c r="M1462" s="6"/>
      <c r="N1462" s="6"/>
      <c r="O1462" s="6"/>
      <c r="P1462" s="6"/>
      <c r="Q1462" s="6"/>
      <c r="R1462" s="12"/>
    </row>
    <row r="1463" customFormat="false" ht="15" hidden="false" customHeight="true" outlineLevel="0" collapsed="false">
      <c r="A1463" s="6"/>
      <c r="B1463" s="6"/>
      <c r="C1463" s="6"/>
      <c r="D1463" s="6"/>
      <c r="E1463" s="13"/>
      <c r="F1463" s="6"/>
      <c r="G1463" s="11" t="str">
        <f aca="true">IF(F1463="","",YEAR(TODAY())-F1463)</f>
        <v/>
      </c>
      <c r="H1463" s="11" t="str">
        <f aca="false">IF(C1463="","",IF(G1463="","Thiếu thông tin",IF(G1463&lt;6,"Trẻ em",IF(G1463&lt;23,"Học sinh / Sinh viên",IF(G1463&lt;60,"Đang đi làm","Nghỉ hưu")))))</f>
        <v/>
      </c>
      <c r="I1463" s="6"/>
      <c r="J1463" s="11" t="str">
        <f aca="false">IF(B1463="","",IFERROR(INDEX('Hộ gia đình'!$B$2:$B$2000,MATCH(B1463,'Hộ gia đình'!$A$2:$A$2000,0)),"Mã hộ không tồn tại"))</f>
        <v/>
      </c>
      <c r="K1463" s="14"/>
      <c r="L1463" s="14"/>
      <c r="M1463" s="6"/>
      <c r="N1463" s="6"/>
      <c r="O1463" s="6"/>
      <c r="P1463" s="6"/>
      <c r="Q1463" s="6"/>
      <c r="R1463" s="12"/>
    </row>
    <row r="1464" customFormat="false" ht="15" hidden="false" customHeight="true" outlineLevel="0" collapsed="false">
      <c r="A1464" s="6"/>
      <c r="B1464" s="6"/>
      <c r="C1464" s="6"/>
      <c r="D1464" s="6"/>
      <c r="E1464" s="13"/>
      <c r="F1464" s="6"/>
      <c r="G1464" s="11" t="str">
        <f aca="true">IF(F1464="","",YEAR(TODAY())-F1464)</f>
        <v/>
      </c>
      <c r="H1464" s="11" t="str">
        <f aca="false">IF(C1464="","",IF(G1464="","Thiếu thông tin",IF(G1464&lt;6,"Trẻ em",IF(G1464&lt;23,"Học sinh / Sinh viên",IF(G1464&lt;60,"Đang đi làm","Nghỉ hưu")))))</f>
        <v/>
      </c>
      <c r="I1464" s="6"/>
      <c r="J1464" s="11" t="str">
        <f aca="false">IF(B1464="","",IFERROR(INDEX('Hộ gia đình'!$B$2:$B$2000,MATCH(B1464,'Hộ gia đình'!$A$2:$A$2000,0)),"Mã hộ không tồn tại"))</f>
        <v/>
      </c>
      <c r="K1464" s="14"/>
      <c r="L1464" s="14"/>
      <c r="M1464" s="6"/>
      <c r="N1464" s="6"/>
      <c r="O1464" s="6"/>
      <c r="P1464" s="6"/>
      <c r="Q1464" s="6"/>
      <c r="R1464" s="12"/>
    </row>
    <row r="1465" customFormat="false" ht="15" hidden="false" customHeight="true" outlineLevel="0" collapsed="false">
      <c r="A1465" s="6"/>
      <c r="B1465" s="6"/>
      <c r="C1465" s="6"/>
      <c r="D1465" s="6"/>
      <c r="E1465" s="13"/>
      <c r="F1465" s="6"/>
      <c r="G1465" s="11" t="str">
        <f aca="true">IF(F1465="","",YEAR(TODAY())-F1465)</f>
        <v/>
      </c>
      <c r="H1465" s="11" t="str">
        <f aca="false">IF(C1465="","",IF(G1465="","Thiếu thông tin",IF(G1465&lt;6,"Trẻ em",IF(G1465&lt;23,"Học sinh / Sinh viên",IF(G1465&lt;60,"Đang đi làm","Nghỉ hưu")))))</f>
        <v/>
      </c>
      <c r="I1465" s="6"/>
      <c r="J1465" s="11" t="str">
        <f aca="false">IF(B1465="","",IFERROR(INDEX('Hộ gia đình'!$B$2:$B$2000,MATCH(B1465,'Hộ gia đình'!$A$2:$A$2000,0)),"Mã hộ không tồn tại"))</f>
        <v/>
      </c>
      <c r="K1465" s="14"/>
      <c r="L1465" s="14"/>
      <c r="M1465" s="6"/>
      <c r="N1465" s="6"/>
      <c r="O1465" s="6"/>
      <c r="P1465" s="6"/>
      <c r="Q1465" s="6"/>
      <c r="R1465" s="12"/>
    </row>
    <row r="1466" customFormat="false" ht="15" hidden="false" customHeight="true" outlineLevel="0" collapsed="false">
      <c r="A1466" s="6"/>
      <c r="B1466" s="6"/>
      <c r="C1466" s="6"/>
      <c r="D1466" s="6"/>
      <c r="E1466" s="13"/>
      <c r="F1466" s="6"/>
      <c r="G1466" s="11" t="str">
        <f aca="true">IF(F1466="","",YEAR(TODAY())-F1466)</f>
        <v/>
      </c>
      <c r="H1466" s="11" t="str">
        <f aca="false">IF(C1466="","",IF(G1466="","Thiếu thông tin",IF(G1466&lt;6,"Trẻ em",IF(G1466&lt;23,"Học sinh / Sinh viên",IF(G1466&lt;60,"Đang đi làm","Nghỉ hưu")))))</f>
        <v/>
      </c>
      <c r="I1466" s="6"/>
      <c r="J1466" s="11" t="str">
        <f aca="false">IF(B1466="","",IFERROR(INDEX('Hộ gia đình'!$B$2:$B$2000,MATCH(B1466,'Hộ gia đình'!$A$2:$A$2000,0)),"Mã hộ không tồn tại"))</f>
        <v/>
      </c>
      <c r="K1466" s="14"/>
      <c r="L1466" s="14"/>
      <c r="M1466" s="6"/>
      <c r="N1466" s="6"/>
      <c r="O1466" s="6"/>
      <c r="P1466" s="6"/>
      <c r="Q1466" s="6"/>
      <c r="R1466" s="12"/>
    </row>
    <row r="1467" customFormat="false" ht="15" hidden="false" customHeight="true" outlineLevel="0" collapsed="false">
      <c r="A1467" s="6"/>
      <c r="B1467" s="6"/>
      <c r="C1467" s="6"/>
      <c r="D1467" s="6"/>
      <c r="E1467" s="13"/>
      <c r="F1467" s="6"/>
      <c r="G1467" s="11" t="str">
        <f aca="true">IF(F1467="","",YEAR(TODAY())-F1467)</f>
        <v/>
      </c>
      <c r="H1467" s="11" t="str">
        <f aca="false">IF(C1467="","",IF(G1467="","Thiếu thông tin",IF(G1467&lt;6,"Trẻ em",IF(G1467&lt;23,"Học sinh / Sinh viên",IF(G1467&lt;60,"Đang đi làm","Nghỉ hưu")))))</f>
        <v/>
      </c>
      <c r="I1467" s="6"/>
      <c r="J1467" s="11" t="str">
        <f aca="false">IF(B1467="","",IFERROR(INDEX('Hộ gia đình'!$B$2:$B$2000,MATCH(B1467,'Hộ gia đình'!$A$2:$A$2000,0)),"Mã hộ không tồn tại"))</f>
        <v/>
      </c>
      <c r="K1467" s="14"/>
      <c r="L1467" s="14"/>
      <c r="M1467" s="6"/>
      <c r="N1467" s="6"/>
      <c r="O1467" s="6"/>
      <c r="P1467" s="6"/>
      <c r="Q1467" s="6"/>
      <c r="R1467" s="12"/>
    </row>
    <row r="1468" customFormat="false" ht="15" hidden="false" customHeight="true" outlineLevel="0" collapsed="false">
      <c r="A1468" s="6"/>
      <c r="B1468" s="6"/>
      <c r="C1468" s="6"/>
      <c r="D1468" s="6"/>
      <c r="E1468" s="13"/>
      <c r="F1468" s="6"/>
      <c r="G1468" s="11" t="str">
        <f aca="true">IF(F1468="","",YEAR(TODAY())-F1468)</f>
        <v/>
      </c>
      <c r="H1468" s="11" t="str">
        <f aca="false">IF(C1468="","",IF(G1468="","Thiếu thông tin",IF(G1468&lt;6,"Trẻ em",IF(G1468&lt;23,"Học sinh / Sinh viên",IF(G1468&lt;60,"Đang đi làm","Nghỉ hưu")))))</f>
        <v/>
      </c>
      <c r="I1468" s="6"/>
      <c r="J1468" s="11" t="str">
        <f aca="false">IF(B1468="","",IFERROR(INDEX('Hộ gia đình'!$B$2:$B$2000,MATCH(B1468,'Hộ gia đình'!$A$2:$A$2000,0)),"Mã hộ không tồn tại"))</f>
        <v/>
      </c>
      <c r="K1468" s="14"/>
      <c r="L1468" s="14"/>
      <c r="M1468" s="6"/>
      <c r="N1468" s="6"/>
      <c r="O1468" s="6"/>
      <c r="P1468" s="6"/>
      <c r="Q1468" s="6"/>
      <c r="R1468" s="12"/>
    </row>
    <row r="1469" customFormat="false" ht="15" hidden="false" customHeight="true" outlineLevel="0" collapsed="false">
      <c r="A1469" s="6"/>
      <c r="B1469" s="6"/>
      <c r="C1469" s="6"/>
      <c r="D1469" s="6"/>
      <c r="E1469" s="13"/>
      <c r="F1469" s="6"/>
      <c r="G1469" s="11" t="str">
        <f aca="true">IF(F1469="","",YEAR(TODAY())-F1469)</f>
        <v/>
      </c>
      <c r="H1469" s="11" t="str">
        <f aca="false">IF(C1469="","",IF(G1469="","Thiếu thông tin",IF(G1469&lt;6,"Trẻ em",IF(G1469&lt;23,"Học sinh / Sinh viên",IF(G1469&lt;60,"Đang đi làm","Nghỉ hưu")))))</f>
        <v/>
      </c>
      <c r="I1469" s="6"/>
      <c r="J1469" s="11" t="str">
        <f aca="false">IF(B1469="","",IFERROR(INDEX('Hộ gia đình'!$B$2:$B$2000,MATCH(B1469,'Hộ gia đình'!$A$2:$A$2000,0)),"Mã hộ không tồn tại"))</f>
        <v/>
      </c>
      <c r="K1469" s="14"/>
      <c r="L1469" s="14"/>
      <c r="M1469" s="6"/>
      <c r="N1469" s="6"/>
      <c r="O1469" s="6"/>
      <c r="P1469" s="6"/>
      <c r="Q1469" s="6"/>
      <c r="R1469" s="12"/>
    </row>
    <row r="1470" customFormat="false" ht="15" hidden="false" customHeight="true" outlineLevel="0" collapsed="false">
      <c r="A1470" s="6"/>
      <c r="B1470" s="6"/>
      <c r="C1470" s="6"/>
      <c r="D1470" s="6"/>
      <c r="E1470" s="13"/>
      <c r="F1470" s="6"/>
      <c r="G1470" s="11" t="str">
        <f aca="true">IF(F1470="","",YEAR(TODAY())-F1470)</f>
        <v/>
      </c>
      <c r="H1470" s="11" t="str">
        <f aca="false">IF(C1470="","",IF(G1470="","Thiếu thông tin",IF(G1470&lt;6,"Trẻ em",IF(G1470&lt;23,"Học sinh / Sinh viên",IF(G1470&lt;60,"Đang đi làm","Nghỉ hưu")))))</f>
        <v/>
      </c>
      <c r="I1470" s="6"/>
      <c r="J1470" s="11" t="str">
        <f aca="false">IF(B1470="","",IFERROR(INDEX('Hộ gia đình'!$B$2:$B$2000,MATCH(B1470,'Hộ gia đình'!$A$2:$A$2000,0)),"Mã hộ không tồn tại"))</f>
        <v/>
      </c>
      <c r="K1470" s="14"/>
      <c r="L1470" s="14"/>
      <c r="M1470" s="6"/>
      <c r="N1470" s="6"/>
      <c r="O1470" s="6"/>
      <c r="P1470" s="6"/>
      <c r="Q1470" s="6"/>
      <c r="R1470" s="12"/>
    </row>
    <row r="1471" customFormat="false" ht="15" hidden="false" customHeight="true" outlineLevel="0" collapsed="false">
      <c r="A1471" s="6"/>
      <c r="B1471" s="6"/>
      <c r="C1471" s="6"/>
      <c r="D1471" s="6"/>
      <c r="E1471" s="13"/>
      <c r="F1471" s="6"/>
      <c r="G1471" s="11" t="str">
        <f aca="true">IF(F1471="","",YEAR(TODAY())-F1471)</f>
        <v/>
      </c>
      <c r="H1471" s="11" t="str">
        <f aca="false">IF(C1471="","",IF(G1471="","Thiếu thông tin",IF(G1471&lt;6,"Trẻ em",IF(G1471&lt;23,"Học sinh / Sinh viên",IF(G1471&lt;60,"Đang đi làm","Nghỉ hưu")))))</f>
        <v/>
      </c>
      <c r="I1471" s="6"/>
      <c r="J1471" s="11" t="str">
        <f aca="false">IF(B1471="","",IFERROR(INDEX('Hộ gia đình'!$B$2:$B$2000,MATCH(B1471,'Hộ gia đình'!$A$2:$A$2000,0)),"Mã hộ không tồn tại"))</f>
        <v/>
      </c>
      <c r="K1471" s="14"/>
      <c r="L1471" s="14"/>
      <c r="M1471" s="6"/>
      <c r="N1471" s="6"/>
      <c r="O1471" s="6"/>
      <c r="P1471" s="6"/>
      <c r="Q1471" s="6"/>
      <c r="R1471" s="12"/>
    </row>
    <row r="1472" customFormat="false" ht="15" hidden="false" customHeight="true" outlineLevel="0" collapsed="false">
      <c r="A1472" s="6"/>
      <c r="B1472" s="6"/>
      <c r="C1472" s="6"/>
      <c r="D1472" s="6"/>
      <c r="E1472" s="13"/>
      <c r="F1472" s="6"/>
      <c r="G1472" s="11" t="str">
        <f aca="true">IF(F1472="","",YEAR(TODAY())-F1472)</f>
        <v/>
      </c>
      <c r="H1472" s="11" t="str">
        <f aca="false">IF(C1472="","",IF(G1472="","Thiếu thông tin",IF(G1472&lt;6,"Trẻ em",IF(G1472&lt;23,"Học sinh / Sinh viên",IF(G1472&lt;60,"Đang đi làm","Nghỉ hưu")))))</f>
        <v/>
      </c>
      <c r="I1472" s="6"/>
      <c r="J1472" s="11" t="str">
        <f aca="false">IF(B1472="","",IFERROR(INDEX('Hộ gia đình'!$B$2:$B$2000,MATCH(B1472,'Hộ gia đình'!$A$2:$A$2000,0)),"Mã hộ không tồn tại"))</f>
        <v/>
      </c>
      <c r="K1472" s="14"/>
      <c r="L1472" s="14"/>
      <c r="M1472" s="6"/>
      <c r="N1472" s="6"/>
      <c r="O1472" s="6"/>
      <c r="P1472" s="6"/>
      <c r="Q1472" s="6"/>
      <c r="R1472" s="12"/>
    </row>
    <row r="1473" customFormat="false" ht="15" hidden="false" customHeight="true" outlineLevel="0" collapsed="false">
      <c r="A1473" s="6"/>
      <c r="B1473" s="6"/>
      <c r="C1473" s="6"/>
      <c r="D1473" s="6"/>
      <c r="E1473" s="13"/>
      <c r="F1473" s="6"/>
      <c r="G1473" s="11" t="str">
        <f aca="true">IF(F1473="","",YEAR(TODAY())-F1473)</f>
        <v/>
      </c>
      <c r="H1473" s="11" t="str">
        <f aca="false">IF(C1473="","",IF(G1473="","Thiếu thông tin",IF(G1473&lt;6,"Trẻ em",IF(G1473&lt;23,"Học sinh / Sinh viên",IF(G1473&lt;60,"Đang đi làm","Nghỉ hưu")))))</f>
        <v/>
      </c>
      <c r="I1473" s="6"/>
      <c r="J1473" s="11" t="str">
        <f aca="false">IF(B1473="","",IFERROR(INDEX('Hộ gia đình'!$B$2:$B$2000,MATCH(B1473,'Hộ gia đình'!$A$2:$A$2000,0)),"Mã hộ không tồn tại"))</f>
        <v/>
      </c>
      <c r="K1473" s="14"/>
      <c r="L1473" s="14"/>
      <c r="M1473" s="6"/>
      <c r="N1473" s="6"/>
      <c r="O1473" s="6"/>
      <c r="P1473" s="6"/>
      <c r="Q1473" s="6"/>
      <c r="R1473" s="12"/>
    </row>
    <row r="1474" customFormat="false" ht="15" hidden="false" customHeight="true" outlineLevel="0" collapsed="false">
      <c r="A1474" s="6"/>
      <c r="B1474" s="6"/>
      <c r="C1474" s="6"/>
      <c r="D1474" s="6"/>
      <c r="E1474" s="13"/>
      <c r="F1474" s="6"/>
      <c r="G1474" s="11" t="str">
        <f aca="true">IF(F1474="","",YEAR(TODAY())-F1474)</f>
        <v/>
      </c>
      <c r="H1474" s="11" t="str">
        <f aca="false">IF(C1474="","",IF(G1474="","Thiếu thông tin",IF(G1474&lt;6,"Trẻ em",IF(G1474&lt;23,"Học sinh / Sinh viên",IF(G1474&lt;60,"Đang đi làm","Nghỉ hưu")))))</f>
        <v/>
      </c>
      <c r="I1474" s="6"/>
      <c r="J1474" s="11" t="str">
        <f aca="false">IF(B1474="","",IFERROR(INDEX('Hộ gia đình'!$B$2:$B$2000,MATCH(B1474,'Hộ gia đình'!$A$2:$A$2000,0)),"Mã hộ không tồn tại"))</f>
        <v/>
      </c>
      <c r="K1474" s="14"/>
      <c r="L1474" s="14"/>
      <c r="M1474" s="6"/>
      <c r="N1474" s="6"/>
      <c r="O1474" s="6"/>
      <c r="P1474" s="6"/>
      <c r="Q1474" s="6"/>
      <c r="R1474" s="12"/>
    </row>
    <row r="1475" customFormat="false" ht="15" hidden="false" customHeight="true" outlineLevel="0" collapsed="false">
      <c r="A1475" s="6"/>
      <c r="B1475" s="6"/>
      <c r="C1475" s="6"/>
      <c r="D1475" s="6"/>
      <c r="E1475" s="13"/>
      <c r="F1475" s="6"/>
      <c r="G1475" s="11" t="str">
        <f aca="true">IF(F1475="","",YEAR(TODAY())-F1475)</f>
        <v/>
      </c>
      <c r="H1475" s="11" t="str">
        <f aca="false">IF(C1475="","",IF(G1475="","Thiếu thông tin",IF(G1475&lt;6,"Trẻ em",IF(G1475&lt;23,"Học sinh / Sinh viên",IF(G1475&lt;60,"Đang đi làm","Nghỉ hưu")))))</f>
        <v/>
      </c>
      <c r="I1475" s="6"/>
      <c r="J1475" s="11" t="str">
        <f aca="false">IF(B1475="","",IFERROR(INDEX('Hộ gia đình'!$B$2:$B$2000,MATCH(B1475,'Hộ gia đình'!$A$2:$A$2000,0)),"Mã hộ không tồn tại"))</f>
        <v/>
      </c>
      <c r="K1475" s="14"/>
      <c r="L1475" s="14"/>
      <c r="M1475" s="6"/>
      <c r="N1475" s="6"/>
      <c r="O1475" s="6"/>
      <c r="P1475" s="6"/>
      <c r="Q1475" s="6"/>
      <c r="R1475" s="12"/>
    </row>
    <row r="1476" customFormat="false" ht="15" hidden="false" customHeight="true" outlineLevel="0" collapsed="false">
      <c r="A1476" s="6"/>
      <c r="B1476" s="6"/>
      <c r="C1476" s="6"/>
      <c r="D1476" s="6"/>
      <c r="E1476" s="13"/>
      <c r="F1476" s="6"/>
      <c r="G1476" s="11" t="str">
        <f aca="true">IF(F1476="","",YEAR(TODAY())-F1476)</f>
        <v/>
      </c>
      <c r="H1476" s="11" t="str">
        <f aca="false">IF(C1476="","",IF(G1476="","Thiếu thông tin",IF(G1476&lt;6,"Trẻ em",IF(G1476&lt;23,"Học sinh / Sinh viên",IF(G1476&lt;60,"Đang đi làm","Nghỉ hưu")))))</f>
        <v/>
      </c>
      <c r="I1476" s="6"/>
      <c r="J1476" s="11" t="str">
        <f aca="false">IF(B1476="","",IFERROR(INDEX('Hộ gia đình'!$B$2:$B$2000,MATCH(B1476,'Hộ gia đình'!$A$2:$A$2000,0)),"Mã hộ không tồn tại"))</f>
        <v/>
      </c>
      <c r="K1476" s="14"/>
      <c r="L1476" s="14"/>
      <c r="M1476" s="6"/>
      <c r="N1476" s="6"/>
      <c r="O1476" s="6"/>
      <c r="P1476" s="6"/>
      <c r="Q1476" s="6"/>
      <c r="R1476" s="12"/>
    </row>
    <row r="1477" customFormat="false" ht="15" hidden="false" customHeight="true" outlineLevel="0" collapsed="false">
      <c r="A1477" s="6"/>
      <c r="B1477" s="6"/>
      <c r="C1477" s="6"/>
      <c r="D1477" s="6"/>
      <c r="E1477" s="13"/>
      <c r="F1477" s="6"/>
      <c r="G1477" s="11" t="str">
        <f aca="true">IF(F1477="","",YEAR(TODAY())-F1477)</f>
        <v/>
      </c>
      <c r="H1477" s="11" t="str">
        <f aca="false">IF(C1477="","",IF(G1477="","Thiếu thông tin",IF(G1477&lt;6,"Trẻ em",IF(G1477&lt;23,"Học sinh / Sinh viên",IF(G1477&lt;60,"Đang đi làm","Nghỉ hưu")))))</f>
        <v/>
      </c>
      <c r="I1477" s="6"/>
      <c r="J1477" s="11" t="str">
        <f aca="false">IF(B1477="","",IFERROR(INDEX('Hộ gia đình'!$B$2:$B$2000,MATCH(B1477,'Hộ gia đình'!$A$2:$A$2000,0)),"Mã hộ không tồn tại"))</f>
        <v/>
      </c>
      <c r="K1477" s="14"/>
      <c r="L1477" s="14"/>
      <c r="M1477" s="6"/>
      <c r="N1477" s="6"/>
      <c r="O1477" s="6"/>
      <c r="P1477" s="6"/>
      <c r="Q1477" s="6"/>
      <c r="R1477" s="12"/>
    </row>
    <row r="1478" customFormat="false" ht="15" hidden="false" customHeight="true" outlineLevel="0" collapsed="false">
      <c r="A1478" s="6"/>
      <c r="B1478" s="6"/>
      <c r="C1478" s="6"/>
      <c r="D1478" s="6"/>
      <c r="E1478" s="13"/>
      <c r="F1478" s="6"/>
      <c r="G1478" s="11" t="str">
        <f aca="true">IF(F1478="","",YEAR(TODAY())-F1478)</f>
        <v/>
      </c>
      <c r="H1478" s="11" t="str">
        <f aca="false">IF(C1478="","",IF(G1478="","Thiếu thông tin",IF(G1478&lt;6,"Trẻ em",IF(G1478&lt;23,"Học sinh / Sinh viên",IF(G1478&lt;60,"Đang đi làm","Nghỉ hưu")))))</f>
        <v/>
      </c>
      <c r="I1478" s="6"/>
      <c r="J1478" s="11" t="str">
        <f aca="false">IF(B1478="","",IFERROR(INDEX('Hộ gia đình'!$B$2:$B$2000,MATCH(B1478,'Hộ gia đình'!$A$2:$A$2000,0)),"Mã hộ không tồn tại"))</f>
        <v/>
      </c>
      <c r="K1478" s="14"/>
      <c r="L1478" s="14"/>
      <c r="M1478" s="6"/>
      <c r="N1478" s="6"/>
      <c r="O1478" s="6"/>
      <c r="P1478" s="6"/>
      <c r="Q1478" s="6"/>
      <c r="R1478" s="12"/>
    </row>
    <row r="1479" customFormat="false" ht="15" hidden="false" customHeight="true" outlineLevel="0" collapsed="false">
      <c r="A1479" s="6"/>
      <c r="B1479" s="6"/>
      <c r="C1479" s="6"/>
      <c r="D1479" s="6"/>
      <c r="E1479" s="13"/>
      <c r="F1479" s="6"/>
      <c r="G1479" s="11" t="str">
        <f aca="true">IF(F1479="","",YEAR(TODAY())-F1479)</f>
        <v/>
      </c>
      <c r="H1479" s="11" t="str">
        <f aca="false">IF(C1479="","",IF(G1479="","Thiếu thông tin",IF(G1479&lt;6,"Trẻ em",IF(G1479&lt;23,"Học sinh / Sinh viên",IF(G1479&lt;60,"Đang đi làm","Nghỉ hưu")))))</f>
        <v/>
      </c>
      <c r="I1479" s="6"/>
      <c r="J1479" s="11" t="str">
        <f aca="false">IF(B1479="","",IFERROR(INDEX('Hộ gia đình'!$B$2:$B$2000,MATCH(B1479,'Hộ gia đình'!$A$2:$A$2000,0)),"Mã hộ không tồn tại"))</f>
        <v/>
      </c>
      <c r="K1479" s="14"/>
      <c r="L1479" s="14"/>
      <c r="M1479" s="6"/>
      <c r="N1479" s="6"/>
      <c r="O1479" s="6"/>
      <c r="P1479" s="6"/>
      <c r="Q1479" s="6"/>
      <c r="R1479" s="12"/>
    </row>
    <row r="1480" customFormat="false" ht="15" hidden="false" customHeight="true" outlineLevel="0" collapsed="false">
      <c r="A1480" s="6"/>
      <c r="B1480" s="6"/>
      <c r="C1480" s="6"/>
      <c r="D1480" s="6"/>
      <c r="E1480" s="13"/>
      <c r="F1480" s="6"/>
      <c r="G1480" s="11" t="str">
        <f aca="true">IF(F1480="","",YEAR(TODAY())-F1480)</f>
        <v/>
      </c>
      <c r="H1480" s="11" t="str">
        <f aca="false">IF(C1480="","",IF(G1480="","Thiếu thông tin",IF(G1480&lt;6,"Trẻ em",IF(G1480&lt;23,"Học sinh / Sinh viên",IF(G1480&lt;60,"Đang đi làm","Nghỉ hưu")))))</f>
        <v/>
      </c>
      <c r="I1480" s="6"/>
      <c r="J1480" s="11" t="str">
        <f aca="false">IF(B1480="","",IFERROR(INDEX('Hộ gia đình'!$B$2:$B$2000,MATCH(B1480,'Hộ gia đình'!$A$2:$A$2000,0)),"Mã hộ không tồn tại"))</f>
        <v/>
      </c>
      <c r="K1480" s="14"/>
      <c r="L1480" s="14"/>
      <c r="M1480" s="6"/>
      <c r="N1480" s="6"/>
      <c r="O1480" s="6"/>
      <c r="P1480" s="6"/>
      <c r="Q1480" s="6"/>
      <c r="R1480" s="12"/>
    </row>
    <row r="1481" customFormat="false" ht="15" hidden="false" customHeight="true" outlineLevel="0" collapsed="false">
      <c r="A1481" s="6"/>
      <c r="B1481" s="6"/>
      <c r="C1481" s="6"/>
      <c r="D1481" s="6"/>
      <c r="E1481" s="13"/>
      <c r="F1481" s="6"/>
      <c r="G1481" s="11" t="str">
        <f aca="true">IF(F1481="","",YEAR(TODAY())-F1481)</f>
        <v/>
      </c>
      <c r="H1481" s="11" t="str">
        <f aca="false">IF(C1481="","",IF(G1481="","Thiếu thông tin",IF(G1481&lt;6,"Trẻ em",IF(G1481&lt;23,"Học sinh / Sinh viên",IF(G1481&lt;60,"Đang đi làm","Nghỉ hưu")))))</f>
        <v/>
      </c>
      <c r="I1481" s="6"/>
      <c r="J1481" s="11" t="str">
        <f aca="false">IF(B1481="","",IFERROR(INDEX('Hộ gia đình'!$B$2:$B$2000,MATCH(B1481,'Hộ gia đình'!$A$2:$A$2000,0)),"Mã hộ không tồn tại"))</f>
        <v/>
      </c>
      <c r="K1481" s="14"/>
      <c r="L1481" s="14"/>
      <c r="M1481" s="6"/>
      <c r="N1481" s="6"/>
      <c r="O1481" s="6"/>
      <c r="P1481" s="6"/>
      <c r="Q1481" s="6"/>
      <c r="R1481" s="12"/>
    </row>
    <row r="1482" customFormat="false" ht="15" hidden="false" customHeight="true" outlineLevel="0" collapsed="false">
      <c r="A1482" s="6"/>
      <c r="B1482" s="6"/>
      <c r="C1482" s="6"/>
      <c r="D1482" s="6"/>
      <c r="E1482" s="13"/>
      <c r="F1482" s="6"/>
      <c r="G1482" s="11" t="str">
        <f aca="true">IF(F1482="","",YEAR(TODAY())-F1482)</f>
        <v/>
      </c>
      <c r="H1482" s="11" t="str">
        <f aca="false">IF(C1482="","",IF(G1482="","Thiếu thông tin",IF(G1482&lt;6,"Trẻ em",IF(G1482&lt;23,"Học sinh / Sinh viên",IF(G1482&lt;60,"Đang đi làm","Nghỉ hưu")))))</f>
        <v/>
      </c>
      <c r="I1482" s="6"/>
      <c r="J1482" s="11" t="str">
        <f aca="false">IF(B1482="","",IFERROR(INDEX('Hộ gia đình'!$B$2:$B$2000,MATCH(B1482,'Hộ gia đình'!$A$2:$A$2000,0)),"Mã hộ không tồn tại"))</f>
        <v/>
      </c>
      <c r="K1482" s="14"/>
      <c r="L1482" s="14"/>
      <c r="M1482" s="6"/>
      <c r="N1482" s="6"/>
      <c r="O1482" s="6"/>
      <c r="P1482" s="6"/>
      <c r="Q1482" s="6"/>
      <c r="R1482" s="12"/>
    </row>
    <row r="1483" customFormat="false" ht="15" hidden="false" customHeight="true" outlineLevel="0" collapsed="false">
      <c r="A1483" s="6"/>
      <c r="B1483" s="6"/>
      <c r="C1483" s="6"/>
      <c r="D1483" s="6"/>
      <c r="E1483" s="13"/>
      <c r="F1483" s="6"/>
      <c r="G1483" s="11" t="str">
        <f aca="true">IF(F1483="","",YEAR(TODAY())-F1483)</f>
        <v/>
      </c>
      <c r="H1483" s="11" t="str">
        <f aca="false">IF(C1483="","",IF(G1483="","Thiếu thông tin",IF(G1483&lt;6,"Trẻ em",IF(G1483&lt;23,"Học sinh / Sinh viên",IF(G1483&lt;60,"Đang đi làm","Nghỉ hưu")))))</f>
        <v/>
      </c>
      <c r="I1483" s="6"/>
      <c r="J1483" s="11" t="str">
        <f aca="false">IF(B1483="","",IFERROR(INDEX('Hộ gia đình'!$B$2:$B$2000,MATCH(B1483,'Hộ gia đình'!$A$2:$A$2000,0)),"Mã hộ không tồn tại"))</f>
        <v/>
      </c>
      <c r="K1483" s="14"/>
      <c r="L1483" s="14"/>
      <c r="M1483" s="6"/>
      <c r="N1483" s="6"/>
      <c r="O1483" s="6"/>
      <c r="P1483" s="6"/>
      <c r="Q1483" s="6"/>
      <c r="R1483" s="12"/>
    </row>
    <row r="1484" customFormat="false" ht="15" hidden="false" customHeight="true" outlineLevel="0" collapsed="false">
      <c r="A1484" s="6"/>
      <c r="B1484" s="6"/>
      <c r="C1484" s="6"/>
      <c r="D1484" s="6"/>
      <c r="E1484" s="13"/>
      <c r="F1484" s="6"/>
      <c r="G1484" s="11" t="str">
        <f aca="true">IF(F1484="","",YEAR(TODAY())-F1484)</f>
        <v/>
      </c>
      <c r="H1484" s="11" t="str">
        <f aca="false">IF(C1484="","",IF(G1484="","Thiếu thông tin",IF(G1484&lt;6,"Trẻ em",IF(G1484&lt;23,"Học sinh / Sinh viên",IF(G1484&lt;60,"Đang đi làm","Nghỉ hưu")))))</f>
        <v/>
      </c>
      <c r="I1484" s="6"/>
      <c r="J1484" s="11" t="str">
        <f aca="false">IF(B1484="","",IFERROR(INDEX('Hộ gia đình'!$B$2:$B$2000,MATCH(B1484,'Hộ gia đình'!$A$2:$A$2000,0)),"Mã hộ không tồn tại"))</f>
        <v/>
      </c>
      <c r="K1484" s="14"/>
      <c r="L1484" s="14"/>
      <c r="M1484" s="6"/>
      <c r="N1484" s="6"/>
      <c r="O1484" s="6"/>
      <c r="P1484" s="6"/>
      <c r="Q1484" s="6"/>
      <c r="R1484" s="12"/>
    </row>
    <row r="1485" customFormat="false" ht="15" hidden="false" customHeight="true" outlineLevel="0" collapsed="false">
      <c r="A1485" s="6"/>
      <c r="B1485" s="6"/>
      <c r="C1485" s="6"/>
      <c r="D1485" s="6"/>
      <c r="E1485" s="13"/>
      <c r="F1485" s="6"/>
      <c r="G1485" s="11" t="str">
        <f aca="true">IF(F1485="","",YEAR(TODAY())-F1485)</f>
        <v/>
      </c>
      <c r="H1485" s="11" t="str">
        <f aca="false">IF(C1485="","",IF(G1485="","Thiếu thông tin",IF(G1485&lt;6,"Trẻ em",IF(G1485&lt;23,"Học sinh / Sinh viên",IF(G1485&lt;60,"Đang đi làm","Nghỉ hưu")))))</f>
        <v/>
      </c>
      <c r="I1485" s="6"/>
      <c r="J1485" s="11" t="str">
        <f aca="false">IF(B1485="","",IFERROR(INDEX('Hộ gia đình'!$B$2:$B$2000,MATCH(B1485,'Hộ gia đình'!$A$2:$A$2000,0)),"Mã hộ không tồn tại"))</f>
        <v/>
      </c>
      <c r="K1485" s="14"/>
      <c r="L1485" s="14"/>
      <c r="M1485" s="6"/>
      <c r="N1485" s="6"/>
      <c r="O1485" s="6"/>
      <c r="P1485" s="6"/>
      <c r="Q1485" s="6"/>
      <c r="R1485" s="12"/>
    </row>
    <row r="1486" customFormat="false" ht="15" hidden="false" customHeight="true" outlineLevel="0" collapsed="false">
      <c r="A1486" s="6"/>
      <c r="B1486" s="6"/>
      <c r="C1486" s="6"/>
      <c r="D1486" s="6"/>
      <c r="E1486" s="13"/>
      <c r="F1486" s="6"/>
      <c r="G1486" s="11" t="str">
        <f aca="true">IF(F1486="","",YEAR(TODAY())-F1486)</f>
        <v/>
      </c>
      <c r="H1486" s="11" t="str">
        <f aca="false">IF(C1486="","",IF(G1486="","Thiếu thông tin",IF(G1486&lt;6,"Trẻ em",IF(G1486&lt;23,"Học sinh / Sinh viên",IF(G1486&lt;60,"Đang đi làm","Nghỉ hưu")))))</f>
        <v/>
      </c>
      <c r="I1486" s="6"/>
      <c r="J1486" s="11" t="str">
        <f aca="false">IF(B1486="","",IFERROR(INDEX('Hộ gia đình'!$B$2:$B$2000,MATCH(B1486,'Hộ gia đình'!$A$2:$A$2000,0)),"Mã hộ không tồn tại"))</f>
        <v/>
      </c>
      <c r="K1486" s="14"/>
      <c r="L1486" s="14"/>
      <c r="M1486" s="6"/>
      <c r="N1486" s="6"/>
      <c r="O1486" s="6"/>
      <c r="P1486" s="6"/>
      <c r="Q1486" s="6"/>
      <c r="R1486" s="12"/>
    </row>
    <row r="1487" customFormat="false" ht="15" hidden="false" customHeight="true" outlineLevel="0" collapsed="false">
      <c r="A1487" s="6"/>
      <c r="B1487" s="6"/>
      <c r="C1487" s="6"/>
      <c r="D1487" s="6"/>
      <c r="E1487" s="13"/>
      <c r="F1487" s="6"/>
      <c r="G1487" s="11" t="str">
        <f aca="true">IF(F1487="","",YEAR(TODAY())-F1487)</f>
        <v/>
      </c>
      <c r="H1487" s="11" t="str">
        <f aca="false">IF(C1487="","",IF(G1487="","Thiếu thông tin",IF(G1487&lt;6,"Trẻ em",IF(G1487&lt;23,"Học sinh / Sinh viên",IF(G1487&lt;60,"Đang đi làm","Nghỉ hưu")))))</f>
        <v/>
      </c>
      <c r="I1487" s="6"/>
      <c r="J1487" s="11" t="str">
        <f aca="false">IF(B1487="","",IFERROR(INDEX('Hộ gia đình'!$B$2:$B$2000,MATCH(B1487,'Hộ gia đình'!$A$2:$A$2000,0)),"Mã hộ không tồn tại"))</f>
        <v/>
      </c>
      <c r="K1487" s="14"/>
      <c r="L1487" s="14"/>
      <c r="M1487" s="6"/>
      <c r="N1487" s="6"/>
      <c r="O1487" s="6"/>
      <c r="P1487" s="6"/>
      <c r="Q1487" s="6"/>
      <c r="R1487" s="12"/>
    </row>
    <row r="1488" customFormat="false" ht="15" hidden="false" customHeight="true" outlineLevel="0" collapsed="false">
      <c r="A1488" s="6"/>
      <c r="B1488" s="6"/>
      <c r="C1488" s="6"/>
      <c r="D1488" s="6"/>
      <c r="E1488" s="13"/>
      <c r="F1488" s="6"/>
      <c r="G1488" s="11" t="str">
        <f aca="true">IF(F1488="","",YEAR(TODAY())-F1488)</f>
        <v/>
      </c>
      <c r="H1488" s="11" t="str">
        <f aca="false">IF(C1488="","",IF(G1488="","Thiếu thông tin",IF(G1488&lt;6,"Trẻ em",IF(G1488&lt;23,"Học sinh / Sinh viên",IF(G1488&lt;60,"Đang đi làm","Nghỉ hưu")))))</f>
        <v/>
      </c>
      <c r="I1488" s="6"/>
      <c r="J1488" s="11" t="str">
        <f aca="false">IF(B1488="","",IFERROR(INDEX('Hộ gia đình'!$B$2:$B$2000,MATCH(B1488,'Hộ gia đình'!$A$2:$A$2000,0)),"Mã hộ không tồn tại"))</f>
        <v/>
      </c>
      <c r="K1488" s="14"/>
      <c r="L1488" s="14"/>
      <c r="M1488" s="6"/>
      <c r="N1488" s="6"/>
      <c r="O1488" s="6"/>
      <c r="P1488" s="6"/>
      <c r="Q1488" s="6"/>
      <c r="R1488" s="12"/>
    </row>
    <row r="1489" customFormat="false" ht="15" hidden="false" customHeight="true" outlineLevel="0" collapsed="false">
      <c r="A1489" s="6"/>
      <c r="B1489" s="6"/>
      <c r="C1489" s="6"/>
      <c r="D1489" s="6"/>
      <c r="E1489" s="13"/>
      <c r="F1489" s="6"/>
      <c r="G1489" s="11" t="str">
        <f aca="true">IF(F1489="","",YEAR(TODAY())-F1489)</f>
        <v/>
      </c>
      <c r="H1489" s="11" t="str">
        <f aca="false">IF(C1489="","",IF(G1489="","Thiếu thông tin",IF(G1489&lt;6,"Trẻ em",IF(G1489&lt;23,"Học sinh / Sinh viên",IF(G1489&lt;60,"Đang đi làm","Nghỉ hưu")))))</f>
        <v/>
      </c>
      <c r="I1489" s="6"/>
      <c r="J1489" s="11" t="str">
        <f aca="false">IF(B1489="","",IFERROR(INDEX('Hộ gia đình'!$B$2:$B$2000,MATCH(B1489,'Hộ gia đình'!$A$2:$A$2000,0)),"Mã hộ không tồn tại"))</f>
        <v/>
      </c>
      <c r="K1489" s="14"/>
      <c r="L1489" s="14"/>
      <c r="M1489" s="6"/>
      <c r="N1489" s="6"/>
      <c r="O1489" s="6"/>
      <c r="P1489" s="6"/>
      <c r="Q1489" s="6"/>
      <c r="R1489" s="12"/>
    </row>
    <row r="1490" customFormat="false" ht="15" hidden="false" customHeight="true" outlineLevel="0" collapsed="false">
      <c r="A1490" s="6"/>
      <c r="B1490" s="6"/>
      <c r="C1490" s="6"/>
      <c r="D1490" s="6"/>
      <c r="E1490" s="13"/>
      <c r="F1490" s="6"/>
      <c r="G1490" s="11" t="str">
        <f aca="true">IF(F1490="","",YEAR(TODAY())-F1490)</f>
        <v/>
      </c>
      <c r="H1490" s="11" t="str">
        <f aca="false">IF(C1490="","",IF(G1490="","Thiếu thông tin",IF(G1490&lt;6,"Trẻ em",IF(G1490&lt;23,"Học sinh / Sinh viên",IF(G1490&lt;60,"Đang đi làm","Nghỉ hưu")))))</f>
        <v/>
      </c>
      <c r="I1490" s="6"/>
      <c r="J1490" s="11" t="str">
        <f aca="false">IF(B1490="","",IFERROR(INDEX('Hộ gia đình'!$B$2:$B$2000,MATCH(B1490,'Hộ gia đình'!$A$2:$A$2000,0)),"Mã hộ không tồn tại"))</f>
        <v/>
      </c>
      <c r="K1490" s="14"/>
      <c r="L1490" s="14"/>
      <c r="M1490" s="6"/>
      <c r="N1490" s="6"/>
      <c r="O1490" s="6"/>
      <c r="P1490" s="6"/>
      <c r="Q1490" s="6"/>
      <c r="R1490" s="12"/>
    </row>
    <row r="1491" customFormat="false" ht="15" hidden="false" customHeight="true" outlineLevel="0" collapsed="false">
      <c r="A1491" s="6"/>
      <c r="B1491" s="6"/>
      <c r="C1491" s="6"/>
      <c r="D1491" s="6"/>
      <c r="E1491" s="13"/>
      <c r="F1491" s="6"/>
      <c r="G1491" s="11" t="str">
        <f aca="true">IF(F1491="","",YEAR(TODAY())-F1491)</f>
        <v/>
      </c>
      <c r="H1491" s="11" t="str">
        <f aca="false">IF(C1491="","",IF(G1491="","Thiếu thông tin",IF(G1491&lt;6,"Trẻ em",IF(G1491&lt;23,"Học sinh / Sinh viên",IF(G1491&lt;60,"Đang đi làm","Nghỉ hưu")))))</f>
        <v/>
      </c>
      <c r="I1491" s="6"/>
      <c r="J1491" s="11" t="str">
        <f aca="false">IF(B1491="","",IFERROR(INDEX('Hộ gia đình'!$B$2:$B$2000,MATCH(B1491,'Hộ gia đình'!$A$2:$A$2000,0)),"Mã hộ không tồn tại"))</f>
        <v/>
      </c>
      <c r="K1491" s="14"/>
      <c r="L1491" s="14"/>
      <c r="M1491" s="6"/>
      <c r="N1491" s="6"/>
      <c r="O1491" s="6"/>
      <c r="P1491" s="6"/>
      <c r="Q1491" s="6"/>
      <c r="R1491" s="12"/>
    </row>
    <row r="1492" customFormat="false" ht="15" hidden="false" customHeight="true" outlineLevel="0" collapsed="false">
      <c r="A1492" s="6"/>
      <c r="B1492" s="6"/>
      <c r="C1492" s="6"/>
      <c r="D1492" s="6"/>
      <c r="E1492" s="13"/>
      <c r="F1492" s="6"/>
      <c r="G1492" s="11" t="str">
        <f aca="true">IF(F1492="","",YEAR(TODAY())-F1492)</f>
        <v/>
      </c>
      <c r="H1492" s="11" t="str">
        <f aca="false">IF(C1492="","",IF(G1492="","Thiếu thông tin",IF(G1492&lt;6,"Trẻ em",IF(G1492&lt;23,"Học sinh / Sinh viên",IF(G1492&lt;60,"Đang đi làm","Nghỉ hưu")))))</f>
        <v/>
      </c>
      <c r="I1492" s="6"/>
      <c r="J1492" s="11" t="str">
        <f aca="false">IF(B1492="","",IFERROR(INDEX('Hộ gia đình'!$B$2:$B$2000,MATCH(B1492,'Hộ gia đình'!$A$2:$A$2000,0)),"Mã hộ không tồn tại"))</f>
        <v/>
      </c>
      <c r="K1492" s="14"/>
      <c r="L1492" s="14"/>
      <c r="M1492" s="6"/>
      <c r="N1492" s="6"/>
      <c r="O1492" s="6"/>
      <c r="P1492" s="6"/>
      <c r="Q1492" s="6"/>
      <c r="R1492" s="12"/>
    </row>
    <row r="1493" customFormat="false" ht="15" hidden="false" customHeight="true" outlineLevel="0" collapsed="false">
      <c r="A1493" s="6"/>
      <c r="B1493" s="6"/>
      <c r="C1493" s="6"/>
      <c r="D1493" s="6"/>
      <c r="E1493" s="13"/>
      <c r="F1493" s="6"/>
      <c r="G1493" s="11" t="str">
        <f aca="true">IF(F1493="","",YEAR(TODAY())-F1493)</f>
        <v/>
      </c>
      <c r="H1493" s="11" t="str">
        <f aca="false">IF(C1493="","",IF(G1493="","Thiếu thông tin",IF(G1493&lt;6,"Trẻ em",IF(G1493&lt;23,"Học sinh / Sinh viên",IF(G1493&lt;60,"Đang đi làm","Nghỉ hưu")))))</f>
        <v/>
      </c>
      <c r="I1493" s="6"/>
      <c r="J1493" s="11" t="str">
        <f aca="false">IF(B1493="","",IFERROR(INDEX('Hộ gia đình'!$B$2:$B$2000,MATCH(B1493,'Hộ gia đình'!$A$2:$A$2000,0)),"Mã hộ không tồn tại"))</f>
        <v/>
      </c>
      <c r="K1493" s="14"/>
      <c r="L1493" s="14"/>
      <c r="M1493" s="6"/>
      <c r="N1493" s="6"/>
      <c r="O1493" s="6"/>
      <c r="P1493" s="6"/>
      <c r="Q1493" s="6"/>
      <c r="R1493" s="12"/>
    </row>
    <row r="1494" customFormat="false" ht="15" hidden="false" customHeight="true" outlineLevel="0" collapsed="false">
      <c r="A1494" s="6"/>
      <c r="B1494" s="6"/>
      <c r="C1494" s="6"/>
      <c r="D1494" s="6"/>
      <c r="E1494" s="13"/>
      <c r="F1494" s="6"/>
      <c r="G1494" s="11" t="str">
        <f aca="true">IF(F1494="","",YEAR(TODAY())-F1494)</f>
        <v/>
      </c>
      <c r="H1494" s="11" t="str">
        <f aca="false">IF(C1494="","",IF(G1494="","Thiếu thông tin",IF(G1494&lt;6,"Trẻ em",IF(G1494&lt;23,"Học sinh / Sinh viên",IF(G1494&lt;60,"Đang đi làm","Nghỉ hưu")))))</f>
        <v/>
      </c>
      <c r="I1494" s="6"/>
      <c r="J1494" s="11" t="str">
        <f aca="false">IF(B1494="","",IFERROR(INDEX('Hộ gia đình'!$B$2:$B$2000,MATCH(B1494,'Hộ gia đình'!$A$2:$A$2000,0)),"Mã hộ không tồn tại"))</f>
        <v/>
      </c>
      <c r="K1494" s="14"/>
      <c r="L1494" s="14"/>
      <c r="M1494" s="6"/>
      <c r="N1494" s="6"/>
      <c r="O1494" s="6"/>
      <c r="P1494" s="6"/>
      <c r="Q1494" s="6"/>
      <c r="R1494" s="12"/>
    </row>
    <row r="1495" customFormat="false" ht="15" hidden="false" customHeight="true" outlineLevel="0" collapsed="false">
      <c r="A1495" s="6"/>
      <c r="B1495" s="6"/>
      <c r="C1495" s="6"/>
      <c r="D1495" s="6"/>
      <c r="E1495" s="13"/>
      <c r="F1495" s="6"/>
      <c r="G1495" s="11" t="str">
        <f aca="true">IF(F1495="","",YEAR(TODAY())-F1495)</f>
        <v/>
      </c>
      <c r="H1495" s="11" t="str">
        <f aca="false">IF(C1495="","",IF(G1495="","Thiếu thông tin",IF(G1495&lt;6,"Trẻ em",IF(G1495&lt;23,"Học sinh / Sinh viên",IF(G1495&lt;60,"Đang đi làm","Nghỉ hưu")))))</f>
        <v/>
      </c>
      <c r="I1495" s="6"/>
      <c r="J1495" s="11" t="str">
        <f aca="false">IF(B1495="","",IFERROR(INDEX('Hộ gia đình'!$B$2:$B$2000,MATCH(B1495,'Hộ gia đình'!$A$2:$A$2000,0)),"Mã hộ không tồn tại"))</f>
        <v/>
      </c>
      <c r="K1495" s="14"/>
      <c r="L1495" s="14"/>
      <c r="M1495" s="6"/>
      <c r="N1495" s="6"/>
      <c r="O1495" s="6"/>
      <c r="P1495" s="6"/>
      <c r="Q1495" s="6"/>
      <c r="R1495" s="12"/>
    </row>
    <row r="1496" customFormat="false" ht="15" hidden="false" customHeight="true" outlineLevel="0" collapsed="false">
      <c r="A1496" s="6"/>
      <c r="B1496" s="6"/>
      <c r="C1496" s="6"/>
      <c r="D1496" s="6"/>
      <c r="E1496" s="13"/>
      <c r="F1496" s="6"/>
      <c r="G1496" s="11" t="str">
        <f aca="true">IF(F1496="","",YEAR(TODAY())-F1496)</f>
        <v/>
      </c>
      <c r="H1496" s="11" t="str">
        <f aca="false">IF(C1496="","",IF(G1496="","Thiếu thông tin",IF(G1496&lt;6,"Trẻ em",IF(G1496&lt;23,"Học sinh / Sinh viên",IF(G1496&lt;60,"Đang đi làm","Nghỉ hưu")))))</f>
        <v/>
      </c>
      <c r="I1496" s="6"/>
      <c r="J1496" s="11" t="str">
        <f aca="false">IF(B1496="","",IFERROR(INDEX('Hộ gia đình'!$B$2:$B$2000,MATCH(B1496,'Hộ gia đình'!$A$2:$A$2000,0)),"Mã hộ không tồn tại"))</f>
        <v/>
      </c>
      <c r="K1496" s="14"/>
      <c r="L1496" s="14"/>
      <c r="M1496" s="6"/>
      <c r="N1496" s="6"/>
      <c r="O1496" s="6"/>
      <c r="P1496" s="6"/>
      <c r="Q1496" s="6"/>
      <c r="R1496" s="12"/>
    </row>
    <row r="1497" customFormat="false" ht="15" hidden="false" customHeight="true" outlineLevel="0" collapsed="false">
      <c r="A1497" s="6"/>
      <c r="B1497" s="6"/>
      <c r="C1497" s="6"/>
      <c r="D1497" s="6"/>
      <c r="E1497" s="13"/>
      <c r="F1497" s="6"/>
      <c r="G1497" s="11" t="str">
        <f aca="true">IF(F1497="","",YEAR(TODAY())-F1497)</f>
        <v/>
      </c>
      <c r="H1497" s="11" t="str">
        <f aca="false">IF(C1497="","",IF(G1497="","Thiếu thông tin",IF(G1497&lt;6,"Trẻ em",IF(G1497&lt;23,"Học sinh / Sinh viên",IF(G1497&lt;60,"Đang đi làm","Nghỉ hưu")))))</f>
        <v/>
      </c>
      <c r="I1497" s="6"/>
      <c r="J1497" s="11" t="str">
        <f aca="false">IF(B1497="","",IFERROR(INDEX('Hộ gia đình'!$B$2:$B$2000,MATCH(B1497,'Hộ gia đình'!$A$2:$A$2000,0)),"Mã hộ không tồn tại"))</f>
        <v/>
      </c>
      <c r="K1497" s="14"/>
      <c r="L1497" s="14"/>
      <c r="M1497" s="6"/>
      <c r="N1497" s="6"/>
      <c r="O1497" s="6"/>
      <c r="P1497" s="6"/>
      <c r="Q1497" s="6"/>
      <c r="R1497" s="12"/>
    </row>
    <row r="1498" customFormat="false" ht="15" hidden="false" customHeight="true" outlineLevel="0" collapsed="false">
      <c r="A1498" s="6"/>
      <c r="B1498" s="6"/>
      <c r="C1498" s="6"/>
      <c r="D1498" s="6"/>
      <c r="E1498" s="13"/>
      <c r="F1498" s="6"/>
      <c r="G1498" s="11" t="str">
        <f aca="true">IF(F1498="","",YEAR(TODAY())-F1498)</f>
        <v/>
      </c>
      <c r="H1498" s="11" t="str">
        <f aca="false">IF(C1498="","",IF(G1498="","Thiếu thông tin",IF(G1498&lt;6,"Trẻ em",IF(G1498&lt;23,"Học sinh / Sinh viên",IF(G1498&lt;60,"Đang đi làm","Nghỉ hưu")))))</f>
        <v/>
      </c>
      <c r="I1498" s="6"/>
      <c r="J1498" s="11" t="str">
        <f aca="false">IF(B1498="","",IFERROR(INDEX('Hộ gia đình'!$B$2:$B$2000,MATCH(B1498,'Hộ gia đình'!$A$2:$A$2000,0)),"Mã hộ không tồn tại"))</f>
        <v/>
      </c>
      <c r="K1498" s="14"/>
      <c r="L1498" s="14"/>
      <c r="M1498" s="6"/>
      <c r="N1498" s="6"/>
      <c r="O1498" s="6"/>
      <c r="P1498" s="6"/>
      <c r="Q1498" s="6"/>
      <c r="R1498" s="12"/>
    </row>
    <row r="1499" customFormat="false" ht="15" hidden="false" customHeight="true" outlineLevel="0" collapsed="false">
      <c r="A1499" s="6"/>
      <c r="B1499" s="6"/>
      <c r="C1499" s="6"/>
      <c r="D1499" s="6"/>
      <c r="E1499" s="13"/>
      <c r="F1499" s="6"/>
      <c r="G1499" s="11" t="str">
        <f aca="true">IF(F1499="","",YEAR(TODAY())-F1499)</f>
        <v/>
      </c>
      <c r="H1499" s="11" t="str">
        <f aca="false">IF(C1499="","",IF(G1499="","Thiếu thông tin",IF(G1499&lt;6,"Trẻ em",IF(G1499&lt;23,"Học sinh / Sinh viên",IF(G1499&lt;60,"Đang đi làm","Nghỉ hưu")))))</f>
        <v/>
      </c>
      <c r="I1499" s="6"/>
      <c r="J1499" s="11" t="str">
        <f aca="false">IF(B1499="","",IFERROR(INDEX('Hộ gia đình'!$B$2:$B$2000,MATCH(B1499,'Hộ gia đình'!$A$2:$A$2000,0)),"Mã hộ không tồn tại"))</f>
        <v/>
      </c>
      <c r="K1499" s="14"/>
      <c r="L1499" s="14"/>
      <c r="M1499" s="6"/>
      <c r="N1499" s="6"/>
      <c r="O1499" s="6"/>
      <c r="P1499" s="6"/>
      <c r="Q1499" s="6"/>
      <c r="R1499" s="12"/>
    </row>
    <row r="1500" customFormat="false" ht="15" hidden="false" customHeight="true" outlineLevel="0" collapsed="false">
      <c r="A1500" s="6"/>
      <c r="B1500" s="6"/>
      <c r="C1500" s="6"/>
      <c r="D1500" s="6"/>
      <c r="E1500" s="13"/>
      <c r="F1500" s="6"/>
      <c r="G1500" s="11" t="str">
        <f aca="true">IF(F1500="","",YEAR(TODAY())-F1500)</f>
        <v/>
      </c>
      <c r="H1500" s="11" t="str">
        <f aca="false">IF(C1500="","",IF(G1500="","Thiếu thông tin",IF(G1500&lt;6,"Trẻ em",IF(G1500&lt;23,"Học sinh / Sinh viên",IF(G1500&lt;60,"Đang đi làm","Nghỉ hưu")))))</f>
        <v/>
      </c>
      <c r="I1500" s="6"/>
      <c r="J1500" s="11" t="str">
        <f aca="false">IF(B1500="","",IFERROR(INDEX('Hộ gia đình'!$B$2:$B$2000,MATCH(B1500,'Hộ gia đình'!$A$2:$A$2000,0)),"Mã hộ không tồn tại"))</f>
        <v/>
      </c>
      <c r="K1500" s="14"/>
      <c r="L1500" s="14"/>
      <c r="M1500" s="6"/>
      <c r="N1500" s="6"/>
      <c r="O1500" s="6"/>
      <c r="P1500" s="6"/>
      <c r="Q1500" s="6"/>
      <c r="R1500" s="12"/>
    </row>
    <row r="1501" customFormat="false" ht="15" hidden="false" customHeight="true" outlineLevel="0" collapsed="false">
      <c r="A1501" s="6"/>
      <c r="B1501" s="6"/>
      <c r="C1501" s="6"/>
      <c r="D1501" s="6"/>
      <c r="E1501" s="13"/>
      <c r="F1501" s="6"/>
      <c r="G1501" s="11" t="str">
        <f aca="true">IF(F1501="","",YEAR(TODAY())-F1501)</f>
        <v/>
      </c>
      <c r="H1501" s="11" t="str">
        <f aca="false">IF(C1501="","",IF(G1501="","Thiếu thông tin",IF(G1501&lt;6,"Trẻ em",IF(G1501&lt;23,"Học sinh / Sinh viên",IF(G1501&lt;60,"Đang đi làm","Nghỉ hưu")))))</f>
        <v/>
      </c>
      <c r="I1501" s="6"/>
      <c r="J1501" s="11" t="str">
        <f aca="false">IF(B1501="","",IFERROR(INDEX('Hộ gia đình'!$B$2:$B$2000,MATCH(B1501,'Hộ gia đình'!$A$2:$A$2000,0)),"Mã hộ không tồn tại"))</f>
        <v/>
      </c>
      <c r="K1501" s="14"/>
      <c r="L1501" s="14"/>
      <c r="M1501" s="6"/>
      <c r="N1501" s="6"/>
      <c r="O1501" s="6"/>
      <c r="P1501" s="6"/>
      <c r="Q1501" s="6"/>
      <c r="R1501" s="12"/>
    </row>
    <row r="1502" customFormat="false" ht="15" hidden="false" customHeight="true" outlineLevel="0" collapsed="false">
      <c r="A1502" s="6"/>
      <c r="B1502" s="6"/>
      <c r="C1502" s="6"/>
      <c r="D1502" s="6"/>
      <c r="E1502" s="13"/>
      <c r="F1502" s="6"/>
      <c r="G1502" s="11" t="str">
        <f aca="true">IF(F1502="","",YEAR(TODAY())-F1502)</f>
        <v/>
      </c>
      <c r="H1502" s="11" t="str">
        <f aca="false">IF(C1502="","",IF(G1502="","Thiếu thông tin",IF(G1502&lt;6,"Trẻ em",IF(G1502&lt;23,"Học sinh / Sinh viên",IF(G1502&lt;60,"Đang đi làm","Nghỉ hưu")))))</f>
        <v/>
      </c>
      <c r="I1502" s="6"/>
      <c r="J1502" s="11" t="str">
        <f aca="false">IF(B1502="","",IFERROR(INDEX('Hộ gia đình'!$B$2:$B$2000,MATCH(B1502,'Hộ gia đình'!$A$2:$A$2000,0)),"Mã hộ không tồn tại"))</f>
        <v/>
      </c>
      <c r="K1502" s="14"/>
      <c r="L1502" s="14"/>
      <c r="M1502" s="6"/>
      <c r="N1502" s="6"/>
      <c r="O1502" s="6"/>
      <c r="P1502" s="6"/>
      <c r="Q1502" s="6"/>
      <c r="R1502" s="12"/>
    </row>
    <row r="1503" customFormat="false" ht="15" hidden="false" customHeight="true" outlineLevel="0" collapsed="false">
      <c r="A1503" s="6"/>
      <c r="B1503" s="6"/>
      <c r="C1503" s="6"/>
      <c r="D1503" s="6"/>
      <c r="E1503" s="13"/>
      <c r="F1503" s="6"/>
      <c r="G1503" s="11" t="str">
        <f aca="true">IF(F1503="","",YEAR(TODAY())-F1503)</f>
        <v/>
      </c>
      <c r="H1503" s="11" t="str">
        <f aca="false">IF(C1503="","",IF(G1503="","Thiếu thông tin",IF(G1503&lt;6,"Trẻ em",IF(G1503&lt;23,"Học sinh / Sinh viên",IF(G1503&lt;60,"Đang đi làm","Nghỉ hưu")))))</f>
        <v/>
      </c>
      <c r="I1503" s="6"/>
      <c r="J1503" s="11" t="str">
        <f aca="false">IF(B1503="","",IFERROR(INDEX('Hộ gia đình'!$B$2:$B$2000,MATCH(B1503,'Hộ gia đình'!$A$2:$A$2000,0)),"Mã hộ không tồn tại"))</f>
        <v/>
      </c>
      <c r="K1503" s="14"/>
      <c r="L1503" s="14"/>
      <c r="M1503" s="6"/>
      <c r="N1503" s="6"/>
      <c r="O1503" s="6"/>
      <c r="P1503" s="6"/>
      <c r="Q1503" s="6"/>
      <c r="R1503" s="12"/>
    </row>
    <row r="1504" customFormat="false" ht="15" hidden="false" customHeight="true" outlineLevel="0" collapsed="false">
      <c r="A1504" s="6"/>
      <c r="B1504" s="6"/>
      <c r="C1504" s="6"/>
      <c r="D1504" s="6"/>
      <c r="E1504" s="13"/>
      <c r="F1504" s="6"/>
      <c r="G1504" s="11" t="str">
        <f aca="true">IF(F1504="","",YEAR(TODAY())-F1504)</f>
        <v/>
      </c>
      <c r="H1504" s="11" t="str">
        <f aca="false">IF(C1504="","",IF(G1504="","Thiếu thông tin",IF(G1504&lt;6,"Trẻ em",IF(G1504&lt;23,"Học sinh / Sinh viên",IF(G1504&lt;60,"Đang đi làm","Nghỉ hưu")))))</f>
        <v/>
      </c>
      <c r="I1504" s="6"/>
      <c r="J1504" s="11" t="str">
        <f aca="false">IF(B1504="","",IFERROR(INDEX('Hộ gia đình'!$B$2:$B$2000,MATCH(B1504,'Hộ gia đình'!$A$2:$A$2000,0)),"Mã hộ không tồn tại"))</f>
        <v/>
      </c>
      <c r="K1504" s="14"/>
      <c r="L1504" s="14"/>
      <c r="M1504" s="6"/>
      <c r="N1504" s="6"/>
      <c r="O1504" s="6"/>
      <c r="P1504" s="6"/>
      <c r="Q1504" s="6"/>
      <c r="R1504" s="12"/>
    </row>
    <row r="1505" customFormat="false" ht="15" hidden="false" customHeight="true" outlineLevel="0" collapsed="false">
      <c r="A1505" s="6"/>
      <c r="B1505" s="6"/>
      <c r="C1505" s="6"/>
      <c r="D1505" s="6"/>
      <c r="E1505" s="13"/>
      <c r="F1505" s="6"/>
      <c r="G1505" s="11" t="str">
        <f aca="true">IF(F1505="","",YEAR(TODAY())-F1505)</f>
        <v/>
      </c>
      <c r="H1505" s="11" t="str">
        <f aca="false">IF(C1505="","",IF(G1505="","Thiếu thông tin",IF(G1505&lt;6,"Trẻ em",IF(G1505&lt;23,"Học sinh / Sinh viên",IF(G1505&lt;60,"Đang đi làm","Nghỉ hưu")))))</f>
        <v/>
      </c>
      <c r="I1505" s="6"/>
      <c r="J1505" s="11" t="str">
        <f aca="false">IF(B1505="","",IFERROR(INDEX('Hộ gia đình'!$B$2:$B$2000,MATCH(B1505,'Hộ gia đình'!$A$2:$A$2000,0)),"Mã hộ không tồn tại"))</f>
        <v/>
      </c>
      <c r="K1505" s="14"/>
      <c r="L1505" s="14"/>
      <c r="M1505" s="6"/>
      <c r="N1505" s="6"/>
      <c r="O1505" s="6"/>
      <c r="P1505" s="6"/>
      <c r="Q1505" s="6"/>
      <c r="R1505" s="12"/>
    </row>
    <row r="1506" customFormat="false" ht="15" hidden="false" customHeight="true" outlineLevel="0" collapsed="false">
      <c r="A1506" s="6"/>
      <c r="B1506" s="6"/>
      <c r="C1506" s="6"/>
      <c r="D1506" s="6"/>
      <c r="E1506" s="13"/>
      <c r="F1506" s="6"/>
      <c r="G1506" s="11" t="str">
        <f aca="true">IF(F1506="","",YEAR(TODAY())-F1506)</f>
        <v/>
      </c>
      <c r="H1506" s="11" t="str">
        <f aca="false">IF(C1506="","",IF(G1506="","Thiếu thông tin",IF(G1506&lt;6,"Trẻ em",IF(G1506&lt;23,"Học sinh / Sinh viên",IF(G1506&lt;60,"Đang đi làm","Nghỉ hưu")))))</f>
        <v/>
      </c>
      <c r="I1506" s="6"/>
      <c r="J1506" s="11" t="str">
        <f aca="false">IF(B1506="","",IFERROR(INDEX('Hộ gia đình'!$B$2:$B$2000,MATCH(B1506,'Hộ gia đình'!$A$2:$A$2000,0)),"Mã hộ không tồn tại"))</f>
        <v/>
      </c>
      <c r="K1506" s="14"/>
      <c r="L1506" s="14"/>
      <c r="M1506" s="6"/>
      <c r="N1506" s="6"/>
      <c r="O1506" s="6"/>
      <c r="P1506" s="6"/>
      <c r="Q1506" s="6"/>
      <c r="R1506" s="12"/>
    </row>
    <row r="1507" customFormat="false" ht="15" hidden="false" customHeight="true" outlineLevel="0" collapsed="false">
      <c r="A1507" s="6"/>
      <c r="B1507" s="6"/>
      <c r="C1507" s="6"/>
      <c r="D1507" s="6"/>
      <c r="E1507" s="13"/>
      <c r="F1507" s="6"/>
      <c r="G1507" s="11" t="str">
        <f aca="true">IF(F1507="","",YEAR(TODAY())-F1507)</f>
        <v/>
      </c>
      <c r="H1507" s="11" t="str">
        <f aca="false">IF(C1507="","",IF(G1507="","Thiếu thông tin",IF(G1507&lt;6,"Trẻ em",IF(G1507&lt;23,"Học sinh / Sinh viên",IF(G1507&lt;60,"Đang đi làm","Nghỉ hưu")))))</f>
        <v/>
      </c>
      <c r="I1507" s="6"/>
      <c r="J1507" s="11" t="str">
        <f aca="false">IF(B1507="","",IFERROR(INDEX('Hộ gia đình'!$B$2:$B$2000,MATCH(B1507,'Hộ gia đình'!$A$2:$A$2000,0)),"Mã hộ không tồn tại"))</f>
        <v/>
      </c>
      <c r="K1507" s="14"/>
      <c r="L1507" s="14"/>
      <c r="M1507" s="6"/>
      <c r="N1507" s="6"/>
      <c r="O1507" s="6"/>
      <c r="P1507" s="6"/>
      <c r="Q1507" s="6"/>
      <c r="R1507" s="12"/>
    </row>
    <row r="1508" customFormat="false" ht="15" hidden="false" customHeight="true" outlineLevel="0" collapsed="false">
      <c r="A1508" s="6"/>
      <c r="B1508" s="6"/>
      <c r="C1508" s="6"/>
      <c r="D1508" s="6"/>
      <c r="E1508" s="13"/>
      <c r="F1508" s="6"/>
      <c r="G1508" s="11" t="str">
        <f aca="true">IF(F1508="","",YEAR(TODAY())-F1508)</f>
        <v/>
      </c>
      <c r="H1508" s="11" t="str">
        <f aca="false">IF(C1508="","",IF(G1508="","Thiếu thông tin",IF(G1508&lt;6,"Trẻ em",IF(G1508&lt;23,"Học sinh / Sinh viên",IF(G1508&lt;60,"Đang đi làm","Nghỉ hưu")))))</f>
        <v/>
      </c>
      <c r="I1508" s="6"/>
      <c r="J1508" s="11" t="str">
        <f aca="false">IF(B1508="","",IFERROR(INDEX('Hộ gia đình'!$B$2:$B$2000,MATCH(B1508,'Hộ gia đình'!$A$2:$A$2000,0)),"Mã hộ không tồn tại"))</f>
        <v/>
      </c>
      <c r="K1508" s="14"/>
      <c r="L1508" s="14"/>
      <c r="M1508" s="6"/>
      <c r="N1508" s="6"/>
      <c r="O1508" s="6"/>
      <c r="P1508" s="6"/>
      <c r="Q1508" s="6"/>
      <c r="R1508" s="12"/>
    </row>
    <row r="1509" customFormat="false" ht="15" hidden="false" customHeight="true" outlineLevel="0" collapsed="false">
      <c r="A1509" s="6"/>
      <c r="B1509" s="6"/>
      <c r="C1509" s="6"/>
      <c r="D1509" s="6"/>
      <c r="E1509" s="13"/>
      <c r="F1509" s="6"/>
      <c r="G1509" s="11" t="str">
        <f aca="true">IF(F1509="","",YEAR(TODAY())-F1509)</f>
        <v/>
      </c>
      <c r="H1509" s="11" t="str">
        <f aca="false">IF(C1509="","",IF(G1509="","Thiếu thông tin",IF(G1509&lt;6,"Trẻ em",IF(G1509&lt;23,"Học sinh / Sinh viên",IF(G1509&lt;60,"Đang đi làm","Nghỉ hưu")))))</f>
        <v/>
      </c>
      <c r="I1509" s="6"/>
      <c r="J1509" s="11" t="str">
        <f aca="false">IF(B1509="","",IFERROR(INDEX('Hộ gia đình'!$B$2:$B$2000,MATCH(B1509,'Hộ gia đình'!$A$2:$A$2000,0)),"Mã hộ không tồn tại"))</f>
        <v/>
      </c>
      <c r="K1509" s="14"/>
      <c r="L1509" s="14"/>
      <c r="M1509" s="6"/>
      <c r="N1509" s="6"/>
      <c r="O1509" s="6"/>
      <c r="P1509" s="6"/>
      <c r="Q1509" s="6"/>
      <c r="R1509" s="12"/>
    </row>
    <row r="1510" customFormat="false" ht="15" hidden="false" customHeight="true" outlineLevel="0" collapsed="false">
      <c r="A1510" s="6"/>
      <c r="B1510" s="6"/>
      <c r="C1510" s="6"/>
      <c r="D1510" s="6"/>
      <c r="E1510" s="13"/>
      <c r="F1510" s="6"/>
      <c r="G1510" s="11" t="str">
        <f aca="true">IF(F1510="","",YEAR(TODAY())-F1510)</f>
        <v/>
      </c>
      <c r="H1510" s="11" t="str">
        <f aca="false">IF(C1510="","",IF(G1510="","Thiếu thông tin",IF(G1510&lt;6,"Trẻ em",IF(G1510&lt;23,"Học sinh / Sinh viên",IF(G1510&lt;60,"Đang đi làm","Nghỉ hưu")))))</f>
        <v/>
      </c>
      <c r="I1510" s="6"/>
      <c r="J1510" s="11" t="str">
        <f aca="false">IF(B1510="","",IFERROR(INDEX('Hộ gia đình'!$B$2:$B$2000,MATCH(B1510,'Hộ gia đình'!$A$2:$A$2000,0)),"Mã hộ không tồn tại"))</f>
        <v/>
      </c>
      <c r="K1510" s="14"/>
      <c r="L1510" s="14"/>
      <c r="M1510" s="6"/>
      <c r="N1510" s="6"/>
      <c r="O1510" s="6"/>
      <c r="P1510" s="6"/>
      <c r="Q1510" s="6"/>
      <c r="R1510" s="12"/>
    </row>
    <row r="1511" customFormat="false" ht="15" hidden="false" customHeight="true" outlineLevel="0" collapsed="false">
      <c r="A1511" s="6"/>
      <c r="B1511" s="6"/>
      <c r="C1511" s="6"/>
      <c r="D1511" s="6"/>
      <c r="E1511" s="13"/>
      <c r="F1511" s="6"/>
      <c r="G1511" s="11" t="str">
        <f aca="true">IF(F1511="","",YEAR(TODAY())-F1511)</f>
        <v/>
      </c>
      <c r="H1511" s="11" t="str">
        <f aca="false">IF(C1511="","",IF(G1511="","Thiếu thông tin",IF(G1511&lt;6,"Trẻ em",IF(G1511&lt;23,"Học sinh / Sinh viên",IF(G1511&lt;60,"Đang đi làm","Nghỉ hưu")))))</f>
        <v/>
      </c>
      <c r="I1511" s="6"/>
      <c r="J1511" s="11" t="str">
        <f aca="false">IF(B1511="","",IFERROR(INDEX('Hộ gia đình'!$B$2:$B$2000,MATCH(B1511,'Hộ gia đình'!$A$2:$A$2000,0)),"Mã hộ không tồn tại"))</f>
        <v/>
      </c>
      <c r="K1511" s="14"/>
      <c r="L1511" s="14"/>
      <c r="M1511" s="6"/>
      <c r="N1511" s="6"/>
      <c r="O1511" s="6"/>
      <c r="P1511" s="6"/>
      <c r="Q1511" s="6"/>
      <c r="R1511" s="12"/>
    </row>
    <row r="1512" customFormat="false" ht="15" hidden="false" customHeight="true" outlineLevel="0" collapsed="false">
      <c r="A1512" s="6"/>
      <c r="B1512" s="6"/>
      <c r="C1512" s="6"/>
      <c r="D1512" s="6"/>
      <c r="E1512" s="13"/>
      <c r="F1512" s="6"/>
      <c r="G1512" s="11" t="str">
        <f aca="true">IF(F1512="","",YEAR(TODAY())-F1512)</f>
        <v/>
      </c>
      <c r="H1512" s="11" t="str">
        <f aca="false">IF(C1512="","",IF(G1512="","Thiếu thông tin",IF(G1512&lt;6,"Trẻ em",IF(G1512&lt;23,"Học sinh / Sinh viên",IF(G1512&lt;60,"Đang đi làm","Nghỉ hưu")))))</f>
        <v/>
      </c>
      <c r="I1512" s="6"/>
      <c r="J1512" s="11" t="str">
        <f aca="false">IF(B1512="","",IFERROR(INDEX('Hộ gia đình'!$B$2:$B$2000,MATCH(B1512,'Hộ gia đình'!$A$2:$A$2000,0)),"Mã hộ không tồn tại"))</f>
        <v/>
      </c>
      <c r="K1512" s="14"/>
      <c r="L1512" s="14"/>
      <c r="M1512" s="6"/>
      <c r="N1512" s="6"/>
      <c r="O1512" s="6"/>
      <c r="P1512" s="6"/>
      <c r="Q1512" s="6"/>
      <c r="R1512" s="12"/>
    </row>
    <row r="1513" customFormat="false" ht="15" hidden="false" customHeight="true" outlineLevel="0" collapsed="false">
      <c r="A1513" s="6"/>
      <c r="B1513" s="6"/>
      <c r="C1513" s="6"/>
      <c r="D1513" s="6"/>
      <c r="E1513" s="13"/>
      <c r="F1513" s="6"/>
      <c r="G1513" s="11" t="str">
        <f aca="true">IF(F1513="","",YEAR(TODAY())-F1513)</f>
        <v/>
      </c>
      <c r="H1513" s="11" t="str">
        <f aca="false">IF(C1513="","",IF(G1513="","Thiếu thông tin",IF(G1513&lt;6,"Trẻ em",IF(G1513&lt;23,"Học sinh / Sinh viên",IF(G1513&lt;60,"Đang đi làm","Nghỉ hưu")))))</f>
        <v/>
      </c>
      <c r="I1513" s="6"/>
      <c r="J1513" s="11" t="str">
        <f aca="false">IF(B1513="","",IFERROR(INDEX('Hộ gia đình'!$B$2:$B$2000,MATCH(B1513,'Hộ gia đình'!$A$2:$A$2000,0)),"Mã hộ không tồn tại"))</f>
        <v/>
      </c>
      <c r="K1513" s="14"/>
      <c r="L1513" s="14"/>
      <c r="M1513" s="6"/>
      <c r="N1513" s="6"/>
      <c r="O1513" s="6"/>
      <c r="P1513" s="6"/>
      <c r="Q1513" s="6"/>
      <c r="R1513" s="12"/>
    </row>
    <row r="1514" customFormat="false" ht="15" hidden="false" customHeight="true" outlineLevel="0" collapsed="false">
      <c r="A1514" s="6"/>
      <c r="B1514" s="6"/>
      <c r="C1514" s="6"/>
      <c r="D1514" s="6"/>
      <c r="E1514" s="13"/>
      <c r="F1514" s="6"/>
      <c r="G1514" s="11" t="str">
        <f aca="true">IF(F1514="","",YEAR(TODAY())-F1514)</f>
        <v/>
      </c>
      <c r="H1514" s="11" t="str">
        <f aca="false">IF(C1514="","",IF(G1514="","Thiếu thông tin",IF(G1514&lt;6,"Trẻ em",IF(G1514&lt;23,"Học sinh / Sinh viên",IF(G1514&lt;60,"Đang đi làm","Nghỉ hưu")))))</f>
        <v/>
      </c>
      <c r="I1514" s="6"/>
      <c r="J1514" s="11" t="str">
        <f aca="false">IF(B1514="","",IFERROR(INDEX('Hộ gia đình'!$B$2:$B$2000,MATCH(B1514,'Hộ gia đình'!$A$2:$A$2000,0)),"Mã hộ không tồn tại"))</f>
        <v/>
      </c>
      <c r="K1514" s="14"/>
      <c r="L1514" s="14"/>
      <c r="M1514" s="6"/>
      <c r="N1514" s="6"/>
      <c r="O1514" s="6"/>
      <c r="P1514" s="6"/>
      <c r="Q1514" s="6"/>
      <c r="R1514" s="12"/>
    </row>
    <row r="1515" customFormat="false" ht="15" hidden="false" customHeight="true" outlineLevel="0" collapsed="false">
      <c r="A1515" s="6"/>
      <c r="B1515" s="6"/>
      <c r="C1515" s="6"/>
      <c r="D1515" s="6"/>
      <c r="E1515" s="13"/>
      <c r="F1515" s="6"/>
      <c r="G1515" s="11" t="str">
        <f aca="true">IF(F1515="","",YEAR(TODAY())-F1515)</f>
        <v/>
      </c>
      <c r="H1515" s="11" t="str">
        <f aca="false">IF(C1515="","",IF(G1515="","Thiếu thông tin",IF(G1515&lt;6,"Trẻ em",IF(G1515&lt;23,"Học sinh / Sinh viên",IF(G1515&lt;60,"Đang đi làm","Nghỉ hưu")))))</f>
        <v/>
      </c>
      <c r="I1515" s="6"/>
      <c r="J1515" s="11" t="str">
        <f aca="false">IF(B1515="","",IFERROR(INDEX('Hộ gia đình'!$B$2:$B$2000,MATCH(B1515,'Hộ gia đình'!$A$2:$A$2000,0)),"Mã hộ không tồn tại"))</f>
        <v/>
      </c>
      <c r="K1515" s="14"/>
      <c r="L1515" s="14"/>
      <c r="M1515" s="6"/>
      <c r="N1515" s="6"/>
      <c r="O1515" s="6"/>
      <c r="P1515" s="6"/>
      <c r="Q1515" s="6"/>
      <c r="R1515" s="12"/>
    </row>
    <row r="1516" customFormat="false" ht="15" hidden="false" customHeight="true" outlineLevel="0" collapsed="false">
      <c r="A1516" s="6"/>
      <c r="B1516" s="6"/>
      <c r="C1516" s="6"/>
      <c r="D1516" s="6"/>
      <c r="E1516" s="13"/>
      <c r="F1516" s="6"/>
      <c r="G1516" s="11" t="str">
        <f aca="true">IF(F1516="","",YEAR(TODAY())-F1516)</f>
        <v/>
      </c>
      <c r="H1516" s="11" t="str">
        <f aca="false">IF(C1516="","",IF(G1516="","Thiếu thông tin",IF(G1516&lt;6,"Trẻ em",IF(G1516&lt;23,"Học sinh / Sinh viên",IF(G1516&lt;60,"Đang đi làm","Nghỉ hưu")))))</f>
        <v/>
      </c>
      <c r="I1516" s="6"/>
      <c r="J1516" s="11" t="str">
        <f aca="false">IF(B1516="","",IFERROR(INDEX('Hộ gia đình'!$B$2:$B$2000,MATCH(B1516,'Hộ gia đình'!$A$2:$A$2000,0)),"Mã hộ không tồn tại"))</f>
        <v/>
      </c>
      <c r="K1516" s="14"/>
      <c r="L1516" s="14"/>
      <c r="M1516" s="6"/>
      <c r="N1516" s="6"/>
      <c r="O1516" s="6"/>
      <c r="P1516" s="6"/>
      <c r="Q1516" s="6"/>
      <c r="R1516" s="12"/>
    </row>
    <row r="1517" customFormat="false" ht="15" hidden="false" customHeight="true" outlineLevel="0" collapsed="false">
      <c r="A1517" s="6"/>
      <c r="B1517" s="6"/>
      <c r="C1517" s="6"/>
      <c r="D1517" s="6"/>
      <c r="E1517" s="13"/>
      <c r="F1517" s="6"/>
      <c r="G1517" s="11" t="str">
        <f aca="true">IF(F1517="","",YEAR(TODAY())-F1517)</f>
        <v/>
      </c>
      <c r="H1517" s="11" t="str">
        <f aca="false">IF(C1517="","",IF(G1517="","Thiếu thông tin",IF(G1517&lt;6,"Trẻ em",IF(G1517&lt;23,"Học sinh / Sinh viên",IF(G1517&lt;60,"Đang đi làm","Nghỉ hưu")))))</f>
        <v/>
      </c>
      <c r="I1517" s="6"/>
      <c r="J1517" s="11" t="str">
        <f aca="false">IF(B1517="","",IFERROR(INDEX('Hộ gia đình'!$B$2:$B$2000,MATCH(B1517,'Hộ gia đình'!$A$2:$A$2000,0)),"Mã hộ không tồn tại"))</f>
        <v/>
      </c>
      <c r="K1517" s="14"/>
      <c r="L1517" s="14"/>
      <c r="M1517" s="6"/>
      <c r="N1517" s="6"/>
      <c r="O1517" s="6"/>
      <c r="P1517" s="6"/>
      <c r="Q1517" s="6"/>
      <c r="R1517" s="12"/>
    </row>
    <row r="1518" customFormat="false" ht="15" hidden="false" customHeight="true" outlineLevel="0" collapsed="false">
      <c r="A1518" s="6"/>
      <c r="B1518" s="6"/>
      <c r="C1518" s="6"/>
      <c r="D1518" s="6"/>
      <c r="E1518" s="13"/>
      <c r="F1518" s="6"/>
      <c r="G1518" s="11" t="str">
        <f aca="true">IF(F1518="","",YEAR(TODAY())-F1518)</f>
        <v/>
      </c>
      <c r="H1518" s="11" t="str">
        <f aca="false">IF(C1518="","",IF(G1518="","Thiếu thông tin",IF(G1518&lt;6,"Trẻ em",IF(G1518&lt;23,"Học sinh / Sinh viên",IF(G1518&lt;60,"Đang đi làm","Nghỉ hưu")))))</f>
        <v/>
      </c>
      <c r="I1518" s="6"/>
      <c r="J1518" s="11" t="str">
        <f aca="false">IF(B1518="","",IFERROR(INDEX('Hộ gia đình'!$B$2:$B$2000,MATCH(B1518,'Hộ gia đình'!$A$2:$A$2000,0)),"Mã hộ không tồn tại"))</f>
        <v/>
      </c>
      <c r="K1518" s="14"/>
      <c r="L1518" s="14"/>
      <c r="M1518" s="6"/>
      <c r="N1518" s="6"/>
      <c r="O1518" s="6"/>
      <c r="P1518" s="6"/>
      <c r="Q1518" s="6"/>
      <c r="R1518" s="12"/>
    </row>
    <row r="1519" customFormat="false" ht="15" hidden="false" customHeight="true" outlineLevel="0" collapsed="false">
      <c r="A1519" s="6"/>
      <c r="B1519" s="6"/>
      <c r="C1519" s="6"/>
      <c r="D1519" s="6"/>
      <c r="E1519" s="13"/>
      <c r="F1519" s="6"/>
      <c r="G1519" s="11" t="str">
        <f aca="true">IF(F1519="","",YEAR(TODAY())-F1519)</f>
        <v/>
      </c>
      <c r="H1519" s="11" t="str">
        <f aca="false">IF(C1519="","",IF(G1519="","Thiếu thông tin",IF(G1519&lt;6,"Trẻ em",IF(G1519&lt;23,"Học sinh / Sinh viên",IF(G1519&lt;60,"Đang đi làm","Nghỉ hưu")))))</f>
        <v/>
      </c>
      <c r="I1519" s="6"/>
      <c r="J1519" s="11" t="str">
        <f aca="false">IF(B1519="","",IFERROR(INDEX('Hộ gia đình'!$B$2:$B$2000,MATCH(B1519,'Hộ gia đình'!$A$2:$A$2000,0)),"Mã hộ không tồn tại"))</f>
        <v/>
      </c>
      <c r="K1519" s="14"/>
      <c r="L1519" s="14"/>
      <c r="M1519" s="6"/>
      <c r="N1519" s="6"/>
      <c r="O1519" s="6"/>
      <c r="P1519" s="6"/>
      <c r="Q1519" s="6"/>
      <c r="R1519" s="12"/>
    </row>
    <row r="1520" customFormat="false" ht="15" hidden="false" customHeight="true" outlineLevel="0" collapsed="false">
      <c r="A1520" s="6"/>
      <c r="B1520" s="6"/>
      <c r="C1520" s="6"/>
      <c r="D1520" s="6"/>
      <c r="E1520" s="13"/>
      <c r="F1520" s="6"/>
      <c r="G1520" s="11" t="str">
        <f aca="true">IF(F1520="","",YEAR(TODAY())-F1520)</f>
        <v/>
      </c>
      <c r="H1520" s="11" t="str">
        <f aca="false">IF(C1520="","",IF(G1520="","Thiếu thông tin",IF(G1520&lt;6,"Trẻ em",IF(G1520&lt;23,"Học sinh / Sinh viên",IF(G1520&lt;60,"Đang đi làm","Nghỉ hưu")))))</f>
        <v/>
      </c>
      <c r="I1520" s="6"/>
      <c r="J1520" s="11" t="str">
        <f aca="false">IF(B1520="","",IFERROR(INDEX('Hộ gia đình'!$B$2:$B$2000,MATCH(B1520,'Hộ gia đình'!$A$2:$A$2000,0)),"Mã hộ không tồn tại"))</f>
        <v/>
      </c>
      <c r="K1520" s="14"/>
      <c r="L1520" s="14"/>
      <c r="M1520" s="6"/>
      <c r="N1520" s="6"/>
      <c r="O1520" s="6"/>
      <c r="P1520" s="6"/>
      <c r="Q1520" s="6"/>
      <c r="R1520" s="12"/>
    </row>
    <row r="1521" customFormat="false" ht="15" hidden="false" customHeight="true" outlineLevel="0" collapsed="false">
      <c r="A1521" s="6"/>
      <c r="B1521" s="6"/>
      <c r="C1521" s="6"/>
      <c r="D1521" s="6"/>
      <c r="E1521" s="13"/>
      <c r="F1521" s="6"/>
      <c r="G1521" s="11" t="str">
        <f aca="true">IF(F1521="","",YEAR(TODAY())-F1521)</f>
        <v/>
      </c>
      <c r="H1521" s="11" t="str">
        <f aca="false">IF(C1521="","",IF(G1521="","Thiếu thông tin",IF(G1521&lt;6,"Trẻ em",IF(G1521&lt;23,"Học sinh / Sinh viên",IF(G1521&lt;60,"Đang đi làm","Nghỉ hưu")))))</f>
        <v/>
      </c>
      <c r="I1521" s="6"/>
      <c r="J1521" s="11" t="str">
        <f aca="false">IF(B1521="","",IFERROR(INDEX('Hộ gia đình'!$B$2:$B$2000,MATCH(B1521,'Hộ gia đình'!$A$2:$A$2000,0)),"Mã hộ không tồn tại"))</f>
        <v/>
      </c>
      <c r="K1521" s="14"/>
      <c r="L1521" s="14"/>
      <c r="M1521" s="6"/>
      <c r="N1521" s="6"/>
      <c r="O1521" s="6"/>
      <c r="P1521" s="6"/>
      <c r="Q1521" s="6"/>
      <c r="R1521" s="12"/>
    </row>
    <row r="1522" customFormat="false" ht="15" hidden="false" customHeight="true" outlineLevel="0" collapsed="false">
      <c r="A1522" s="6"/>
      <c r="B1522" s="6"/>
      <c r="C1522" s="6"/>
      <c r="D1522" s="6"/>
      <c r="E1522" s="13"/>
      <c r="F1522" s="6"/>
      <c r="G1522" s="11" t="str">
        <f aca="true">IF(F1522="","",YEAR(TODAY())-F1522)</f>
        <v/>
      </c>
      <c r="H1522" s="11" t="str">
        <f aca="false">IF(C1522="","",IF(G1522="","Thiếu thông tin",IF(G1522&lt;6,"Trẻ em",IF(G1522&lt;23,"Học sinh / Sinh viên",IF(G1522&lt;60,"Đang đi làm","Nghỉ hưu")))))</f>
        <v/>
      </c>
      <c r="I1522" s="6"/>
      <c r="J1522" s="11" t="str">
        <f aca="false">IF(B1522="","",IFERROR(INDEX('Hộ gia đình'!$B$2:$B$2000,MATCH(B1522,'Hộ gia đình'!$A$2:$A$2000,0)),"Mã hộ không tồn tại"))</f>
        <v/>
      </c>
      <c r="K1522" s="14"/>
      <c r="L1522" s="14"/>
      <c r="M1522" s="6"/>
      <c r="N1522" s="6"/>
      <c r="O1522" s="6"/>
      <c r="P1522" s="6"/>
      <c r="Q1522" s="6"/>
      <c r="R1522" s="12"/>
    </row>
    <row r="1523" customFormat="false" ht="15" hidden="false" customHeight="true" outlineLevel="0" collapsed="false">
      <c r="A1523" s="6"/>
      <c r="B1523" s="6"/>
      <c r="C1523" s="6"/>
      <c r="D1523" s="6"/>
      <c r="E1523" s="13"/>
      <c r="F1523" s="6"/>
      <c r="G1523" s="11" t="str">
        <f aca="true">IF(F1523="","",YEAR(TODAY())-F1523)</f>
        <v/>
      </c>
      <c r="H1523" s="11" t="str">
        <f aca="false">IF(C1523="","",IF(G1523="","Thiếu thông tin",IF(G1523&lt;6,"Trẻ em",IF(G1523&lt;23,"Học sinh / Sinh viên",IF(G1523&lt;60,"Đang đi làm","Nghỉ hưu")))))</f>
        <v/>
      </c>
      <c r="I1523" s="6"/>
      <c r="J1523" s="11" t="str">
        <f aca="false">IF(B1523="","",IFERROR(INDEX('Hộ gia đình'!$B$2:$B$2000,MATCH(B1523,'Hộ gia đình'!$A$2:$A$2000,0)),"Mã hộ không tồn tại"))</f>
        <v/>
      </c>
      <c r="K1523" s="14"/>
      <c r="L1523" s="14"/>
      <c r="M1523" s="6"/>
      <c r="N1523" s="6"/>
      <c r="O1523" s="6"/>
      <c r="P1523" s="6"/>
      <c r="Q1523" s="6"/>
      <c r="R1523" s="12"/>
    </row>
    <row r="1524" customFormat="false" ht="15" hidden="false" customHeight="true" outlineLevel="0" collapsed="false">
      <c r="A1524" s="6"/>
      <c r="B1524" s="6"/>
      <c r="C1524" s="6"/>
      <c r="D1524" s="6"/>
      <c r="E1524" s="13"/>
      <c r="F1524" s="6"/>
      <c r="G1524" s="11" t="str">
        <f aca="true">IF(F1524="","",YEAR(TODAY())-F1524)</f>
        <v/>
      </c>
      <c r="H1524" s="11" t="str">
        <f aca="false">IF(C1524="","",IF(G1524="","Thiếu thông tin",IF(G1524&lt;6,"Trẻ em",IF(G1524&lt;23,"Học sinh / Sinh viên",IF(G1524&lt;60,"Đang đi làm","Nghỉ hưu")))))</f>
        <v/>
      </c>
      <c r="I1524" s="6"/>
      <c r="J1524" s="11" t="str">
        <f aca="false">IF(B1524="","",IFERROR(INDEX('Hộ gia đình'!$B$2:$B$2000,MATCH(B1524,'Hộ gia đình'!$A$2:$A$2000,0)),"Mã hộ không tồn tại"))</f>
        <v/>
      </c>
      <c r="K1524" s="14"/>
      <c r="L1524" s="14"/>
      <c r="M1524" s="6"/>
      <c r="N1524" s="6"/>
      <c r="O1524" s="6"/>
      <c r="P1524" s="6"/>
      <c r="Q1524" s="6"/>
      <c r="R1524" s="12"/>
    </row>
    <row r="1525" customFormat="false" ht="15" hidden="false" customHeight="true" outlineLevel="0" collapsed="false">
      <c r="A1525" s="6"/>
      <c r="B1525" s="6"/>
      <c r="C1525" s="6"/>
      <c r="D1525" s="6"/>
      <c r="E1525" s="13"/>
      <c r="F1525" s="6"/>
      <c r="G1525" s="11" t="str">
        <f aca="true">IF(F1525="","",YEAR(TODAY())-F1525)</f>
        <v/>
      </c>
      <c r="H1525" s="11" t="str">
        <f aca="false">IF(C1525="","",IF(G1525="","Thiếu thông tin",IF(G1525&lt;6,"Trẻ em",IF(G1525&lt;23,"Học sinh / Sinh viên",IF(G1525&lt;60,"Đang đi làm","Nghỉ hưu")))))</f>
        <v/>
      </c>
      <c r="I1525" s="6"/>
      <c r="J1525" s="11" t="str">
        <f aca="false">IF(B1525="","",IFERROR(INDEX('Hộ gia đình'!$B$2:$B$2000,MATCH(B1525,'Hộ gia đình'!$A$2:$A$2000,0)),"Mã hộ không tồn tại"))</f>
        <v/>
      </c>
      <c r="K1525" s="14"/>
      <c r="L1525" s="14"/>
      <c r="M1525" s="6"/>
      <c r="N1525" s="6"/>
      <c r="O1525" s="6"/>
      <c r="P1525" s="6"/>
      <c r="Q1525" s="6"/>
      <c r="R1525" s="12"/>
    </row>
    <row r="1526" customFormat="false" ht="15" hidden="false" customHeight="true" outlineLevel="0" collapsed="false">
      <c r="A1526" s="6"/>
      <c r="B1526" s="6"/>
      <c r="C1526" s="6"/>
      <c r="D1526" s="6"/>
      <c r="E1526" s="13"/>
      <c r="F1526" s="6"/>
      <c r="G1526" s="11" t="str">
        <f aca="true">IF(F1526="","",YEAR(TODAY())-F1526)</f>
        <v/>
      </c>
      <c r="H1526" s="11" t="str">
        <f aca="false">IF(C1526="","",IF(G1526="","Thiếu thông tin",IF(G1526&lt;6,"Trẻ em",IF(G1526&lt;23,"Học sinh / Sinh viên",IF(G1526&lt;60,"Đang đi làm","Nghỉ hưu")))))</f>
        <v/>
      </c>
      <c r="I1526" s="6"/>
      <c r="J1526" s="11" t="str">
        <f aca="false">IF(B1526="","",IFERROR(INDEX('Hộ gia đình'!$B$2:$B$2000,MATCH(B1526,'Hộ gia đình'!$A$2:$A$2000,0)),"Mã hộ không tồn tại"))</f>
        <v/>
      </c>
      <c r="K1526" s="14"/>
      <c r="L1526" s="14"/>
      <c r="M1526" s="6"/>
      <c r="N1526" s="6"/>
      <c r="O1526" s="6"/>
      <c r="P1526" s="6"/>
      <c r="Q1526" s="6"/>
      <c r="R1526" s="12"/>
    </row>
    <row r="1527" customFormat="false" ht="15" hidden="false" customHeight="true" outlineLevel="0" collapsed="false">
      <c r="A1527" s="6"/>
      <c r="B1527" s="6"/>
      <c r="C1527" s="6"/>
      <c r="D1527" s="6"/>
      <c r="E1527" s="13"/>
      <c r="F1527" s="6"/>
      <c r="G1527" s="11" t="str">
        <f aca="true">IF(F1527="","",YEAR(TODAY())-F1527)</f>
        <v/>
      </c>
      <c r="H1527" s="11" t="str">
        <f aca="false">IF(C1527="","",IF(G1527="","Thiếu thông tin",IF(G1527&lt;6,"Trẻ em",IF(G1527&lt;23,"Học sinh / Sinh viên",IF(G1527&lt;60,"Đang đi làm","Nghỉ hưu")))))</f>
        <v/>
      </c>
      <c r="I1527" s="6"/>
      <c r="J1527" s="11" t="str">
        <f aca="false">IF(B1527="","",IFERROR(INDEX('Hộ gia đình'!$B$2:$B$2000,MATCH(B1527,'Hộ gia đình'!$A$2:$A$2000,0)),"Mã hộ không tồn tại"))</f>
        <v/>
      </c>
      <c r="K1527" s="14"/>
      <c r="L1527" s="14"/>
      <c r="M1527" s="6"/>
      <c r="N1527" s="6"/>
      <c r="O1527" s="6"/>
      <c r="P1527" s="6"/>
      <c r="Q1527" s="6"/>
      <c r="R1527" s="12"/>
    </row>
    <row r="1528" customFormat="false" ht="15" hidden="false" customHeight="true" outlineLevel="0" collapsed="false">
      <c r="A1528" s="6"/>
      <c r="B1528" s="6"/>
      <c r="C1528" s="6"/>
      <c r="D1528" s="6"/>
      <c r="E1528" s="13"/>
      <c r="F1528" s="6"/>
      <c r="G1528" s="11" t="str">
        <f aca="true">IF(F1528="","",YEAR(TODAY())-F1528)</f>
        <v/>
      </c>
      <c r="H1528" s="11" t="str">
        <f aca="false">IF(C1528="","",IF(G1528="","Thiếu thông tin",IF(G1528&lt;6,"Trẻ em",IF(G1528&lt;23,"Học sinh / Sinh viên",IF(G1528&lt;60,"Đang đi làm","Nghỉ hưu")))))</f>
        <v/>
      </c>
      <c r="I1528" s="6"/>
      <c r="J1528" s="11" t="str">
        <f aca="false">IF(B1528="","",IFERROR(INDEX('Hộ gia đình'!$B$2:$B$2000,MATCH(B1528,'Hộ gia đình'!$A$2:$A$2000,0)),"Mã hộ không tồn tại"))</f>
        <v/>
      </c>
      <c r="K1528" s="14"/>
      <c r="L1528" s="14"/>
      <c r="M1528" s="6"/>
      <c r="N1528" s="6"/>
      <c r="O1528" s="6"/>
      <c r="P1528" s="6"/>
      <c r="Q1528" s="6"/>
      <c r="R1528" s="12"/>
    </row>
    <row r="1529" customFormat="false" ht="15" hidden="false" customHeight="true" outlineLevel="0" collapsed="false">
      <c r="A1529" s="6"/>
      <c r="B1529" s="6"/>
      <c r="C1529" s="6"/>
      <c r="D1529" s="6"/>
      <c r="E1529" s="13"/>
      <c r="F1529" s="6"/>
      <c r="G1529" s="11" t="str">
        <f aca="true">IF(F1529="","",YEAR(TODAY())-F1529)</f>
        <v/>
      </c>
      <c r="H1529" s="11" t="str">
        <f aca="false">IF(C1529="","",IF(G1529="","Thiếu thông tin",IF(G1529&lt;6,"Trẻ em",IF(G1529&lt;23,"Học sinh / Sinh viên",IF(G1529&lt;60,"Đang đi làm","Nghỉ hưu")))))</f>
        <v/>
      </c>
      <c r="I1529" s="6"/>
      <c r="J1529" s="11" t="str">
        <f aca="false">IF(B1529="","",IFERROR(INDEX('Hộ gia đình'!$B$2:$B$2000,MATCH(B1529,'Hộ gia đình'!$A$2:$A$2000,0)),"Mã hộ không tồn tại"))</f>
        <v/>
      </c>
      <c r="K1529" s="14"/>
      <c r="L1529" s="14"/>
      <c r="M1529" s="6"/>
      <c r="N1529" s="6"/>
      <c r="O1529" s="6"/>
      <c r="P1529" s="6"/>
      <c r="Q1529" s="6"/>
      <c r="R1529" s="12"/>
    </row>
    <row r="1530" customFormat="false" ht="15" hidden="false" customHeight="true" outlineLevel="0" collapsed="false">
      <c r="A1530" s="6"/>
      <c r="B1530" s="6"/>
      <c r="C1530" s="6"/>
      <c r="D1530" s="6"/>
      <c r="E1530" s="13"/>
      <c r="F1530" s="6"/>
      <c r="G1530" s="11" t="str">
        <f aca="true">IF(F1530="","",YEAR(TODAY())-F1530)</f>
        <v/>
      </c>
      <c r="H1530" s="11" t="str">
        <f aca="false">IF(C1530="","",IF(G1530="","Thiếu thông tin",IF(G1530&lt;6,"Trẻ em",IF(G1530&lt;23,"Học sinh / Sinh viên",IF(G1530&lt;60,"Đang đi làm","Nghỉ hưu")))))</f>
        <v/>
      </c>
      <c r="I1530" s="6"/>
      <c r="J1530" s="11" t="str">
        <f aca="false">IF(B1530="","",IFERROR(INDEX('Hộ gia đình'!$B$2:$B$2000,MATCH(B1530,'Hộ gia đình'!$A$2:$A$2000,0)),"Mã hộ không tồn tại"))</f>
        <v/>
      </c>
      <c r="K1530" s="14"/>
      <c r="L1530" s="14"/>
      <c r="M1530" s="6"/>
      <c r="N1530" s="6"/>
      <c r="O1530" s="6"/>
      <c r="P1530" s="6"/>
      <c r="Q1530" s="6"/>
      <c r="R1530" s="12"/>
    </row>
    <row r="1531" customFormat="false" ht="15" hidden="false" customHeight="true" outlineLevel="0" collapsed="false">
      <c r="A1531" s="6"/>
      <c r="B1531" s="6"/>
      <c r="C1531" s="6"/>
      <c r="D1531" s="6"/>
      <c r="E1531" s="13"/>
      <c r="F1531" s="6"/>
      <c r="G1531" s="11" t="str">
        <f aca="true">IF(F1531="","",YEAR(TODAY())-F1531)</f>
        <v/>
      </c>
      <c r="H1531" s="11" t="str">
        <f aca="false">IF(C1531="","",IF(G1531="","Thiếu thông tin",IF(G1531&lt;6,"Trẻ em",IF(G1531&lt;23,"Học sinh / Sinh viên",IF(G1531&lt;60,"Đang đi làm","Nghỉ hưu")))))</f>
        <v/>
      </c>
      <c r="I1531" s="6"/>
      <c r="J1531" s="11" t="str">
        <f aca="false">IF(B1531="","",IFERROR(INDEX('Hộ gia đình'!$B$2:$B$2000,MATCH(B1531,'Hộ gia đình'!$A$2:$A$2000,0)),"Mã hộ không tồn tại"))</f>
        <v/>
      </c>
      <c r="K1531" s="14"/>
      <c r="L1531" s="14"/>
      <c r="M1531" s="6"/>
      <c r="N1531" s="6"/>
      <c r="O1531" s="6"/>
      <c r="P1531" s="6"/>
      <c r="Q1531" s="6"/>
      <c r="R1531" s="12"/>
    </row>
    <row r="1532" customFormat="false" ht="15" hidden="false" customHeight="true" outlineLevel="0" collapsed="false">
      <c r="A1532" s="6"/>
      <c r="B1532" s="6"/>
      <c r="C1532" s="6"/>
      <c r="D1532" s="6"/>
      <c r="E1532" s="13"/>
      <c r="F1532" s="6"/>
      <c r="G1532" s="11" t="str">
        <f aca="true">IF(F1532="","",YEAR(TODAY())-F1532)</f>
        <v/>
      </c>
      <c r="H1532" s="11" t="str">
        <f aca="false">IF(C1532="","",IF(G1532="","Thiếu thông tin",IF(G1532&lt;6,"Trẻ em",IF(G1532&lt;23,"Học sinh / Sinh viên",IF(G1532&lt;60,"Đang đi làm","Nghỉ hưu")))))</f>
        <v/>
      </c>
      <c r="I1532" s="6"/>
      <c r="J1532" s="11" t="str">
        <f aca="false">IF(B1532="","",IFERROR(INDEX('Hộ gia đình'!$B$2:$B$2000,MATCH(B1532,'Hộ gia đình'!$A$2:$A$2000,0)),"Mã hộ không tồn tại"))</f>
        <v/>
      </c>
      <c r="K1532" s="14"/>
      <c r="L1532" s="14"/>
      <c r="M1532" s="6"/>
      <c r="N1532" s="6"/>
      <c r="O1532" s="6"/>
      <c r="P1532" s="6"/>
      <c r="Q1532" s="6"/>
      <c r="R1532" s="12"/>
    </row>
    <row r="1533" customFormat="false" ht="15" hidden="false" customHeight="true" outlineLevel="0" collapsed="false">
      <c r="A1533" s="6"/>
      <c r="B1533" s="6"/>
      <c r="C1533" s="6"/>
      <c r="D1533" s="6"/>
      <c r="E1533" s="13"/>
      <c r="F1533" s="6"/>
      <c r="G1533" s="11" t="str">
        <f aca="true">IF(F1533="","",YEAR(TODAY())-F1533)</f>
        <v/>
      </c>
      <c r="H1533" s="11" t="str">
        <f aca="false">IF(C1533="","",IF(G1533="","Thiếu thông tin",IF(G1533&lt;6,"Trẻ em",IF(G1533&lt;23,"Học sinh / Sinh viên",IF(G1533&lt;60,"Đang đi làm","Nghỉ hưu")))))</f>
        <v/>
      </c>
      <c r="I1533" s="6"/>
      <c r="J1533" s="11" t="str">
        <f aca="false">IF(B1533="","",IFERROR(INDEX('Hộ gia đình'!$B$2:$B$2000,MATCH(B1533,'Hộ gia đình'!$A$2:$A$2000,0)),"Mã hộ không tồn tại"))</f>
        <v/>
      </c>
      <c r="K1533" s="14"/>
      <c r="L1533" s="14"/>
      <c r="M1533" s="6"/>
      <c r="N1533" s="6"/>
      <c r="O1533" s="6"/>
      <c r="P1533" s="6"/>
      <c r="Q1533" s="6"/>
      <c r="R1533" s="12"/>
    </row>
    <row r="1534" customFormat="false" ht="15" hidden="false" customHeight="true" outlineLevel="0" collapsed="false">
      <c r="A1534" s="6"/>
      <c r="B1534" s="6"/>
      <c r="C1534" s="6"/>
      <c r="D1534" s="6"/>
      <c r="E1534" s="13"/>
      <c r="F1534" s="6"/>
      <c r="G1534" s="11" t="str">
        <f aca="true">IF(F1534="","",YEAR(TODAY())-F1534)</f>
        <v/>
      </c>
      <c r="H1534" s="11" t="str">
        <f aca="false">IF(C1534="","",IF(G1534="","Thiếu thông tin",IF(G1534&lt;6,"Trẻ em",IF(G1534&lt;23,"Học sinh / Sinh viên",IF(G1534&lt;60,"Đang đi làm","Nghỉ hưu")))))</f>
        <v/>
      </c>
      <c r="I1534" s="6"/>
      <c r="J1534" s="11" t="str">
        <f aca="false">IF(B1534="","",IFERROR(INDEX('Hộ gia đình'!$B$2:$B$2000,MATCH(B1534,'Hộ gia đình'!$A$2:$A$2000,0)),"Mã hộ không tồn tại"))</f>
        <v/>
      </c>
      <c r="K1534" s="14"/>
      <c r="L1534" s="14"/>
      <c r="M1534" s="6"/>
      <c r="N1534" s="6"/>
      <c r="O1534" s="6"/>
      <c r="P1534" s="6"/>
      <c r="Q1534" s="6"/>
      <c r="R1534" s="12"/>
    </row>
    <row r="1535" customFormat="false" ht="15" hidden="false" customHeight="true" outlineLevel="0" collapsed="false">
      <c r="A1535" s="6"/>
      <c r="B1535" s="6"/>
      <c r="C1535" s="6"/>
      <c r="D1535" s="6"/>
      <c r="E1535" s="13"/>
      <c r="F1535" s="6"/>
      <c r="G1535" s="11" t="str">
        <f aca="true">IF(F1535="","",YEAR(TODAY())-F1535)</f>
        <v/>
      </c>
      <c r="H1535" s="11" t="str">
        <f aca="false">IF(C1535="","",IF(G1535="","Thiếu thông tin",IF(G1535&lt;6,"Trẻ em",IF(G1535&lt;23,"Học sinh / Sinh viên",IF(G1535&lt;60,"Đang đi làm","Nghỉ hưu")))))</f>
        <v/>
      </c>
      <c r="I1535" s="6"/>
      <c r="J1535" s="11" t="str">
        <f aca="false">IF(B1535="","",IFERROR(INDEX('Hộ gia đình'!$B$2:$B$2000,MATCH(B1535,'Hộ gia đình'!$A$2:$A$2000,0)),"Mã hộ không tồn tại"))</f>
        <v/>
      </c>
      <c r="K1535" s="14"/>
      <c r="L1535" s="14"/>
      <c r="M1535" s="6"/>
      <c r="N1535" s="6"/>
      <c r="O1535" s="6"/>
      <c r="P1535" s="6"/>
      <c r="Q1535" s="6"/>
      <c r="R1535" s="12"/>
    </row>
    <row r="1536" customFormat="false" ht="15" hidden="false" customHeight="true" outlineLevel="0" collapsed="false">
      <c r="A1536" s="6"/>
      <c r="B1536" s="6"/>
      <c r="C1536" s="6"/>
      <c r="D1536" s="6"/>
      <c r="E1536" s="13"/>
      <c r="F1536" s="6"/>
      <c r="G1536" s="11" t="str">
        <f aca="true">IF(F1536="","",YEAR(TODAY())-F1536)</f>
        <v/>
      </c>
      <c r="H1536" s="11" t="str">
        <f aca="false">IF(C1536="","",IF(G1536="","Thiếu thông tin",IF(G1536&lt;6,"Trẻ em",IF(G1536&lt;23,"Học sinh / Sinh viên",IF(G1536&lt;60,"Đang đi làm","Nghỉ hưu")))))</f>
        <v/>
      </c>
      <c r="I1536" s="6"/>
      <c r="J1536" s="11" t="str">
        <f aca="false">IF(B1536="","",IFERROR(INDEX('Hộ gia đình'!$B$2:$B$2000,MATCH(B1536,'Hộ gia đình'!$A$2:$A$2000,0)),"Mã hộ không tồn tại"))</f>
        <v/>
      </c>
      <c r="K1536" s="14"/>
      <c r="L1536" s="14"/>
      <c r="M1536" s="6"/>
      <c r="N1536" s="6"/>
      <c r="O1536" s="6"/>
      <c r="P1536" s="6"/>
      <c r="Q1536" s="6"/>
      <c r="R1536" s="12"/>
    </row>
    <row r="1537" customFormat="false" ht="15" hidden="false" customHeight="true" outlineLevel="0" collapsed="false">
      <c r="A1537" s="6"/>
      <c r="B1537" s="6"/>
      <c r="C1537" s="6"/>
      <c r="D1537" s="6"/>
      <c r="E1537" s="13"/>
      <c r="F1537" s="6"/>
      <c r="G1537" s="11" t="str">
        <f aca="true">IF(F1537="","",YEAR(TODAY())-F1537)</f>
        <v/>
      </c>
      <c r="H1537" s="11" t="str">
        <f aca="false">IF(C1537="","",IF(G1537="","Thiếu thông tin",IF(G1537&lt;6,"Trẻ em",IF(G1537&lt;23,"Học sinh / Sinh viên",IF(G1537&lt;60,"Đang đi làm","Nghỉ hưu")))))</f>
        <v/>
      </c>
      <c r="I1537" s="6"/>
      <c r="J1537" s="11" t="str">
        <f aca="false">IF(B1537="","",IFERROR(INDEX('Hộ gia đình'!$B$2:$B$2000,MATCH(B1537,'Hộ gia đình'!$A$2:$A$2000,0)),"Mã hộ không tồn tại"))</f>
        <v/>
      </c>
      <c r="K1537" s="14"/>
      <c r="L1537" s="14"/>
      <c r="M1537" s="6"/>
      <c r="N1537" s="6"/>
      <c r="O1537" s="6"/>
      <c r="P1537" s="6"/>
      <c r="Q1537" s="6"/>
      <c r="R1537" s="12"/>
    </row>
    <row r="1538" customFormat="false" ht="15" hidden="false" customHeight="true" outlineLevel="0" collapsed="false">
      <c r="A1538" s="6"/>
      <c r="B1538" s="6"/>
      <c r="C1538" s="6"/>
      <c r="D1538" s="6"/>
      <c r="E1538" s="13"/>
      <c r="F1538" s="6"/>
      <c r="G1538" s="11" t="str">
        <f aca="true">IF(F1538="","",YEAR(TODAY())-F1538)</f>
        <v/>
      </c>
      <c r="H1538" s="11" t="str">
        <f aca="false">IF(C1538="","",IF(G1538="","Thiếu thông tin",IF(G1538&lt;6,"Trẻ em",IF(G1538&lt;23,"Học sinh / Sinh viên",IF(G1538&lt;60,"Đang đi làm","Nghỉ hưu")))))</f>
        <v/>
      </c>
      <c r="I1538" s="6"/>
      <c r="J1538" s="11" t="str">
        <f aca="false">IF(B1538="","",IFERROR(INDEX('Hộ gia đình'!$B$2:$B$2000,MATCH(B1538,'Hộ gia đình'!$A$2:$A$2000,0)),"Mã hộ không tồn tại"))</f>
        <v/>
      </c>
      <c r="K1538" s="14"/>
      <c r="L1538" s="14"/>
      <c r="M1538" s="6"/>
      <c r="N1538" s="6"/>
      <c r="O1538" s="6"/>
      <c r="P1538" s="6"/>
      <c r="Q1538" s="6"/>
      <c r="R1538" s="12"/>
    </row>
    <row r="1539" customFormat="false" ht="15" hidden="false" customHeight="true" outlineLevel="0" collapsed="false">
      <c r="A1539" s="6"/>
      <c r="B1539" s="6"/>
      <c r="C1539" s="6"/>
      <c r="D1539" s="6"/>
      <c r="E1539" s="13"/>
      <c r="F1539" s="6"/>
      <c r="G1539" s="11" t="str">
        <f aca="true">IF(F1539="","",YEAR(TODAY())-F1539)</f>
        <v/>
      </c>
      <c r="H1539" s="11" t="str">
        <f aca="false">IF(C1539="","",IF(G1539="","Thiếu thông tin",IF(G1539&lt;6,"Trẻ em",IF(G1539&lt;23,"Học sinh / Sinh viên",IF(G1539&lt;60,"Đang đi làm","Nghỉ hưu")))))</f>
        <v/>
      </c>
      <c r="I1539" s="6"/>
      <c r="J1539" s="11" t="str">
        <f aca="false">IF(B1539="","",IFERROR(INDEX('Hộ gia đình'!$B$2:$B$2000,MATCH(B1539,'Hộ gia đình'!$A$2:$A$2000,0)),"Mã hộ không tồn tại"))</f>
        <v/>
      </c>
      <c r="K1539" s="14"/>
      <c r="L1539" s="14"/>
      <c r="M1539" s="6"/>
      <c r="N1539" s="6"/>
      <c r="O1539" s="6"/>
      <c r="P1539" s="6"/>
      <c r="Q1539" s="6"/>
      <c r="R1539" s="12"/>
    </row>
    <row r="1540" customFormat="false" ht="15" hidden="false" customHeight="true" outlineLevel="0" collapsed="false">
      <c r="A1540" s="6"/>
      <c r="B1540" s="6"/>
      <c r="C1540" s="6"/>
      <c r="D1540" s="6"/>
      <c r="E1540" s="13"/>
      <c r="F1540" s="6"/>
      <c r="G1540" s="11" t="str">
        <f aca="true">IF(F1540="","",YEAR(TODAY())-F1540)</f>
        <v/>
      </c>
      <c r="H1540" s="11" t="str">
        <f aca="false">IF(C1540="","",IF(G1540="","Thiếu thông tin",IF(G1540&lt;6,"Trẻ em",IF(G1540&lt;23,"Học sinh / Sinh viên",IF(G1540&lt;60,"Đang đi làm","Nghỉ hưu")))))</f>
        <v/>
      </c>
      <c r="I1540" s="6"/>
      <c r="J1540" s="11" t="str">
        <f aca="false">IF(B1540="","",IFERROR(INDEX('Hộ gia đình'!$B$2:$B$2000,MATCH(B1540,'Hộ gia đình'!$A$2:$A$2000,0)),"Mã hộ không tồn tại"))</f>
        <v/>
      </c>
      <c r="K1540" s="14"/>
      <c r="L1540" s="14"/>
      <c r="M1540" s="6"/>
      <c r="N1540" s="6"/>
      <c r="O1540" s="6"/>
      <c r="P1540" s="6"/>
      <c r="Q1540" s="6"/>
      <c r="R1540" s="12"/>
    </row>
    <row r="1541" customFormat="false" ht="15" hidden="false" customHeight="true" outlineLevel="0" collapsed="false">
      <c r="A1541" s="6"/>
      <c r="B1541" s="6"/>
      <c r="C1541" s="6"/>
      <c r="D1541" s="6"/>
      <c r="E1541" s="13"/>
      <c r="F1541" s="6"/>
      <c r="G1541" s="11" t="str">
        <f aca="true">IF(F1541="","",YEAR(TODAY())-F1541)</f>
        <v/>
      </c>
      <c r="H1541" s="11" t="str">
        <f aca="false">IF(C1541="","",IF(G1541="","Thiếu thông tin",IF(G1541&lt;6,"Trẻ em",IF(G1541&lt;23,"Học sinh / Sinh viên",IF(G1541&lt;60,"Đang đi làm","Nghỉ hưu")))))</f>
        <v/>
      </c>
      <c r="I1541" s="6"/>
      <c r="J1541" s="11" t="str">
        <f aca="false">IF(B1541="","",IFERROR(INDEX('Hộ gia đình'!$B$2:$B$2000,MATCH(B1541,'Hộ gia đình'!$A$2:$A$2000,0)),"Mã hộ không tồn tại"))</f>
        <v/>
      </c>
      <c r="K1541" s="14"/>
      <c r="L1541" s="14"/>
      <c r="M1541" s="6"/>
      <c r="N1541" s="6"/>
      <c r="O1541" s="6"/>
      <c r="P1541" s="6"/>
      <c r="Q1541" s="6"/>
      <c r="R1541" s="12"/>
    </row>
    <row r="1542" customFormat="false" ht="15" hidden="false" customHeight="true" outlineLevel="0" collapsed="false">
      <c r="A1542" s="6"/>
      <c r="B1542" s="6"/>
      <c r="C1542" s="6"/>
      <c r="D1542" s="6"/>
      <c r="E1542" s="13"/>
      <c r="F1542" s="6"/>
      <c r="G1542" s="11" t="str">
        <f aca="true">IF(F1542="","",YEAR(TODAY())-F1542)</f>
        <v/>
      </c>
      <c r="H1542" s="11" t="str">
        <f aca="false">IF(C1542="","",IF(G1542="","Thiếu thông tin",IF(G1542&lt;6,"Trẻ em",IF(G1542&lt;23,"Học sinh / Sinh viên",IF(G1542&lt;60,"Đang đi làm","Nghỉ hưu")))))</f>
        <v/>
      </c>
      <c r="I1542" s="6"/>
      <c r="J1542" s="11" t="str">
        <f aca="false">IF(B1542="","",IFERROR(INDEX('Hộ gia đình'!$B$2:$B$2000,MATCH(B1542,'Hộ gia đình'!$A$2:$A$2000,0)),"Mã hộ không tồn tại"))</f>
        <v/>
      </c>
      <c r="K1542" s="14"/>
      <c r="L1542" s="14"/>
      <c r="M1542" s="6"/>
      <c r="N1542" s="6"/>
      <c r="O1542" s="6"/>
      <c r="P1542" s="6"/>
      <c r="Q1542" s="6"/>
      <c r="R1542" s="12"/>
    </row>
    <row r="1543" customFormat="false" ht="15" hidden="false" customHeight="true" outlineLevel="0" collapsed="false">
      <c r="A1543" s="6"/>
      <c r="B1543" s="6"/>
      <c r="C1543" s="6"/>
      <c r="D1543" s="6"/>
      <c r="E1543" s="13"/>
      <c r="F1543" s="6"/>
      <c r="G1543" s="11" t="str">
        <f aca="true">IF(F1543="","",YEAR(TODAY())-F1543)</f>
        <v/>
      </c>
      <c r="H1543" s="11" t="str">
        <f aca="false">IF(C1543="","",IF(G1543="","Thiếu thông tin",IF(G1543&lt;6,"Trẻ em",IF(G1543&lt;23,"Học sinh / Sinh viên",IF(G1543&lt;60,"Đang đi làm","Nghỉ hưu")))))</f>
        <v/>
      </c>
      <c r="I1543" s="6"/>
      <c r="J1543" s="11" t="str">
        <f aca="false">IF(B1543="","",IFERROR(INDEX('Hộ gia đình'!$B$2:$B$2000,MATCH(B1543,'Hộ gia đình'!$A$2:$A$2000,0)),"Mã hộ không tồn tại"))</f>
        <v/>
      </c>
      <c r="K1543" s="14"/>
      <c r="L1543" s="14"/>
      <c r="M1543" s="6"/>
      <c r="N1543" s="6"/>
      <c r="O1543" s="6"/>
      <c r="P1543" s="6"/>
      <c r="Q1543" s="6"/>
      <c r="R1543" s="12"/>
    </row>
    <row r="1544" customFormat="false" ht="15" hidden="false" customHeight="true" outlineLevel="0" collapsed="false">
      <c r="A1544" s="6"/>
      <c r="B1544" s="6"/>
      <c r="C1544" s="6"/>
      <c r="D1544" s="6"/>
      <c r="E1544" s="13"/>
      <c r="F1544" s="6"/>
      <c r="G1544" s="11" t="str">
        <f aca="true">IF(F1544="","",YEAR(TODAY())-F1544)</f>
        <v/>
      </c>
      <c r="H1544" s="11" t="str">
        <f aca="false">IF(C1544="","",IF(G1544="","Thiếu thông tin",IF(G1544&lt;6,"Trẻ em",IF(G1544&lt;23,"Học sinh / Sinh viên",IF(G1544&lt;60,"Đang đi làm","Nghỉ hưu")))))</f>
        <v/>
      </c>
      <c r="I1544" s="6"/>
      <c r="J1544" s="11" t="str">
        <f aca="false">IF(B1544="","",IFERROR(INDEX('Hộ gia đình'!$B$2:$B$2000,MATCH(B1544,'Hộ gia đình'!$A$2:$A$2000,0)),"Mã hộ không tồn tại"))</f>
        <v/>
      </c>
      <c r="K1544" s="14"/>
      <c r="L1544" s="14"/>
      <c r="M1544" s="6"/>
      <c r="N1544" s="6"/>
      <c r="O1544" s="6"/>
      <c r="P1544" s="6"/>
      <c r="Q1544" s="6"/>
      <c r="R1544" s="12"/>
    </row>
    <row r="1545" customFormat="false" ht="15" hidden="false" customHeight="true" outlineLevel="0" collapsed="false">
      <c r="A1545" s="6"/>
      <c r="B1545" s="6"/>
      <c r="C1545" s="6"/>
      <c r="D1545" s="6"/>
      <c r="E1545" s="13"/>
      <c r="F1545" s="6"/>
      <c r="G1545" s="11" t="str">
        <f aca="true">IF(F1545="","",YEAR(TODAY())-F1545)</f>
        <v/>
      </c>
      <c r="H1545" s="11" t="str">
        <f aca="false">IF(C1545="","",IF(G1545="","Thiếu thông tin",IF(G1545&lt;6,"Trẻ em",IF(G1545&lt;23,"Học sinh / Sinh viên",IF(G1545&lt;60,"Đang đi làm","Nghỉ hưu")))))</f>
        <v/>
      </c>
      <c r="I1545" s="6"/>
      <c r="J1545" s="11" t="str">
        <f aca="false">IF(B1545="","",IFERROR(INDEX('Hộ gia đình'!$B$2:$B$2000,MATCH(B1545,'Hộ gia đình'!$A$2:$A$2000,0)),"Mã hộ không tồn tại"))</f>
        <v/>
      </c>
      <c r="K1545" s="14"/>
      <c r="L1545" s="14"/>
      <c r="M1545" s="6"/>
      <c r="N1545" s="6"/>
      <c r="O1545" s="6"/>
      <c r="P1545" s="6"/>
      <c r="Q1545" s="6"/>
      <c r="R1545" s="12"/>
    </row>
    <row r="1546" customFormat="false" ht="15" hidden="false" customHeight="true" outlineLevel="0" collapsed="false">
      <c r="A1546" s="6"/>
      <c r="B1546" s="6"/>
      <c r="C1546" s="6"/>
      <c r="D1546" s="6"/>
      <c r="E1546" s="13"/>
      <c r="F1546" s="6"/>
      <c r="G1546" s="11" t="str">
        <f aca="true">IF(F1546="","",YEAR(TODAY())-F1546)</f>
        <v/>
      </c>
      <c r="H1546" s="11" t="str">
        <f aca="false">IF(C1546="","",IF(G1546="","Thiếu thông tin",IF(G1546&lt;6,"Trẻ em",IF(G1546&lt;23,"Học sinh / Sinh viên",IF(G1546&lt;60,"Đang đi làm","Nghỉ hưu")))))</f>
        <v/>
      </c>
      <c r="I1546" s="6"/>
      <c r="J1546" s="11" t="str">
        <f aca="false">IF(B1546="","",IFERROR(INDEX('Hộ gia đình'!$B$2:$B$2000,MATCH(B1546,'Hộ gia đình'!$A$2:$A$2000,0)),"Mã hộ không tồn tại"))</f>
        <v/>
      </c>
      <c r="K1546" s="14"/>
      <c r="L1546" s="14"/>
      <c r="M1546" s="6"/>
      <c r="N1546" s="6"/>
      <c r="O1546" s="6"/>
      <c r="P1546" s="6"/>
      <c r="Q1546" s="6"/>
      <c r="R1546" s="12"/>
    </row>
    <row r="1547" customFormat="false" ht="15" hidden="false" customHeight="true" outlineLevel="0" collapsed="false">
      <c r="A1547" s="6"/>
      <c r="B1547" s="6"/>
      <c r="C1547" s="6"/>
      <c r="D1547" s="6"/>
      <c r="E1547" s="13"/>
      <c r="F1547" s="6"/>
      <c r="G1547" s="11" t="str">
        <f aca="true">IF(F1547="","",YEAR(TODAY())-F1547)</f>
        <v/>
      </c>
      <c r="H1547" s="11" t="str">
        <f aca="false">IF(C1547="","",IF(G1547="","Thiếu thông tin",IF(G1547&lt;6,"Trẻ em",IF(G1547&lt;23,"Học sinh / Sinh viên",IF(G1547&lt;60,"Đang đi làm","Nghỉ hưu")))))</f>
        <v/>
      </c>
      <c r="I1547" s="6"/>
      <c r="J1547" s="11" t="str">
        <f aca="false">IF(B1547="","",IFERROR(INDEX('Hộ gia đình'!$B$2:$B$2000,MATCH(B1547,'Hộ gia đình'!$A$2:$A$2000,0)),"Mã hộ không tồn tại"))</f>
        <v/>
      </c>
      <c r="K1547" s="14"/>
      <c r="L1547" s="14"/>
      <c r="M1547" s="6"/>
      <c r="N1547" s="6"/>
      <c r="O1547" s="6"/>
      <c r="P1547" s="6"/>
      <c r="Q1547" s="6"/>
      <c r="R1547" s="12"/>
    </row>
    <row r="1548" customFormat="false" ht="15" hidden="false" customHeight="true" outlineLevel="0" collapsed="false">
      <c r="A1548" s="6"/>
      <c r="B1548" s="6"/>
      <c r="C1548" s="6"/>
      <c r="D1548" s="6"/>
      <c r="E1548" s="13"/>
      <c r="F1548" s="6"/>
      <c r="G1548" s="11" t="str">
        <f aca="true">IF(F1548="","",YEAR(TODAY())-F1548)</f>
        <v/>
      </c>
      <c r="H1548" s="11" t="str">
        <f aca="false">IF(C1548="","",IF(G1548="","Thiếu thông tin",IF(G1548&lt;6,"Trẻ em",IF(G1548&lt;23,"Học sinh / Sinh viên",IF(G1548&lt;60,"Đang đi làm","Nghỉ hưu")))))</f>
        <v/>
      </c>
      <c r="I1548" s="6"/>
      <c r="J1548" s="11" t="str">
        <f aca="false">IF(B1548="","",IFERROR(INDEX('Hộ gia đình'!$B$2:$B$2000,MATCH(B1548,'Hộ gia đình'!$A$2:$A$2000,0)),"Mã hộ không tồn tại"))</f>
        <v/>
      </c>
      <c r="K1548" s="14"/>
      <c r="L1548" s="14"/>
      <c r="M1548" s="6"/>
      <c r="N1548" s="6"/>
      <c r="O1548" s="6"/>
      <c r="P1548" s="6"/>
      <c r="Q1548" s="6"/>
      <c r="R1548" s="12"/>
    </row>
    <row r="1549" customFormat="false" ht="15" hidden="false" customHeight="true" outlineLevel="0" collapsed="false">
      <c r="A1549" s="6"/>
      <c r="B1549" s="6"/>
      <c r="C1549" s="6"/>
      <c r="D1549" s="6"/>
      <c r="E1549" s="13"/>
      <c r="F1549" s="6"/>
      <c r="G1549" s="11" t="str">
        <f aca="true">IF(F1549="","",YEAR(TODAY())-F1549)</f>
        <v/>
      </c>
      <c r="H1549" s="11" t="str">
        <f aca="false">IF(C1549="","",IF(G1549="","Thiếu thông tin",IF(G1549&lt;6,"Trẻ em",IF(G1549&lt;23,"Học sinh / Sinh viên",IF(G1549&lt;60,"Đang đi làm","Nghỉ hưu")))))</f>
        <v/>
      </c>
      <c r="I1549" s="6"/>
      <c r="J1549" s="11" t="str">
        <f aca="false">IF(B1549="","",IFERROR(INDEX('Hộ gia đình'!$B$2:$B$2000,MATCH(B1549,'Hộ gia đình'!$A$2:$A$2000,0)),"Mã hộ không tồn tại"))</f>
        <v/>
      </c>
      <c r="K1549" s="14"/>
      <c r="L1549" s="14"/>
      <c r="M1549" s="6"/>
      <c r="N1549" s="6"/>
      <c r="O1549" s="6"/>
      <c r="P1549" s="6"/>
      <c r="Q1549" s="6"/>
      <c r="R1549" s="12"/>
    </row>
    <row r="1550" customFormat="false" ht="15" hidden="false" customHeight="true" outlineLevel="0" collapsed="false">
      <c r="A1550" s="6"/>
      <c r="B1550" s="6"/>
      <c r="C1550" s="6"/>
      <c r="D1550" s="6"/>
      <c r="E1550" s="13"/>
      <c r="F1550" s="6"/>
      <c r="G1550" s="11" t="str">
        <f aca="true">IF(F1550="","",YEAR(TODAY())-F1550)</f>
        <v/>
      </c>
      <c r="H1550" s="11" t="str">
        <f aca="false">IF(C1550="","",IF(G1550="","Thiếu thông tin",IF(G1550&lt;6,"Trẻ em",IF(G1550&lt;23,"Học sinh / Sinh viên",IF(G1550&lt;60,"Đang đi làm","Nghỉ hưu")))))</f>
        <v/>
      </c>
      <c r="I1550" s="6"/>
      <c r="J1550" s="11" t="str">
        <f aca="false">IF(B1550="","",IFERROR(INDEX('Hộ gia đình'!$B$2:$B$2000,MATCH(B1550,'Hộ gia đình'!$A$2:$A$2000,0)),"Mã hộ không tồn tại"))</f>
        <v/>
      </c>
      <c r="K1550" s="14"/>
      <c r="L1550" s="14"/>
      <c r="M1550" s="6"/>
      <c r="N1550" s="6"/>
      <c r="O1550" s="6"/>
      <c r="P1550" s="6"/>
      <c r="Q1550" s="6"/>
      <c r="R1550" s="12"/>
    </row>
    <row r="1551" customFormat="false" ht="15" hidden="false" customHeight="true" outlineLevel="0" collapsed="false">
      <c r="A1551" s="6"/>
      <c r="B1551" s="6"/>
      <c r="C1551" s="6"/>
      <c r="D1551" s="6"/>
      <c r="E1551" s="13"/>
      <c r="F1551" s="6"/>
      <c r="G1551" s="11" t="str">
        <f aca="true">IF(F1551="","",YEAR(TODAY())-F1551)</f>
        <v/>
      </c>
      <c r="H1551" s="11" t="str">
        <f aca="false">IF(C1551="","",IF(G1551="","Thiếu thông tin",IF(G1551&lt;6,"Trẻ em",IF(G1551&lt;23,"Học sinh / Sinh viên",IF(G1551&lt;60,"Đang đi làm","Nghỉ hưu")))))</f>
        <v/>
      </c>
      <c r="I1551" s="6"/>
      <c r="J1551" s="11" t="str">
        <f aca="false">IF(B1551="","",IFERROR(INDEX('Hộ gia đình'!$B$2:$B$2000,MATCH(B1551,'Hộ gia đình'!$A$2:$A$2000,0)),"Mã hộ không tồn tại"))</f>
        <v/>
      </c>
      <c r="K1551" s="14"/>
      <c r="L1551" s="14"/>
      <c r="M1551" s="6"/>
      <c r="N1551" s="6"/>
      <c r="O1551" s="6"/>
      <c r="P1551" s="6"/>
      <c r="Q1551" s="6"/>
      <c r="R1551" s="12"/>
    </row>
    <row r="1552" customFormat="false" ht="15" hidden="false" customHeight="true" outlineLevel="0" collapsed="false">
      <c r="A1552" s="6"/>
      <c r="B1552" s="6"/>
      <c r="C1552" s="6"/>
      <c r="D1552" s="6"/>
      <c r="E1552" s="13"/>
      <c r="F1552" s="6"/>
      <c r="G1552" s="11" t="str">
        <f aca="true">IF(F1552="","",YEAR(TODAY())-F1552)</f>
        <v/>
      </c>
      <c r="H1552" s="11" t="str">
        <f aca="false">IF(C1552="","",IF(G1552="","Thiếu thông tin",IF(G1552&lt;6,"Trẻ em",IF(G1552&lt;23,"Học sinh / Sinh viên",IF(G1552&lt;60,"Đang đi làm","Nghỉ hưu")))))</f>
        <v/>
      </c>
      <c r="I1552" s="6"/>
      <c r="J1552" s="11" t="str">
        <f aca="false">IF(B1552="","",IFERROR(INDEX('Hộ gia đình'!$B$2:$B$2000,MATCH(B1552,'Hộ gia đình'!$A$2:$A$2000,0)),"Mã hộ không tồn tại"))</f>
        <v/>
      </c>
      <c r="K1552" s="14"/>
      <c r="L1552" s="14"/>
      <c r="M1552" s="6"/>
      <c r="N1552" s="6"/>
      <c r="O1552" s="6"/>
      <c r="P1552" s="6"/>
      <c r="Q1552" s="6"/>
      <c r="R1552" s="12"/>
    </row>
    <row r="1553" customFormat="false" ht="15" hidden="false" customHeight="true" outlineLevel="0" collapsed="false">
      <c r="A1553" s="6"/>
      <c r="B1553" s="6"/>
      <c r="C1553" s="6"/>
      <c r="D1553" s="6"/>
      <c r="E1553" s="13"/>
      <c r="F1553" s="6"/>
      <c r="G1553" s="11" t="str">
        <f aca="true">IF(F1553="","",YEAR(TODAY())-F1553)</f>
        <v/>
      </c>
      <c r="H1553" s="11" t="str">
        <f aca="false">IF(C1553="","",IF(G1553="","Thiếu thông tin",IF(G1553&lt;6,"Trẻ em",IF(G1553&lt;23,"Học sinh / Sinh viên",IF(G1553&lt;60,"Đang đi làm","Nghỉ hưu")))))</f>
        <v/>
      </c>
      <c r="I1553" s="6"/>
      <c r="J1553" s="11" t="str">
        <f aca="false">IF(B1553="","",IFERROR(INDEX('Hộ gia đình'!$B$2:$B$2000,MATCH(B1553,'Hộ gia đình'!$A$2:$A$2000,0)),"Mã hộ không tồn tại"))</f>
        <v/>
      </c>
      <c r="K1553" s="14"/>
      <c r="L1553" s="14"/>
      <c r="M1553" s="6"/>
      <c r="N1553" s="6"/>
      <c r="O1553" s="6"/>
      <c r="P1553" s="6"/>
      <c r="Q1553" s="6"/>
      <c r="R1553" s="12"/>
    </row>
    <row r="1554" customFormat="false" ht="15" hidden="false" customHeight="true" outlineLevel="0" collapsed="false">
      <c r="A1554" s="6"/>
      <c r="B1554" s="6"/>
      <c r="C1554" s="6"/>
      <c r="D1554" s="6"/>
      <c r="E1554" s="13"/>
      <c r="F1554" s="6"/>
      <c r="G1554" s="11" t="str">
        <f aca="true">IF(F1554="","",YEAR(TODAY())-F1554)</f>
        <v/>
      </c>
      <c r="H1554" s="11" t="str">
        <f aca="false">IF(C1554="","",IF(G1554="","Thiếu thông tin",IF(G1554&lt;6,"Trẻ em",IF(G1554&lt;23,"Học sinh / Sinh viên",IF(G1554&lt;60,"Đang đi làm","Nghỉ hưu")))))</f>
        <v/>
      </c>
      <c r="I1554" s="6"/>
      <c r="J1554" s="11" t="str">
        <f aca="false">IF(B1554="","",IFERROR(INDEX('Hộ gia đình'!$B$2:$B$2000,MATCH(B1554,'Hộ gia đình'!$A$2:$A$2000,0)),"Mã hộ không tồn tại"))</f>
        <v/>
      </c>
      <c r="K1554" s="14"/>
      <c r="L1554" s="14"/>
      <c r="M1554" s="6"/>
      <c r="N1554" s="6"/>
      <c r="O1554" s="6"/>
      <c r="P1554" s="6"/>
      <c r="Q1554" s="6"/>
      <c r="R1554" s="12"/>
    </row>
    <row r="1555" customFormat="false" ht="15" hidden="false" customHeight="true" outlineLevel="0" collapsed="false">
      <c r="A1555" s="6"/>
      <c r="B1555" s="6"/>
      <c r="C1555" s="6"/>
      <c r="D1555" s="6"/>
      <c r="E1555" s="13"/>
      <c r="F1555" s="6"/>
      <c r="G1555" s="11" t="str">
        <f aca="true">IF(F1555="","",YEAR(TODAY())-F1555)</f>
        <v/>
      </c>
      <c r="H1555" s="11" t="str">
        <f aca="false">IF(C1555="","",IF(G1555="","Thiếu thông tin",IF(G1555&lt;6,"Trẻ em",IF(G1555&lt;23,"Học sinh / Sinh viên",IF(G1555&lt;60,"Đang đi làm","Nghỉ hưu")))))</f>
        <v/>
      </c>
      <c r="I1555" s="6"/>
      <c r="J1555" s="11" t="str">
        <f aca="false">IF(B1555="","",IFERROR(INDEX('Hộ gia đình'!$B$2:$B$2000,MATCH(B1555,'Hộ gia đình'!$A$2:$A$2000,0)),"Mã hộ không tồn tại"))</f>
        <v/>
      </c>
      <c r="K1555" s="14"/>
      <c r="L1555" s="14"/>
      <c r="M1555" s="6"/>
      <c r="N1555" s="6"/>
      <c r="O1555" s="6"/>
      <c r="P1555" s="6"/>
      <c r="Q1555" s="6"/>
      <c r="R1555" s="12"/>
    </row>
    <row r="1556" customFormat="false" ht="15" hidden="false" customHeight="true" outlineLevel="0" collapsed="false">
      <c r="A1556" s="6"/>
      <c r="B1556" s="6"/>
      <c r="C1556" s="6"/>
      <c r="D1556" s="6"/>
      <c r="E1556" s="13"/>
      <c r="F1556" s="6"/>
      <c r="G1556" s="11" t="str">
        <f aca="true">IF(F1556="","",YEAR(TODAY())-F1556)</f>
        <v/>
      </c>
      <c r="H1556" s="11" t="str">
        <f aca="false">IF(C1556="","",IF(G1556="","Thiếu thông tin",IF(G1556&lt;6,"Trẻ em",IF(G1556&lt;23,"Học sinh / Sinh viên",IF(G1556&lt;60,"Đang đi làm","Nghỉ hưu")))))</f>
        <v/>
      </c>
      <c r="I1556" s="6"/>
      <c r="J1556" s="11" t="str">
        <f aca="false">IF(B1556="","",IFERROR(INDEX('Hộ gia đình'!$B$2:$B$2000,MATCH(B1556,'Hộ gia đình'!$A$2:$A$2000,0)),"Mã hộ không tồn tại"))</f>
        <v/>
      </c>
      <c r="K1556" s="14"/>
      <c r="L1556" s="14"/>
      <c r="M1556" s="6"/>
      <c r="N1556" s="6"/>
      <c r="O1556" s="6"/>
      <c r="P1556" s="6"/>
      <c r="Q1556" s="6"/>
      <c r="R1556" s="12"/>
    </row>
    <row r="1557" customFormat="false" ht="15" hidden="false" customHeight="true" outlineLevel="0" collapsed="false">
      <c r="A1557" s="6"/>
      <c r="B1557" s="6"/>
      <c r="C1557" s="6"/>
      <c r="D1557" s="6"/>
      <c r="E1557" s="13"/>
      <c r="F1557" s="6"/>
      <c r="G1557" s="11" t="str">
        <f aca="true">IF(F1557="","",YEAR(TODAY())-F1557)</f>
        <v/>
      </c>
      <c r="H1557" s="11" t="str">
        <f aca="false">IF(C1557="","",IF(G1557="","Thiếu thông tin",IF(G1557&lt;6,"Trẻ em",IF(G1557&lt;23,"Học sinh / Sinh viên",IF(G1557&lt;60,"Đang đi làm","Nghỉ hưu")))))</f>
        <v/>
      </c>
      <c r="I1557" s="6"/>
      <c r="J1557" s="11" t="str">
        <f aca="false">IF(B1557="","",IFERROR(INDEX('Hộ gia đình'!$B$2:$B$2000,MATCH(B1557,'Hộ gia đình'!$A$2:$A$2000,0)),"Mã hộ không tồn tại"))</f>
        <v/>
      </c>
      <c r="K1557" s="14"/>
      <c r="L1557" s="14"/>
      <c r="M1557" s="6"/>
      <c r="N1557" s="6"/>
      <c r="O1557" s="6"/>
      <c r="P1557" s="6"/>
      <c r="Q1557" s="6"/>
      <c r="R1557" s="12"/>
    </row>
    <row r="1558" customFormat="false" ht="15" hidden="false" customHeight="true" outlineLevel="0" collapsed="false">
      <c r="A1558" s="6"/>
      <c r="B1558" s="6"/>
      <c r="C1558" s="6"/>
      <c r="D1558" s="6"/>
      <c r="E1558" s="13"/>
      <c r="F1558" s="6"/>
      <c r="G1558" s="11" t="str">
        <f aca="true">IF(F1558="","",YEAR(TODAY())-F1558)</f>
        <v/>
      </c>
      <c r="H1558" s="11" t="str">
        <f aca="false">IF(C1558="","",IF(G1558="","Thiếu thông tin",IF(G1558&lt;6,"Trẻ em",IF(G1558&lt;23,"Học sinh / Sinh viên",IF(G1558&lt;60,"Đang đi làm","Nghỉ hưu")))))</f>
        <v/>
      </c>
      <c r="I1558" s="6"/>
      <c r="J1558" s="11" t="str">
        <f aca="false">IF(B1558="","",IFERROR(INDEX('Hộ gia đình'!$B$2:$B$2000,MATCH(B1558,'Hộ gia đình'!$A$2:$A$2000,0)),"Mã hộ không tồn tại"))</f>
        <v/>
      </c>
      <c r="K1558" s="14"/>
      <c r="L1558" s="14"/>
      <c r="M1558" s="6"/>
      <c r="N1558" s="6"/>
      <c r="O1558" s="6"/>
      <c r="P1558" s="6"/>
      <c r="Q1558" s="6"/>
      <c r="R1558" s="12"/>
    </row>
    <row r="1559" customFormat="false" ht="15" hidden="false" customHeight="true" outlineLevel="0" collapsed="false">
      <c r="A1559" s="6"/>
      <c r="B1559" s="6"/>
      <c r="C1559" s="6"/>
      <c r="D1559" s="6"/>
      <c r="E1559" s="13"/>
      <c r="F1559" s="6"/>
      <c r="G1559" s="11" t="str">
        <f aca="true">IF(F1559="","",YEAR(TODAY())-F1559)</f>
        <v/>
      </c>
      <c r="H1559" s="11" t="str">
        <f aca="false">IF(C1559="","",IF(G1559="","Thiếu thông tin",IF(G1559&lt;6,"Trẻ em",IF(G1559&lt;23,"Học sinh / Sinh viên",IF(G1559&lt;60,"Đang đi làm","Nghỉ hưu")))))</f>
        <v/>
      </c>
      <c r="I1559" s="6"/>
      <c r="J1559" s="11" t="str">
        <f aca="false">IF(B1559="","",IFERROR(INDEX('Hộ gia đình'!$B$2:$B$2000,MATCH(B1559,'Hộ gia đình'!$A$2:$A$2000,0)),"Mã hộ không tồn tại"))</f>
        <v/>
      </c>
      <c r="K1559" s="14"/>
      <c r="L1559" s="14"/>
      <c r="M1559" s="6"/>
      <c r="N1559" s="6"/>
      <c r="O1559" s="6"/>
      <c r="P1559" s="6"/>
      <c r="Q1559" s="6"/>
      <c r="R1559" s="12"/>
    </row>
    <row r="1560" customFormat="false" ht="15" hidden="false" customHeight="true" outlineLevel="0" collapsed="false">
      <c r="A1560" s="6"/>
      <c r="B1560" s="6"/>
      <c r="C1560" s="6"/>
      <c r="D1560" s="6"/>
      <c r="E1560" s="13"/>
      <c r="F1560" s="6"/>
      <c r="G1560" s="11" t="str">
        <f aca="true">IF(F1560="","",YEAR(TODAY())-F1560)</f>
        <v/>
      </c>
      <c r="H1560" s="11" t="str">
        <f aca="false">IF(C1560="","",IF(G1560="","Thiếu thông tin",IF(G1560&lt;6,"Trẻ em",IF(G1560&lt;23,"Học sinh / Sinh viên",IF(G1560&lt;60,"Đang đi làm","Nghỉ hưu")))))</f>
        <v/>
      </c>
      <c r="I1560" s="6"/>
      <c r="J1560" s="11" t="str">
        <f aca="false">IF(B1560="","",IFERROR(INDEX('Hộ gia đình'!$B$2:$B$2000,MATCH(B1560,'Hộ gia đình'!$A$2:$A$2000,0)),"Mã hộ không tồn tại"))</f>
        <v/>
      </c>
      <c r="K1560" s="14"/>
      <c r="L1560" s="14"/>
      <c r="M1560" s="6"/>
      <c r="N1560" s="6"/>
      <c r="O1560" s="6"/>
      <c r="P1560" s="6"/>
      <c r="Q1560" s="6"/>
      <c r="R1560" s="12"/>
    </row>
    <row r="1561" customFormat="false" ht="15" hidden="false" customHeight="true" outlineLevel="0" collapsed="false">
      <c r="A1561" s="6"/>
      <c r="B1561" s="6"/>
      <c r="C1561" s="6"/>
      <c r="D1561" s="6"/>
      <c r="E1561" s="13"/>
      <c r="F1561" s="6"/>
      <c r="G1561" s="11" t="str">
        <f aca="true">IF(F1561="","",YEAR(TODAY())-F1561)</f>
        <v/>
      </c>
      <c r="H1561" s="11" t="str">
        <f aca="false">IF(C1561="","",IF(G1561="","Thiếu thông tin",IF(G1561&lt;6,"Trẻ em",IF(G1561&lt;23,"Học sinh / Sinh viên",IF(G1561&lt;60,"Đang đi làm","Nghỉ hưu")))))</f>
        <v/>
      </c>
      <c r="I1561" s="6"/>
      <c r="J1561" s="11" t="str">
        <f aca="false">IF(B1561="","",IFERROR(INDEX('Hộ gia đình'!$B$2:$B$2000,MATCH(B1561,'Hộ gia đình'!$A$2:$A$2000,0)),"Mã hộ không tồn tại"))</f>
        <v/>
      </c>
      <c r="K1561" s="14"/>
      <c r="L1561" s="14"/>
      <c r="M1561" s="6"/>
      <c r="N1561" s="6"/>
      <c r="O1561" s="6"/>
      <c r="P1561" s="6"/>
      <c r="Q1561" s="6"/>
      <c r="R1561" s="12"/>
    </row>
    <row r="1562" customFormat="false" ht="15" hidden="false" customHeight="true" outlineLevel="0" collapsed="false">
      <c r="A1562" s="6"/>
      <c r="B1562" s="6"/>
      <c r="C1562" s="6"/>
      <c r="D1562" s="6"/>
      <c r="E1562" s="13"/>
      <c r="F1562" s="6"/>
      <c r="G1562" s="11" t="str">
        <f aca="true">IF(F1562="","",YEAR(TODAY())-F1562)</f>
        <v/>
      </c>
      <c r="H1562" s="11" t="str">
        <f aca="false">IF(C1562="","",IF(G1562="","Thiếu thông tin",IF(G1562&lt;6,"Trẻ em",IF(G1562&lt;23,"Học sinh / Sinh viên",IF(G1562&lt;60,"Đang đi làm","Nghỉ hưu")))))</f>
        <v/>
      </c>
      <c r="I1562" s="6"/>
      <c r="J1562" s="11" t="str">
        <f aca="false">IF(B1562="","",IFERROR(INDEX('Hộ gia đình'!$B$2:$B$2000,MATCH(B1562,'Hộ gia đình'!$A$2:$A$2000,0)),"Mã hộ không tồn tại"))</f>
        <v/>
      </c>
      <c r="K1562" s="14"/>
      <c r="L1562" s="14"/>
      <c r="M1562" s="6"/>
      <c r="N1562" s="6"/>
      <c r="O1562" s="6"/>
      <c r="P1562" s="6"/>
      <c r="Q1562" s="6"/>
      <c r="R1562" s="12"/>
    </row>
    <row r="1563" customFormat="false" ht="15" hidden="false" customHeight="true" outlineLevel="0" collapsed="false">
      <c r="A1563" s="6"/>
      <c r="B1563" s="6"/>
      <c r="C1563" s="6"/>
      <c r="D1563" s="6"/>
      <c r="E1563" s="13"/>
      <c r="F1563" s="6"/>
      <c r="G1563" s="11" t="str">
        <f aca="true">IF(F1563="","",YEAR(TODAY())-F1563)</f>
        <v/>
      </c>
      <c r="H1563" s="11" t="str">
        <f aca="false">IF(C1563="","",IF(G1563="","Thiếu thông tin",IF(G1563&lt;6,"Trẻ em",IF(G1563&lt;23,"Học sinh / Sinh viên",IF(G1563&lt;60,"Đang đi làm","Nghỉ hưu")))))</f>
        <v/>
      </c>
      <c r="I1563" s="6"/>
      <c r="J1563" s="11" t="str">
        <f aca="false">IF(B1563="","",IFERROR(INDEX('Hộ gia đình'!$B$2:$B$2000,MATCH(B1563,'Hộ gia đình'!$A$2:$A$2000,0)),"Mã hộ không tồn tại"))</f>
        <v/>
      </c>
      <c r="K1563" s="14"/>
      <c r="L1563" s="14"/>
      <c r="M1563" s="6"/>
      <c r="N1563" s="6"/>
      <c r="O1563" s="6"/>
      <c r="P1563" s="6"/>
      <c r="Q1563" s="6"/>
      <c r="R1563" s="12"/>
    </row>
    <row r="1564" customFormat="false" ht="15" hidden="false" customHeight="true" outlineLevel="0" collapsed="false">
      <c r="A1564" s="6"/>
      <c r="B1564" s="6"/>
      <c r="C1564" s="6"/>
      <c r="D1564" s="6"/>
      <c r="E1564" s="13"/>
      <c r="F1564" s="6"/>
      <c r="G1564" s="11" t="str">
        <f aca="true">IF(F1564="","",YEAR(TODAY())-F1564)</f>
        <v/>
      </c>
      <c r="H1564" s="11" t="str">
        <f aca="false">IF(C1564="","",IF(G1564="","Thiếu thông tin",IF(G1564&lt;6,"Trẻ em",IF(G1564&lt;23,"Học sinh / Sinh viên",IF(G1564&lt;60,"Đang đi làm","Nghỉ hưu")))))</f>
        <v/>
      </c>
      <c r="I1564" s="6"/>
      <c r="J1564" s="11" t="str">
        <f aca="false">IF(B1564="","",IFERROR(INDEX('Hộ gia đình'!$B$2:$B$2000,MATCH(B1564,'Hộ gia đình'!$A$2:$A$2000,0)),"Mã hộ không tồn tại"))</f>
        <v/>
      </c>
      <c r="K1564" s="14"/>
      <c r="L1564" s="14"/>
      <c r="M1564" s="6"/>
      <c r="N1564" s="6"/>
      <c r="O1564" s="6"/>
      <c r="P1564" s="6"/>
      <c r="Q1564" s="6"/>
      <c r="R1564" s="12"/>
    </row>
    <row r="1565" customFormat="false" ht="15" hidden="false" customHeight="true" outlineLevel="0" collapsed="false">
      <c r="A1565" s="6"/>
      <c r="B1565" s="6"/>
      <c r="C1565" s="6"/>
      <c r="D1565" s="6"/>
      <c r="E1565" s="13"/>
      <c r="F1565" s="6"/>
      <c r="G1565" s="11" t="str">
        <f aca="true">IF(F1565="","",YEAR(TODAY())-F1565)</f>
        <v/>
      </c>
      <c r="H1565" s="11" t="str">
        <f aca="false">IF(C1565="","",IF(G1565="","Thiếu thông tin",IF(G1565&lt;6,"Trẻ em",IF(G1565&lt;23,"Học sinh / Sinh viên",IF(G1565&lt;60,"Đang đi làm","Nghỉ hưu")))))</f>
        <v/>
      </c>
      <c r="I1565" s="6"/>
      <c r="J1565" s="11" t="str">
        <f aca="false">IF(B1565="","",IFERROR(INDEX('Hộ gia đình'!$B$2:$B$2000,MATCH(B1565,'Hộ gia đình'!$A$2:$A$2000,0)),"Mã hộ không tồn tại"))</f>
        <v/>
      </c>
      <c r="K1565" s="14"/>
      <c r="L1565" s="14"/>
      <c r="M1565" s="6"/>
      <c r="N1565" s="6"/>
      <c r="O1565" s="6"/>
      <c r="P1565" s="6"/>
      <c r="Q1565" s="6"/>
      <c r="R1565" s="12"/>
    </row>
    <row r="1566" customFormat="false" ht="15" hidden="false" customHeight="true" outlineLevel="0" collapsed="false">
      <c r="A1566" s="6"/>
      <c r="B1566" s="6"/>
      <c r="C1566" s="6"/>
      <c r="D1566" s="6"/>
      <c r="E1566" s="13"/>
      <c r="F1566" s="6"/>
      <c r="G1566" s="11" t="str">
        <f aca="true">IF(F1566="","",YEAR(TODAY())-F1566)</f>
        <v/>
      </c>
      <c r="H1566" s="11" t="str">
        <f aca="false">IF(C1566="","",IF(G1566="","Thiếu thông tin",IF(G1566&lt;6,"Trẻ em",IF(G1566&lt;23,"Học sinh / Sinh viên",IF(G1566&lt;60,"Đang đi làm","Nghỉ hưu")))))</f>
        <v/>
      </c>
      <c r="I1566" s="6"/>
      <c r="J1566" s="11" t="str">
        <f aca="false">IF(B1566="","",IFERROR(INDEX('Hộ gia đình'!$B$2:$B$2000,MATCH(B1566,'Hộ gia đình'!$A$2:$A$2000,0)),"Mã hộ không tồn tại"))</f>
        <v/>
      </c>
      <c r="K1566" s="14"/>
      <c r="L1566" s="14"/>
      <c r="M1566" s="6"/>
      <c r="N1566" s="6"/>
      <c r="O1566" s="6"/>
      <c r="P1566" s="6"/>
      <c r="Q1566" s="6"/>
      <c r="R1566" s="12"/>
    </row>
    <row r="1567" customFormat="false" ht="15" hidden="false" customHeight="true" outlineLevel="0" collapsed="false">
      <c r="A1567" s="6"/>
      <c r="B1567" s="6"/>
      <c r="C1567" s="6"/>
      <c r="D1567" s="6"/>
      <c r="E1567" s="13"/>
      <c r="F1567" s="6"/>
      <c r="G1567" s="11" t="str">
        <f aca="true">IF(F1567="","",YEAR(TODAY())-F1567)</f>
        <v/>
      </c>
      <c r="H1567" s="11" t="str">
        <f aca="false">IF(C1567="","",IF(G1567="","Thiếu thông tin",IF(G1567&lt;6,"Trẻ em",IF(G1567&lt;23,"Học sinh / Sinh viên",IF(G1567&lt;60,"Đang đi làm","Nghỉ hưu")))))</f>
        <v/>
      </c>
      <c r="I1567" s="6"/>
      <c r="J1567" s="11" t="str">
        <f aca="false">IF(B1567="","",IFERROR(INDEX('Hộ gia đình'!$B$2:$B$2000,MATCH(B1567,'Hộ gia đình'!$A$2:$A$2000,0)),"Mã hộ không tồn tại"))</f>
        <v/>
      </c>
      <c r="K1567" s="14"/>
      <c r="L1567" s="14"/>
      <c r="M1567" s="6"/>
      <c r="N1567" s="6"/>
      <c r="O1567" s="6"/>
      <c r="P1567" s="6"/>
      <c r="Q1567" s="6"/>
      <c r="R1567" s="12"/>
    </row>
    <row r="1568" customFormat="false" ht="15" hidden="false" customHeight="true" outlineLevel="0" collapsed="false">
      <c r="A1568" s="6"/>
      <c r="B1568" s="6"/>
      <c r="C1568" s="6"/>
      <c r="D1568" s="6"/>
      <c r="E1568" s="13"/>
      <c r="F1568" s="6"/>
      <c r="G1568" s="11" t="str">
        <f aca="true">IF(F1568="","",YEAR(TODAY())-F1568)</f>
        <v/>
      </c>
      <c r="H1568" s="11" t="str">
        <f aca="false">IF(C1568="","",IF(G1568="","Thiếu thông tin",IF(G1568&lt;6,"Trẻ em",IF(G1568&lt;23,"Học sinh / Sinh viên",IF(G1568&lt;60,"Đang đi làm","Nghỉ hưu")))))</f>
        <v/>
      </c>
      <c r="I1568" s="6"/>
      <c r="J1568" s="11" t="str">
        <f aca="false">IF(B1568="","",IFERROR(INDEX('Hộ gia đình'!$B$2:$B$2000,MATCH(B1568,'Hộ gia đình'!$A$2:$A$2000,0)),"Mã hộ không tồn tại"))</f>
        <v/>
      </c>
      <c r="K1568" s="14"/>
      <c r="L1568" s="14"/>
      <c r="M1568" s="6"/>
      <c r="N1568" s="6"/>
      <c r="O1568" s="6"/>
      <c r="P1568" s="6"/>
      <c r="Q1568" s="6"/>
      <c r="R1568" s="12"/>
    </row>
    <row r="1569" customFormat="false" ht="15" hidden="false" customHeight="true" outlineLevel="0" collapsed="false">
      <c r="A1569" s="6"/>
      <c r="B1569" s="6"/>
      <c r="C1569" s="6"/>
      <c r="D1569" s="6"/>
      <c r="E1569" s="13"/>
      <c r="F1569" s="6"/>
      <c r="G1569" s="11" t="str">
        <f aca="true">IF(F1569="","",YEAR(TODAY())-F1569)</f>
        <v/>
      </c>
      <c r="H1569" s="11" t="str">
        <f aca="false">IF(C1569="","",IF(G1569="","Thiếu thông tin",IF(G1569&lt;6,"Trẻ em",IF(G1569&lt;23,"Học sinh / Sinh viên",IF(G1569&lt;60,"Đang đi làm","Nghỉ hưu")))))</f>
        <v/>
      </c>
      <c r="I1569" s="6"/>
      <c r="J1569" s="11" t="str">
        <f aca="false">IF(B1569="","",IFERROR(INDEX('Hộ gia đình'!$B$2:$B$2000,MATCH(B1569,'Hộ gia đình'!$A$2:$A$2000,0)),"Mã hộ không tồn tại"))</f>
        <v/>
      </c>
      <c r="K1569" s="14"/>
      <c r="L1569" s="14"/>
      <c r="M1569" s="6"/>
      <c r="N1569" s="6"/>
      <c r="O1569" s="6"/>
      <c r="P1569" s="6"/>
      <c r="Q1569" s="6"/>
      <c r="R1569" s="12"/>
    </row>
    <row r="1570" customFormat="false" ht="15" hidden="false" customHeight="true" outlineLevel="0" collapsed="false">
      <c r="A1570" s="6"/>
      <c r="B1570" s="6"/>
      <c r="C1570" s="6"/>
      <c r="D1570" s="6"/>
      <c r="E1570" s="13"/>
      <c r="F1570" s="6"/>
      <c r="G1570" s="11" t="str">
        <f aca="true">IF(F1570="","",YEAR(TODAY())-F1570)</f>
        <v/>
      </c>
      <c r="H1570" s="11" t="str">
        <f aca="false">IF(C1570="","",IF(G1570="","Thiếu thông tin",IF(G1570&lt;6,"Trẻ em",IF(G1570&lt;23,"Học sinh / Sinh viên",IF(G1570&lt;60,"Đang đi làm","Nghỉ hưu")))))</f>
        <v/>
      </c>
      <c r="I1570" s="6"/>
      <c r="J1570" s="11" t="str">
        <f aca="false">IF(B1570="","",IFERROR(INDEX('Hộ gia đình'!$B$2:$B$2000,MATCH(B1570,'Hộ gia đình'!$A$2:$A$2000,0)),"Mã hộ không tồn tại"))</f>
        <v/>
      </c>
      <c r="K1570" s="14"/>
      <c r="L1570" s="14"/>
      <c r="M1570" s="6"/>
      <c r="N1570" s="6"/>
      <c r="O1570" s="6"/>
      <c r="P1570" s="6"/>
      <c r="Q1570" s="6"/>
      <c r="R1570" s="12"/>
    </row>
    <row r="1571" customFormat="false" ht="15" hidden="false" customHeight="true" outlineLevel="0" collapsed="false">
      <c r="A1571" s="6"/>
      <c r="B1571" s="6"/>
      <c r="C1571" s="6"/>
      <c r="D1571" s="6"/>
      <c r="E1571" s="13"/>
      <c r="F1571" s="6"/>
      <c r="G1571" s="11" t="str">
        <f aca="true">IF(F1571="","",YEAR(TODAY())-F1571)</f>
        <v/>
      </c>
      <c r="H1571" s="11" t="str">
        <f aca="false">IF(C1571="","",IF(G1571="","Thiếu thông tin",IF(G1571&lt;6,"Trẻ em",IF(G1571&lt;23,"Học sinh / Sinh viên",IF(G1571&lt;60,"Đang đi làm","Nghỉ hưu")))))</f>
        <v/>
      </c>
      <c r="I1571" s="6"/>
      <c r="J1571" s="11" t="str">
        <f aca="false">IF(B1571="","",IFERROR(INDEX('Hộ gia đình'!$B$2:$B$2000,MATCH(B1571,'Hộ gia đình'!$A$2:$A$2000,0)),"Mã hộ không tồn tại"))</f>
        <v/>
      </c>
      <c r="K1571" s="14"/>
      <c r="L1571" s="14"/>
      <c r="M1571" s="6"/>
      <c r="N1571" s="6"/>
      <c r="O1571" s="6"/>
      <c r="P1571" s="6"/>
      <c r="Q1571" s="6"/>
      <c r="R1571" s="12"/>
    </row>
    <row r="1572" customFormat="false" ht="15" hidden="false" customHeight="true" outlineLevel="0" collapsed="false">
      <c r="A1572" s="6"/>
      <c r="B1572" s="6"/>
      <c r="C1572" s="6"/>
      <c r="D1572" s="6"/>
      <c r="E1572" s="13"/>
      <c r="F1572" s="6"/>
      <c r="G1572" s="11" t="str">
        <f aca="true">IF(F1572="","",YEAR(TODAY())-F1572)</f>
        <v/>
      </c>
      <c r="H1572" s="11" t="str">
        <f aca="false">IF(C1572="","",IF(G1572="","Thiếu thông tin",IF(G1572&lt;6,"Trẻ em",IF(G1572&lt;23,"Học sinh / Sinh viên",IF(G1572&lt;60,"Đang đi làm","Nghỉ hưu")))))</f>
        <v/>
      </c>
      <c r="I1572" s="6"/>
      <c r="J1572" s="11" t="str">
        <f aca="false">IF(B1572="","",IFERROR(INDEX('Hộ gia đình'!$B$2:$B$2000,MATCH(B1572,'Hộ gia đình'!$A$2:$A$2000,0)),"Mã hộ không tồn tại"))</f>
        <v/>
      </c>
      <c r="K1572" s="14"/>
      <c r="L1572" s="14"/>
      <c r="M1572" s="6"/>
      <c r="N1572" s="6"/>
      <c r="O1572" s="6"/>
      <c r="P1572" s="6"/>
      <c r="Q1572" s="6"/>
      <c r="R1572" s="12"/>
    </row>
    <row r="1573" customFormat="false" ht="15" hidden="false" customHeight="true" outlineLevel="0" collapsed="false">
      <c r="A1573" s="6"/>
      <c r="B1573" s="6"/>
      <c r="C1573" s="6"/>
      <c r="D1573" s="6"/>
      <c r="E1573" s="13"/>
      <c r="F1573" s="6"/>
      <c r="G1573" s="11" t="str">
        <f aca="true">IF(F1573="","",YEAR(TODAY())-F1573)</f>
        <v/>
      </c>
      <c r="H1573" s="11" t="str">
        <f aca="false">IF(C1573="","",IF(G1573="","Thiếu thông tin",IF(G1573&lt;6,"Trẻ em",IF(G1573&lt;23,"Học sinh / Sinh viên",IF(G1573&lt;60,"Đang đi làm","Nghỉ hưu")))))</f>
        <v/>
      </c>
      <c r="I1573" s="6"/>
      <c r="J1573" s="11" t="str">
        <f aca="false">IF(B1573="","",IFERROR(INDEX('Hộ gia đình'!$B$2:$B$2000,MATCH(B1573,'Hộ gia đình'!$A$2:$A$2000,0)),"Mã hộ không tồn tại"))</f>
        <v/>
      </c>
      <c r="K1573" s="14"/>
      <c r="L1573" s="14"/>
      <c r="M1573" s="6"/>
      <c r="N1573" s="6"/>
      <c r="O1573" s="6"/>
      <c r="P1573" s="6"/>
      <c r="Q1573" s="6"/>
      <c r="R1573" s="12"/>
    </row>
    <row r="1574" customFormat="false" ht="15" hidden="false" customHeight="true" outlineLevel="0" collapsed="false">
      <c r="A1574" s="6"/>
      <c r="B1574" s="6"/>
      <c r="C1574" s="6"/>
      <c r="D1574" s="6"/>
      <c r="E1574" s="13"/>
      <c r="F1574" s="6"/>
      <c r="G1574" s="11" t="str">
        <f aca="true">IF(F1574="","",YEAR(TODAY())-F1574)</f>
        <v/>
      </c>
      <c r="H1574" s="11" t="str">
        <f aca="false">IF(C1574="","",IF(G1574="","Thiếu thông tin",IF(G1574&lt;6,"Trẻ em",IF(G1574&lt;23,"Học sinh / Sinh viên",IF(G1574&lt;60,"Đang đi làm","Nghỉ hưu")))))</f>
        <v/>
      </c>
      <c r="I1574" s="6"/>
      <c r="J1574" s="11" t="str">
        <f aca="false">IF(B1574="","",IFERROR(INDEX('Hộ gia đình'!$B$2:$B$2000,MATCH(B1574,'Hộ gia đình'!$A$2:$A$2000,0)),"Mã hộ không tồn tại"))</f>
        <v/>
      </c>
      <c r="K1574" s="14"/>
      <c r="L1574" s="14"/>
      <c r="M1574" s="6"/>
      <c r="N1574" s="6"/>
      <c r="O1574" s="6"/>
      <c r="P1574" s="6"/>
      <c r="Q1574" s="6"/>
      <c r="R1574" s="12"/>
    </row>
    <row r="1575" customFormat="false" ht="15" hidden="false" customHeight="true" outlineLevel="0" collapsed="false">
      <c r="A1575" s="6"/>
      <c r="B1575" s="6"/>
      <c r="C1575" s="6"/>
      <c r="D1575" s="6"/>
      <c r="E1575" s="13"/>
      <c r="F1575" s="6"/>
      <c r="G1575" s="11" t="str">
        <f aca="true">IF(F1575="","",YEAR(TODAY())-F1575)</f>
        <v/>
      </c>
      <c r="H1575" s="11" t="str">
        <f aca="false">IF(C1575="","",IF(G1575="","Thiếu thông tin",IF(G1575&lt;6,"Trẻ em",IF(G1575&lt;23,"Học sinh / Sinh viên",IF(G1575&lt;60,"Đang đi làm","Nghỉ hưu")))))</f>
        <v/>
      </c>
      <c r="I1575" s="6"/>
      <c r="J1575" s="11" t="str">
        <f aca="false">IF(B1575="","",IFERROR(INDEX('Hộ gia đình'!$B$2:$B$2000,MATCH(B1575,'Hộ gia đình'!$A$2:$A$2000,0)),"Mã hộ không tồn tại"))</f>
        <v/>
      </c>
      <c r="K1575" s="14"/>
      <c r="L1575" s="14"/>
      <c r="M1575" s="6"/>
      <c r="N1575" s="6"/>
      <c r="O1575" s="6"/>
      <c r="P1575" s="6"/>
      <c r="Q1575" s="6"/>
      <c r="R1575" s="12"/>
    </row>
    <row r="1576" customFormat="false" ht="15" hidden="false" customHeight="true" outlineLevel="0" collapsed="false">
      <c r="A1576" s="6"/>
      <c r="B1576" s="6"/>
      <c r="C1576" s="6"/>
      <c r="D1576" s="6"/>
      <c r="E1576" s="13"/>
      <c r="F1576" s="6"/>
      <c r="G1576" s="11" t="str">
        <f aca="true">IF(F1576="","",YEAR(TODAY())-F1576)</f>
        <v/>
      </c>
      <c r="H1576" s="11" t="str">
        <f aca="false">IF(C1576="","",IF(G1576="","Thiếu thông tin",IF(G1576&lt;6,"Trẻ em",IF(G1576&lt;23,"Học sinh / Sinh viên",IF(G1576&lt;60,"Đang đi làm","Nghỉ hưu")))))</f>
        <v/>
      </c>
      <c r="I1576" s="6"/>
      <c r="J1576" s="11" t="str">
        <f aca="false">IF(B1576="","",IFERROR(INDEX('Hộ gia đình'!$B$2:$B$2000,MATCH(B1576,'Hộ gia đình'!$A$2:$A$2000,0)),"Mã hộ không tồn tại"))</f>
        <v/>
      </c>
      <c r="K1576" s="14"/>
      <c r="L1576" s="14"/>
      <c r="M1576" s="6"/>
      <c r="N1576" s="6"/>
      <c r="O1576" s="6"/>
      <c r="P1576" s="6"/>
      <c r="Q1576" s="6"/>
      <c r="R1576" s="12"/>
    </row>
    <row r="1577" customFormat="false" ht="15" hidden="false" customHeight="true" outlineLevel="0" collapsed="false">
      <c r="A1577" s="6"/>
      <c r="B1577" s="6"/>
      <c r="C1577" s="6"/>
      <c r="D1577" s="6"/>
      <c r="E1577" s="13"/>
      <c r="F1577" s="6"/>
      <c r="G1577" s="11" t="str">
        <f aca="true">IF(F1577="","",YEAR(TODAY())-F1577)</f>
        <v/>
      </c>
      <c r="H1577" s="11" t="str">
        <f aca="false">IF(C1577="","",IF(G1577="","Thiếu thông tin",IF(G1577&lt;6,"Trẻ em",IF(G1577&lt;23,"Học sinh / Sinh viên",IF(G1577&lt;60,"Đang đi làm","Nghỉ hưu")))))</f>
        <v/>
      </c>
      <c r="I1577" s="6"/>
      <c r="J1577" s="11" t="str">
        <f aca="false">IF(B1577="","",IFERROR(INDEX('Hộ gia đình'!$B$2:$B$2000,MATCH(B1577,'Hộ gia đình'!$A$2:$A$2000,0)),"Mã hộ không tồn tại"))</f>
        <v/>
      </c>
      <c r="K1577" s="14"/>
      <c r="L1577" s="14"/>
      <c r="M1577" s="6"/>
      <c r="N1577" s="6"/>
      <c r="O1577" s="6"/>
      <c r="P1577" s="6"/>
      <c r="Q1577" s="6"/>
      <c r="R1577" s="12"/>
    </row>
    <row r="1578" customFormat="false" ht="15" hidden="false" customHeight="true" outlineLevel="0" collapsed="false">
      <c r="A1578" s="6"/>
      <c r="B1578" s="6"/>
      <c r="C1578" s="6"/>
      <c r="D1578" s="6"/>
      <c r="E1578" s="13"/>
      <c r="F1578" s="6"/>
      <c r="G1578" s="11" t="str">
        <f aca="true">IF(F1578="","",YEAR(TODAY())-F1578)</f>
        <v/>
      </c>
      <c r="H1578" s="11" t="str">
        <f aca="false">IF(C1578="","",IF(G1578="","Thiếu thông tin",IF(G1578&lt;6,"Trẻ em",IF(G1578&lt;23,"Học sinh / Sinh viên",IF(G1578&lt;60,"Đang đi làm","Nghỉ hưu")))))</f>
        <v/>
      </c>
      <c r="I1578" s="6"/>
      <c r="J1578" s="11" t="str">
        <f aca="false">IF(B1578="","",IFERROR(INDEX('Hộ gia đình'!$B$2:$B$2000,MATCH(B1578,'Hộ gia đình'!$A$2:$A$2000,0)),"Mã hộ không tồn tại"))</f>
        <v/>
      </c>
      <c r="K1578" s="14"/>
      <c r="L1578" s="14"/>
      <c r="M1578" s="6"/>
      <c r="N1578" s="6"/>
      <c r="O1578" s="6"/>
      <c r="P1578" s="6"/>
      <c r="Q1578" s="6"/>
      <c r="R1578" s="12"/>
    </row>
    <row r="1579" customFormat="false" ht="15" hidden="false" customHeight="true" outlineLevel="0" collapsed="false">
      <c r="A1579" s="6"/>
      <c r="B1579" s="6"/>
      <c r="C1579" s="6"/>
      <c r="D1579" s="6"/>
      <c r="E1579" s="13"/>
      <c r="F1579" s="6"/>
      <c r="G1579" s="11" t="str">
        <f aca="true">IF(F1579="","",YEAR(TODAY())-F1579)</f>
        <v/>
      </c>
      <c r="H1579" s="11" t="str">
        <f aca="false">IF(C1579="","",IF(G1579="","Thiếu thông tin",IF(G1579&lt;6,"Trẻ em",IF(G1579&lt;23,"Học sinh / Sinh viên",IF(G1579&lt;60,"Đang đi làm","Nghỉ hưu")))))</f>
        <v/>
      </c>
      <c r="I1579" s="6"/>
      <c r="J1579" s="11" t="str">
        <f aca="false">IF(B1579="","",IFERROR(INDEX('Hộ gia đình'!$B$2:$B$2000,MATCH(B1579,'Hộ gia đình'!$A$2:$A$2000,0)),"Mã hộ không tồn tại"))</f>
        <v/>
      </c>
      <c r="K1579" s="14"/>
      <c r="L1579" s="14"/>
      <c r="M1579" s="6"/>
      <c r="N1579" s="6"/>
      <c r="O1579" s="6"/>
      <c r="P1579" s="6"/>
      <c r="Q1579" s="6"/>
      <c r="R1579" s="12"/>
    </row>
    <row r="1580" customFormat="false" ht="15" hidden="false" customHeight="true" outlineLevel="0" collapsed="false">
      <c r="A1580" s="6"/>
      <c r="B1580" s="6"/>
      <c r="C1580" s="6"/>
      <c r="D1580" s="6"/>
      <c r="E1580" s="13"/>
      <c r="F1580" s="6"/>
      <c r="G1580" s="11" t="str">
        <f aca="true">IF(F1580="","",YEAR(TODAY())-F1580)</f>
        <v/>
      </c>
      <c r="H1580" s="11" t="str">
        <f aca="false">IF(C1580="","",IF(G1580="","Thiếu thông tin",IF(G1580&lt;6,"Trẻ em",IF(G1580&lt;23,"Học sinh / Sinh viên",IF(G1580&lt;60,"Đang đi làm","Nghỉ hưu")))))</f>
        <v/>
      </c>
      <c r="I1580" s="6"/>
      <c r="J1580" s="11" t="str">
        <f aca="false">IF(B1580="","",IFERROR(INDEX('Hộ gia đình'!$B$2:$B$2000,MATCH(B1580,'Hộ gia đình'!$A$2:$A$2000,0)),"Mã hộ không tồn tại"))</f>
        <v/>
      </c>
      <c r="K1580" s="14"/>
      <c r="L1580" s="14"/>
      <c r="M1580" s="6"/>
      <c r="N1580" s="6"/>
      <c r="O1580" s="6"/>
      <c r="P1580" s="6"/>
      <c r="Q1580" s="6"/>
      <c r="R1580" s="12"/>
    </row>
    <row r="1581" customFormat="false" ht="15" hidden="false" customHeight="true" outlineLevel="0" collapsed="false">
      <c r="A1581" s="6"/>
      <c r="B1581" s="6"/>
      <c r="C1581" s="6"/>
      <c r="D1581" s="6"/>
      <c r="E1581" s="13"/>
      <c r="F1581" s="6"/>
      <c r="G1581" s="11" t="str">
        <f aca="true">IF(F1581="","",YEAR(TODAY())-F1581)</f>
        <v/>
      </c>
      <c r="H1581" s="11" t="str">
        <f aca="false">IF(C1581="","",IF(G1581="","Thiếu thông tin",IF(G1581&lt;6,"Trẻ em",IF(G1581&lt;23,"Học sinh / Sinh viên",IF(G1581&lt;60,"Đang đi làm","Nghỉ hưu")))))</f>
        <v/>
      </c>
      <c r="I1581" s="6"/>
      <c r="J1581" s="11" t="str">
        <f aca="false">IF(B1581="","",IFERROR(INDEX('Hộ gia đình'!$B$2:$B$2000,MATCH(B1581,'Hộ gia đình'!$A$2:$A$2000,0)),"Mã hộ không tồn tại"))</f>
        <v/>
      </c>
      <c r="K1581" s="14"/>
      <c r="L1581" s="14"/>
      <c r="M1581" s="6"/>
      <c r="N1581" s="6"/>
      <c r="O1581" s="6"/>
      <c r="P1581" s="6"/>
      <c r="Q1581" s="6"/>
      <c r="R1581" s="12"/>
    </row>
    <row r="1582" customFormat="false" ht="15" hidden="false" customHeight="true" outlineLevel="0" collapsed="false">
      <c r="A1582" s="6"/>
      <c r="B1582" s="6"/>
      <c r="C1582" s="6"/>
      <c r="D1582" s="6"/>
      <c r="E1582" s="13"/>
      <c r="F1582" s="6"/>
      <c r="G1582" s="11" t="str">
        <f aca="true">IF(F1582="","",YEAR(TODAY())-F1582)</f>
        <v/>
      </c>
      <c r="H1582" s="11" t="str">
        <f aca="false">IF(C1582="","",IF(G1582="","Thiếu thông tin",IF(G1582&lt;6,"Trẻ em",IF(G1582&lt;23,"Học sinh / Sinh viên",IF(G1582&lt;60,"Đang đi làm","Nghỉ hưu")))))</f>
        <v/>
      </c>
      <c r="I1582" s="6"/>
      <c r="J1582" s="11" t="str">
        <f aca="false">IF(B1582="","",IFERROR(INDEX('Hộ gia đình'!$B$2:$B$2000,MATCH(B1582,'Hộ gia đình'!$A$2:$A$2000,0)),"Mã hộ không tồn tại"))</f>
        <v/>
      </c>
      <c r="K1582" s="14"/>
      <c r="L1582" s="14"/>
      <c r="M1582" s="6"/>
      <c r="N1582" s="6"/>
      <c r="O1582" s="6"/>
      <c r="P1582" s="6"/>
      <c r="Q1582" s="6"/>
      <c r="R1582" s="12"/>
    </row>
    <row r="1583" customFormat="false" ht="15" hidden="false" customHeight="true" outlineLevel="0" collapsed="false">
      <c r="A1583" s="6"/>
      <c r="B1583" s="6"/>
      <c r="C1583" s="6"/>
      <c r="D1583" s="6"/>
      <c r="E1583" s="13"/>
      <c r="F1583" s="6"/>
      <c r="G1583" s="11" t="str">
        <f aca="true">IF(F1583="","",YEAR(TODAY())-F1583)</f>
        <v/>
      </c>
      <c r="H1583" s="11" t="str">
        <f aca="false">IF(C1583="","",IF(G1583="","Thiếu thông tin",IF(G1583&lt;6,"Trẻ em",IF(G1583&lt;23,"Học sinh / Sinh viên",IF(G1583&lt;60,"Đang đi làm","Nghỉ hưu")))))</f>
        <v/>
      </c>
      <c r="I1583" s="6"/>
      <c r="J1583" s="11" t="str">
        <f aca="false">IF(B1583="","",IFERROR(INDEX('Hộ gia đình'!$B$2:$B$2000,MATCH(B1583,'Hộ gia đình'!$A$2:$A$2000,0)),"Mã hộ không tồn tại"))</f>
        <v/>
      </c>
      <c r="K1583" s="14"/>
      <c r="L1583" s="14"/>
      <c r="M1583" s="6"/>
      <c r="N1583" s="6"/>
      <c r="O1583" s="6"/>
      <c r="P1583" s="6"/>
      <c r="Q1583" s="6"/>
      <c r="R1583" s="12"/>
    </row>
    <row r="1584" customFormat="false" ht="15" hidden="false" customHeight="true" outlineLevel="0" collapsed="false">
      <c r="A1584" s="6"/>
      <c r="B1584" s="6"/>
      <c r="C1584" s="6"/>
      <c r="D1584" s="6"/>
      <c r="E1584" s="13"/>
      <c r="F1584" s="6"/>
      <c r="G1584" s="11" t="str">
        <f aca="true">IF(F1584="","",YEAR(TODAY())-F1584)</f>
        <v/>
      </c>
      <c r="H1584" s="11" t="str">
        <f aca="false">IF(C1584="","",IF(G1584="","Thiếu thông tin",IF(G1584&lt;6,"Trẻ em",IF(G1584&lt;23,"Học sinh / Sinh viên",IF(G1584&lt;60,"Đang đi làm","Nghỉ hưu")))))</f>
        <v/>
      </c>
      <c r="I1584" s="6"/>
      <c r="J1584" s="11" t="str">
        <f aca="false">IF(B1584="","",IFERROR(INDEX('Hộ gia đình'!$B$2:$B$2000,MATCH(B1584,'Hộ gia đình'!$A$2:$A$2000,0)),"Mã hộ không tồn tại"))</f>
        <v/>
      </c>
      <c r="K1584" s="14"/>
      <c r="L1584" s="14"/>
      <c r="M1584" s="6"/>
      <c r="N1584" s="6"/>
      <c r="O1584" s="6"/>
      <c r="P1584" s="6"/>
      <c r="Q1584" s="6"/>
      <c r="R1584" s="12"/>
    </row>
    <row r="1585" customFormat="false" ht="15" hidden="false" customHeight="true" outlineLevel="0" collapsed="false">
      <c r="A1585" s="6"/>
      <c r="B1585" s="6"/>
      <c r="C1585" s="6"/>
      <c r="D1585" s="6"/>
      <c r="E1585" s="13"/>
      <c r="F1585" s="6"/>
      <c r="G1585" s="11" t="str">
        <f aca="true">IF(F1585="","",YEAR(TODAY())-F1585)</f>
        <v/>
      </c>
      <c r="H1585" s="11" t="str">
        <f aca="false">IF(C1585="","",IF(G1585="","Thiếu thông tin",IF(G1585&lt;6,"Trẻ em",IF(G1585&lt;23,"Học sinh / Sinh viên",IF(G1585&lt;60,"Đang đi làm","Nghỉ hưu")))))</f>
        <v/>
      </c>
      <c r="I1585" s="6"/>
      <c r="J1585" s="11" t="str">
        <f aca="false">IF(B1585="","",IFERROR(INDEX('Hộ gia đình'!$B$2:$B$2000,MATCH(B1585,'Hộ gia đình'!$A$2:$A$2000,0)),"Mã hộ không tồn tại"))</f>
        <v/>
      </c>
      <c r="K1585" s="14"/>
      <c r="L1585" s="14"/>
      <c r="M1585" s="6"/>
      <c r="N1585" s="6"/>
      <c r="O1585" s="6"/>
      <c r="P1585" s="6"/>
      <c r="Q1585" s="6"/>
      <c r="R1585" s="12"/>
    </row>
    <row r="1586" customFormat="false" ht="15" hidden="false" customHeight="true" outlineLevel="0" collapsed="false">
      <c r="A1586" s="6"/>
      <c r="B1586" s="6"/>
      <c r="C1586" s="6"/>
      <c r="D1586" s="6"/>
      <c r="E1586" s="13"/>
      <c r="F1586" s="6"/>
      <c r="G1586" s="11" t="str">
        <f aca="true">IF(F1586="","",YEAR(TODAY())-F1586)</f>
        <v/>
      </c>
      <c r="H1586" s="11" t="str">
        <f aca="false">IF(C1586="","",IF(G1586="","Thiếu thông tin",IF(G1586&lt;6,"Trẻ em",IF(G1586&lt;23,"Học sinh / Sinh viên",IF(G1586&lt;60,"Đang đi làm","Nghỉ hưu")))))</f>
        <v/>
      </c>
      <c r="I1586" s="6"/>
      <c r="J1586" s="11" t="str">
        <f aca="false">IF(B1586="","",IFERROR(INDEX('Hộ gia đình'!$B$2:$B$2000,MATCH(B1586,'Hộ gia đình'!$A$2:$A$2000,0)),"Mã hộ không tồn tại"))</f>
        <v/>
      </c>
      <c r="K1586" s="14"/>
      <c r="L1586" s="14"/>
      <c r="M1586" s="6"/>
      <c r="N1586" s="6"/>
      <c r="O1586" s="6"/>
      <c r="P1586" s="6"/>
      <c r="Q1586" s="6"/>
      <c r="R1586" s="12"/>
    </row>
    <row r="1587" customFormat="false" ht="15" hidden="false" customHeight="true" outlineLevel="0" collapsed="false">
      <c r="A1587" s="6"/>
      <c r="B1587" s="6"/>
      <c r="C1587" s="6"/>
      <c r="D1587" s="6"/>
      <c r="E1587" s="13"/>
      <c r="F1587" s="6"/>
      <c r="G1587" s="11" t="str">
        <f aca="true">IF(F1587="","",YEAR(TODAY())-F1587)</f>
        <v/>
      </c>
      <c r="H1587" s="11" t="str">
        <f aca="false">IF(C1587="","",IF(G1587="","Thiếu thông tin",IF(G1587&lt;6,"Trẻ em",IF(G1587&lt;23,"Học sinh / Sinh viên",IF(G1587&lt;60,"Đang đi làm","Nghỉ hưu")))))</f>
        <v/>
      </c>
      <c r="I1587" s="6"/>
      <c r="J1587" s="11" t="str">
        <f aca="false">IF(B1587="","",IFERROR(INDEX('Hộ gia đình'!$B$2:$B$2000,MATCH(B1587,'Hộ gia đình'!$A$2:$A$2000,0)),"Mã hộ không tồn tại"))</f>
        <v/>
      </c>
      <c r="K1587" s="14"/>
      <c r="L1587" s="14"/>
      <c r="M1587" s="6"/>
      <c r="N1587" s="6"/>
      <c r="O1587" s="6"/>
      <c r="P1587" s="6"/>
      <c r="Q1587" s="6"/>
      <c r="R1587" s="12"/>
    </row>
    <row r="1588" customFormat="false" ht="15" hidden="false" customHeight="true" outlineLevel="0" collapsed="false">
      <c r="A1588" s="6"/>
      <c r="B1588" s="6"/>
      <c r="C1588" s="6"/>
      <c r="D1588" s="6"/>
      <c r="E1588" s="13"/>
      <c r="F1588" s="6"/>
      <c r="G1588" s="11" t="str">
        <f aca="true">IF(F1588="","",YEAR(TODAY())-F1588)</f>
        <v/>
      </c>
      <c r="H1588" s="11" t="str">
        <f aca="false">IF(C1588="","",IF(G1588="","Thiếu thông tin",IF(G1588&lt;6,"Trẻ em",IF(G1588&lt;23,"Học sinh / Sinh viên",IF(G1588&lt;60,"Đang đi làm","Nghỉ hưu")))))</f>
        <v/>
      </c>
      <c r="I1588" s="6"/>
      <c r="J1588" s="11" t="str">
        <f aca="false">IF(B1588="","",IFERROR(INDEX('Hộ gia đình'!$B$2:$B$2000,MATCH(B1588,'Hộ gia đình'!$A$2:$A$2000,0)),"Mã hộ không tồn tại"))</f>
        <v/>
      </c>
      <c r="K1588" s="14"/>
      <c r="L1588" s="14"/>
      <c r="M1588" s="6"/>
      <c r="N1588" s="6"/>
      <c r="O1588" s="6"/>
      <c r="P1588" s="6"/>
      <c r="Q1588" s="6"/>
      <c r="R1588" s="12"/>
    </row>
    <row r="1589" customFormat="false" ht="15" hidden="false" customHeight="true" outlineLevel="0" collapsed="false">
      <c r="A1589" s="6"/>
      <c r="B1589" s="6"/>
      <c r="C1589" s="6"/>
      <c r="D1589" s="6"/>
      <c r="E1589" s="13"/>
      <c r="F1589" s="6"/>
      <c r="G1589" s="11" t="str">
        <f aca="true">IF(F1589="","",YEAR(TODAY())-F1589)</f>
        <v/>
      </c>
      <c r="H1589" s="11" t="str">
        <f aca="false">IF(C1589="","",IF(G1589="","Thiếu thông tin",IF(G1589&lt;6,"Trẻ em",IF(G1589&lt;23,"Học sinh / Sinh viên",IF(G1589&lt;60,"Đang đi làm","Nghỉ hưu")))))</f>
        <v/>
      </c>
      <c r="I1589" s="6"/>
      <c r="J1589" s="11" t="str">
        <f aca="false">IF(B1589="","",IFERROR(INDEX('Hộ gia đình'!$B$2:$B$2000,MATCH(B1589,'Hộ gia đình'!$A$2:$A$2000,0)),"Mã hộ không tồn tại"))</f>
        <v/>
      </c>
      <c r="K1589" s="14"/>
      <c r="L1589" s="14"/>
      <c r="M1589" s="6"/>
      <c r="N1589" s="6"/>
      <c r="O1589" s="6"/>
      <c r="P1589" s="6"/>
      <c r="Q1589" s="6"/>
      <c r="R1589" s="12"/>
    </row>
    <row r="1590" customFormat="false" ht="15" hidden="false" customHeight="true" outlineLevel="0" collapsed="false">
      <c r="A1590" s="6"/>
      <c r="B1590" s="6"/>
      <c r="C1590" s="6"/>
      <c r="D1590" s="6"/>
      <c r="E1590" s="13"/>
      <c r="F1590" s="6"/>
      <c r="G1590" s="11" t="str">
        <f aca="true">IF(F1590="","",YEAR(TODAY())-F1590)</f>
        <v/>
      </c>
      <c r="H1590" s="11" t="str">
        <f aca="false">IF(C1590="","",IF(G1590="","Thiếu thông tin",IF(G1590&lt;6,"Trẻ em",IF(G1590&lt;23,"Học sinh / Sinh viên",IF(G1590&lt;60,"Đang đi làm","Nghỉ hưu")))))</f>
        <v/>
      </c>
      <c r="I1590" s="6"/>
      <c r="J1590" s="11" t="str">
        <f aca="false">IF(B1590="","",IFERROR(INDEX('Hộ gia đình'!$B$2:$B$2000,MATCH(B1590,'Hộ gia đình'!$A$2:$A$2000,0)),"Mã hộ không tồn tại"))</f>
        <v/>
      </c>
      <c r="K1590" s="14"/>
      <c r="L1590" s="14"/>
      <c r="M1590" s="6"/>
      <c r="N1590" s="6"/>
      <c r="O1590" s="6"/>
      <c r="P1590" s="6"/>
      <c r="Q1590" s="6"/>
      <c r="R1590" s="12"/>
    </row>
    <row r="1591" customFormat="false" ht="15" hidden="false" customHeight="true" outlineLevel="0" collapsed="false">
      <c r="A1591" s="6"/>
      <c r="B1591" s="6"/>
      <c r="C1591" s="6"/>
      <c r="D1591" s="6"/>
      <c r="E1591" s="13"/>
      <c r="F1591" s="6"/>
      <c r="G1591" s="11" t="str">
        <f aca="true">IF(F1591="","",YEAR(TODAY())-F1591)</f>
        <v/>
      </c>
      <c r="H1591" s="11" t="str">
        <f aca="false">IF(C1591="","",IF(G1591="","Thiếu thông tin",IF(G1591&lt;6,"Trẻ em",IF(G1591&lt;23,"Học sinh / Sinh viên",IF(G1591&lt;60,"Đang đi làm","Nghỉ hưu")))))</f>
        <v/>
      </c>
      <c r="I1591" s="6"/>
      <c r="J1591" s="11" t="str">
        <f aca="false">IF(B1591="","",IFERROR(INDEX('Hộ gia đình'!$B$2:$B$2000,MATCH(B1591,'Hộ gia đình'!$A$2:$A$2000,0)),"Mã hộ không tồn tại"))</f>
        <v/>
      </c>
      <c r="K1591" s="14"/>
      <c r="L1591" s="14"/>
      <c r="M1591" s="6"/>
      <c r="N1591" s="6"/>
      <c r="O1591" s="6"/>
      <c r="P1591" s="6"/>
      <c r="Q1591" s="6"/>
      <c r="R1591" s="12"/>
    </row>
    <row r="1592" customFormat="false" ht="15" hidden="false" customHeight="true" outlineLevel="0" collapsed="false">
      <c r="A1592" s="6"/>
      <c r="B1592" s="6"/>
      <c r="C1592" s="6"/>
      <c r="D1592" s="6"/>
      <c r="E1592" s="13"/>
      <c r="F1592" s="6"/>
      <c r="G1592" s="11" t="str">
        <f aca="true">IF(F1592="","",YEAR(TODAY())-F1592)</f>
        <v/>
      </c>
      <c r="H1592" s="11" t="str">
        <f aca="false">IF(C1592="","",IF(G1592="","Thiếu thông tin",IF(G1592&lt;6,"Trẻ em",IF(G1592&lt;23,"Học sinh / Sinh viên",IF(G1592&lt;60,"Đang đi làm","Nghỉ hưu")))))</f>
        <v/>
      </c>
      <c r="I1592" s="6"/>
      <c r="J1592" s="11" t="str">
        <f aca="false">IF(B1592="","",IFERROR(INDEX('Hộ gia đình'!$B$2:$B$2000,MATCH(B1592,'Hộ gia đình'!$A$2:$A$2000,0)),"Mã hộ không tồn tại"))</f>
        <v/>
      </c>
      <c r="K1592" s="14"/>
      <c r="L1592" s="14"/>
      <c r="M1592" s="6"/>
      <c r="N1592" s="6"/>
      <c r="O1592" s="6"/>
      <c r="P1592" s="6"/>
      <c r="Q1592" s="6"/>
      <c r="R1592" s="12"/>
    </row>
    <row r="1593" customFormat="false" ht="15" hidden="false" customHeight="true" outlineLevel="0" collapsed="false">
      <c r="A1593" s="6"/>
      <c r="B1593" s="6"/>
      <c r="C1593" s="6"/>
      <c r="D1593" s="6"/>
      <c r="E1593" s="13"/>
      <c r="F1593" s="6"/>
      <c r="G1593" s="11" t="str">
        <f aca="true">IF(F1593="","",YEAR(TODAY())-F1593)</f>
        <v/>
      </c>
      <c r="H1593" s="11" t="str">
        <f aca="false">IF(C1593="","",IF(G1593="","Thiếu thông tin",IF(G1593&lt;6,"Trẻ em",IF(G1593&lt;23,"Học sinh / Sinh viên",IF(G1593&lt;60,"Đang đi làm","Nghỉ hưu")))))</f>
        <v/>
      </c>
      <c r="I1593" s="6"/>
      <c r="J1593" s="11" t="str">
        <f aca="false">IF(B1593="","",IFERROR(INDEX('Hộ gia đình'!$B$2:$B$2000,MATCH(B1593,'Hộ gia đình'!$A$2:$A$2000,0)),"Mã hộ không tồn tại"))</f>
        <v/>
      </c>
      <c r="K1593" s="14"/>
      <c r="L1593" s="14"/>
      <c r="M1593" s="6"/>
      <c r="N1593" s="6"/>
      <c r="O1593" s="6"/>
      <c r="P1593" s="6"/>
      <c r="Q1593" s="6"/>
      <c r="R1593" s="12"/>
    </row>
    <row r="1594" customFormat="false" ht="15" hidden="false" customHeight="true" outlineLevel="0" collapsed="false">
      <c r="A1594" s="6"/>
      <c r="B1594" s="6"/>
      <c r="C1594" s="6"/>
      <c r="D1594" s="6"/>
      <c r="E1594" s="13"/>
      <c r="F1594" s="6"/>
      <c r="G1594" s="11" t="str">
        <f aca="true">IF(F1594="","",YEAR(TODAY())-F1594)</f>
        <v/>
      </c>
      <c r="H1594" s="11" t="str">
        <f aca="false">IF(C1594="","",IF(G1594="","Thiếu thông tin",IF(G1594&lt;6,"Trẻ em",IF(G1594&lt;23,"Học sinh / Sinh viên",IF(G1594&lt;60,"Đang đi làm","Nghỉ hưu")))))</f>
        <v/>
      </c>
      <c r="I1594" s="6"/>
      <c r="J1594" s="11" t="str">
        <f aca="false">IF(B1594="","",IFERROR(INDEX('Hộ gia đình'!$B$2:$B$2000,MATCH(B1594,'Hộ gia đình'!$A$2:$A$2000,0)),"Mã hộ không tồn tại"))</f>
        <v/>
      </c>
      <c r="K1594" s="14"/>
      <c r="L1594" s="14"/>
      <c r="M1594" s="6"/>
      <c r="N1594" s="6"/>
      <c r="O1594" s="6"/>
      <c r="P1594" s="6"/>
      <c r="Q1594" s="6"/>
      <c r="R1594" s="12"/>
    </row>
    <row r="1595" customFormat="false" ht="15" hidden="false" customHeight="true" outlineLevel="0" collapsed="false">
      <c r="A1595" s="6"/>
      <c r="B1595" s="6"/>
      <c r="C1595" s="6"/>
      <c r="D1595" s="6"/>
      <c r="E1595" s="13"/>
      <c r="F1595" s="6"/>
      <c r="G1595" s="11" t="str">
        <f aca="true">IF(F1595="","",YEAR(TODAY())-F1595)</f>
        <v/>
      </c>
      <c r="H1595" s="11" t="str">
        <f aca="false">IF(C1595="","",IF(G1595="","Thiếu thông tin",IF(G1595&lt;6,"Trẻ em",IF(G1595&lt;23,"Học sinh / Sinh viên",IF(G1595&lt;60,"Đang đi làm","Nghỉ hưu")))))</f>
        <v/>
      </c>
      <c r="I1595" s="6"/>
      <c r="J1595" s="11" t="str">
        <f aca="false">IF(B1595="","",IFERROR(INDEX('Hộ gia đình'!$B$2:$B$2000,MATCH(B1595,'Hộ gia đình'!$A$2:$A$2000,0)),"Mã hộ không tồn tại"))</f>
        <v/>
      </c>
      <c r="K1595" s="14"/>
      <c r="L1595" s="14"/>
      <c r="M1595" s="6"/>
      <c r="N1595" s="6"/>
      <c r="O1595" s="6"/>
      <c r="P1595" s="6"/>
      <c r="Q1595" s="6"/>
      <c r="R1595" s="12"/>
    </row>
    <row r="1596" customFormat="false" ht="15" hidden="false" customHeight="true" outlineLevel="0" collapsed="false">
      <c r="A1596" s="6"/>
      <c r="B1596" s="6"/>
      <c r="C1596" s="6"/>
      <c r="D1596" s="6"/>
      <c r="E1596" s="13"/>
      <c r="F1596" s="6"/>
      <c r="G1596" s="11" t="str">
        <f aca="true">IF(F1596="","",YEAR(TODAY())-F1596)</f>
        <v/>
      </c>
      <c r="H1596" s="11" t="str">
        <f aca="false">IF(C1596="","",IF(G1596="","Thiếu thông tin",IF(G1596&lt;6,"Trẻ em",IF(G1596&lt;23,"Học sinh / Sinh viên",IF(G1596&lt;60,"Đang đi làm","Nghỉ hưu")))))</f>
        <v/>
      </c>
      <c r="I1596" s="6"/>
      <c r="J1596" s="11" t="str">
        <f aca="false">IF(B1596="","",IFERROR(INDEX('Hộ gia đình'!$B$2:$B$2000,MATCH(B1596,'Hộ gia đình'!$A$2:$A$2000,0)),"Mã hộ không tồn tại"))</f>
        <v/>
      </c>
      <c r="K1596" s="14"/>
      <c r="L1596" s="14"/>
      <c r="M1596" s="6"/>
      <c r="N1596" s="6"/>
      <c r="O1596" s="6"/>
      <c r="P1596" s="6"/>
      <c r="Q1596" s="6"/>
      <c r="R1596" s="12"/>
    </row>
    <row r="1597" customFormat="false" ht="15" hidden="false" customHeight="true" outlineLevel="0" collapsed="false">
      <c r="A1597" s="6"/>
      <c r="B1597" s="6"/>
      <c r="C1597" s="6"/>
      <c r="D1597" s="6"/>
      <c r="E1597" s="13"/>
      <c r="F1597" s="6"/>
      <c r="G1597" s="11" t="str">
        <f aca="true">IF(F1597="","",YEAR(TODAY())-F1597)</f>
        <v/>
      </c>
      <c r="H1597" s="11" t="str">
        <f aca="false">IF(C1597="","",IF(G1597="","Thiếu thông tin",IF(G1597&lt;6,"Trẻ em",IF(G1597&lt;23,"Học sinh / Sinh viên",IF(G1597&lt;60,"Đang đi làm","Nghỉ hưu")))))</f>
        <v/>
      </c>
      <c r="I1597" s="6"/>
      <c r="J1597" s="11" t="str">
        <f aca="false">IF(B1597="","",IFERROR(INDEX('Hộ gia đình'!$B$2:$B$2000,MATCH(B1597,'Hộ gia đình'!$A$2:$A$2000,0)),"Mã hộ không tồn tại"))</f>
        <v/>
      </c>
      <c r="K1597" s="14"/>
      <c r="L1597" s="14"/>
      <c r="M1597" s="6"/>
      <c r="N1597" s="6"/>
      <c r="O1597" s="6"/>
      <c r="P1597" s="6"/>
      <c r="Q1597" s="6"/>
      <c r="R1597" s="12"/>
    </row>
    <row r="1598" customFormat="false" ht="15" hidden="false" customHeight="true" outlineLevel="0" collapsed="false">
      <c r="A1598" s="6"/>
      <c r="B1598" s="6"/>
      <c r="C1598" s="6"/>
      <c r="D1598" s="6"/>
      <c r="E1598" s="13"/>
      <c r="F1598" s="6"/>
      <c r="G1598" s="11" t="str">
        <f aca="true">IF(F1598="","",YEAR(TODAY())-F1598)</f>
        <v/>
      </c>
      <c r="H1598" s="11" t="str">
        <f aca="false">IF(C1598="","",IF(G1598="","Thiếu thông tin",IF(G1598&lt;6,"Trẻ em",IF(G1598&lt;23,"Học sinh / Sinh viên",IF(G1598&lt;60,"Đang đi làm","Nghỉ hưu")))))</f>
        <v/>
      </c>
      <c r="I1598" s="6"/>
      <c r="J1598" s="11" t="str">
        <f aca="false">IF(B1598="","",IFERROR(INDEX('Hộ gia đình'!$B$2:$B$2000,MATCH(B1598,'Hộ gia đình'!$A$2:$A$2000,0)),"Mã hộ không tồn tại"))</f>
        <v/>
      </c>
      <c r="K1598" s="14"/>
      <c r="L1598" s="14"/>
      <c r="M1598" s="6"/>
      <c r="N1598" s="6"/>
      <c r="O1598" s="6"/>
      <c r="P1598" s="6"/>
      <c r="Q1598" s="6"/>
      <c r="R1598" s="12"/>
    </row>
    <row r="1599" customFormat="false" ht="15" hidden="false" customHeight="true" outlineLevel="0" collapsed="false">
      <c r="A1599" s="6"/>
      <c r="B1599" s="6"/>
      <c r="C1599" s="6"/>
      <c r="D1599" s="6"/>
      <c r="E1599" s="13"/>
      <c r="F1599" s="6"/>
      <c r="G1599" s="11" t="str">
        <f aca="true">IF(F1599="","",YEAR(TODAY())-F1599)</f>
        <v/>
      </c>
      <c r="H1599" s="11" t="str">
        <f aca="false">IF(C1599="","",IF(G1599="","Thiếu thông tin",IF(G1599&lt;6,"Trẻ em",IF(G1599&lt;23,"Học sinh / Sinh viên",IF(G1599&lt;60,"Đang đi làm","Nghỉ hưu")))))</f>
        <v/>
      </c>
      <c r="I1599" s="6"/>
      <c r="J1599" s="11" t="str">
        <f aca="false">IF(B1599="","",IFERROR(INDEX('Hộ gia đình'!$B$2:$B$2000,MATCH(B1599,'Hộ gia đình'!$A$2:$A$2000,0)),"Mã hộ không tồn tại"))</f>
        <v/>
      </c>
      <c r="K1599" s="14"/>
      <c r="L1599" s="14"/>
      <c r="M1599" s="6"/>
      <c r="N1599" s="6"/>
      <c r="O1599" s="6"/>
      <c r="P1599" s="6"/>
      <c r="Q1599" s="6"/>
      <c r="R1599" s="12"/>
    </row>
    <row r="1600" customFormat="false" ht="15" hidden="false" customHeight="true" outlineLevel="0" collapsed="false">
      <c r="A1600" s="6"/>
      <c r="B1600" s="6"/>
      <c r="C1600" s="6"/>
      <c r="D1600" s="6"/>
      <c r="E1600" s="13"/>
      <c r="F1600" s="6"/>
      <c r="G1600" s="11" t="str">
        <f aca="true">IF(F1600="","",YEAR(TODAY())-F1600)</f>
        <v/>
      </c>
      <c r="H1600" s="11" t="str">
        <f aca="false">IF(C1600="","",IF(G1600="","Thiếu thông tin",IF(G1600&lt;6,"Trẻ em",IF(G1600&lt;23,"Học sinh / Sinh viên",IF(G1600&lt;60,"Đang đi làm","Nghỉ hưu")))))</f>
        <v/>
      </c>
      <c r="I1600" s="6"/>
      <c r="J1600" s="11" t="str">
        <f aca="false">IF(B1600="","",IFERROR(INDEX('Hộ gia đình'!$B$2:$B$2000,MATCH(B1600,'Hộ gia đình'!$A$2:$A$2000,0)),"Mã hộ không tồn tại"))</f>
        <v/>
      </c>
      <c r="K1600" s="14"/>
      <c r="L1600" s="14"/>
      <c r="M1600" s="6"/>
      <c r="N1600" s="6"/>
      <c r="O1600" s="6"/>
      <c r="P1600" s="6"/>
      <c r="Q1600" s="6"/>
      <c r="R1600" s="12"/>
    </row>
    <row r="1601" customFormat="false" ht="15" hidden="false" customHeight="true" outlineLevel="0" collapsed="false">
      <c r="A1601" s="6"/>
      <c r="B1601" s="6"/>
      <c r="C1601" s="6"/>
      <c r="D1601" s="6"/>
      <c r="E1601" s="13"/>
      <c r="F1601" s="6"/>
      <c r="G1601" s="11" t="str">
        <f aca="true">IF(F1601="","",YEAR(TODAY())-F1601)</f>
        <v/>
      </c>
      <c r="H1601" s="11" t="str">
        <f aca="false">IF(C1601="","",IF(G1601="","Thiếu thông tin",IF(G1601&lt;6,"Trẻ em",IF(G1601&lt;23,"Học sinh / Sinh viên",IF(G1601&lt;60,"Đang đi làm","Nghỉ hưu")))))</f>
        <v/>
      </c>
      <c r="I1601" s="6"/>
      <c r="J1601" s="11" t="str">
        <f aca="false">IF(B1601="","",IFERROR(INDEX('Hộ gia đình'!$B$2:$B$2000,MATCH(B1601,'Hộ gia đình'!$A$2:$A$2000,0)),"Mã hộ không tồn tại"))</f>
        <v/>
      </c>
      <c r="K1601" s="14"/>
      <c r="L1601" s="14"/>
      <c r="M1601" s="6"/>
      <c r="N1601" s="6"/>
      <c r="O1601" s="6"/>
      <c r="P1601" s="6"/>
      <c r="Q1601" s="6"/>
      <c r="R1601" s="12"/>
    </row>
    <row r="1602" customFormat="false" ht="15" hidden="false" customHeight="true" outlineLevel="0" collapsed="false">
      <c r="A1602" s="6"/>
      <c r="B1602" s="6"/>
      <c r="C1602" s="6"/>
      <c r="D1602" s="6"/>
      <c r="E1602" s="13"/>
      <c r="F1602" s="6"/>
      <c r="G1602" s="11" t="str">
        <f aca="true">IF(F1602="","",YEAR(TODAY())-F1602)</f>
        <v/>
      </c>
      <c r="H1602" s="11" t="str">
        <f aca="false">IF(C1602="","",IF(G1602="","Thiếu thông tin",IF(G1602&lt;6,"Trẻ em",IF(G1602&lt;23,"Học sinh / Sinh viên",IF(G1602&lt;60,"Đang đi làm","Nghỉ hưu")))))</f>
        <v/>
      </c>
      <c r="I1602" s="6"/>
      <c r="J1602" s="11" t="str">
        <f aca="false">IF(B1602="","",IFERROR(INDEX('Hộ gia đình'!$B$2:$B$2000,MATCH(B1602,'Hộ gia đình'!$A$2:$A$2000,0)),"Mã hộ không tồn tại"))</f>
        <v/>
      </c>
      <c r="K1602" s="14"/>
      <c r="L1602" s="14"/>
      <c r="M1602" s="6"/>
      <c r="N1602" s="6"/>
      <c r="O1602" s="6"/>
      <c r="P1602" s="6"/>
      <c r="Q1602" s="6"/>
      <c r="R1602" s="12"/>
    </row>
    <row r="1603" customFormat="false" ht="15" hidden="false" customHeight="true" outlineLevel="0" collapsed="false">
      <c r="A1603" s="6"/>
      <c r="B1603" s="6"/>
      <c r="C1603" s="6"/>
      <c r="D1603" s="6"/>
      <c r="E1603" s="13"/>
      <c r="F1603" s="6"/>
      <c r="G1603" s="11" t="str">
        <f aca="true">IF(F1603="","",YEAR(TODAY())-F1603)</f>
        <v/>
      </c>
      <c r="H1603" s="11" t="str">
        <f aca="false">IF(C1603="","",IF(G1603="","Thiếu thông tin",IF(G1603&lt;6,"Trẻ em",IF(G1603&lt;23,"Học sinh / Sinh viên",IF(G1603&lt;60,"Đang đi làm","Nghỉ hưu")))))</f>
        <v/>
      </c>
      <c r="I1603" s="6"/>
      <c r="J1603" s="11" t="str">
        <f aca="false">IF(B1603="","",IFERROR(INDEX('Hộ gia đình'!$B$2:$B$2000,MATCH(B1603,'Hộ gia đình'!$A$2:$A$2000,0)),"Mã hộ không tồn tại"))</f>
        <v/>
      </c>
      <c r="K1603" s="14"/>
      <c r="L1603" s="14"/>
      <c r="M1603" s="6"/>
      <c r="N1603" s="6"/>
      <c r="O1603" s="6"/>
      <c r="P1603" s="6"/>
      <c r="Q1603" s="6"/>
      <c r="R1603" s="12"/>
    </row>
    <row r="1604" customFormat="false" ht="15" hidden="false" customHeight="true" outlineLevel="0" collapsed="false">
      <c r="A1604" s="6"/>
      <c r="B1604" s="6"/>
      <c r="C1604" s="6"/>
      <c r="D1604" s="6"/>
      <c r="E1604" s="13"/>
      <c r="F1604" s="6"/>
      <c r="G1604" s="11" t="str">
        <f aca="true">IF(F1604="","",YEAR(TODAY())-F1604)</f>
        <v/>
      </c>
      <c r="H1604" s="11" t="str">
        <f aca="false">IF(C1604="","",IF(G1604="","Thiếu thông tin",IF(G1604&lt;6,"Trẻ em",IF(G1604&lt;23,"Học sinh / Sinh viên",IF(G1604&lt;60,"Đang đi làm","Nghỉ hưu")))))</f>
        <v/>
      </c>
      <c r="I1604" s="6"/>
      <c r="J1604" s="11" t="str">
        <f aca="false">IF(B1604="","",IFERROR(INDEX('Hộ gia đình'!$B$2:$B$2000,MATCH(B1604,'Hộ gia đình'!$A$2:$A$2000,0)),"Mã hộ không tồn tại"))</f>
        <v/>
      </c>
      <c r="K1604" s="14"/>
      <c r="L1604" s="14"/>
      <c r="M1604" s="6"/>
      <c r="N1604" s="6"/>
      <c r="O1604" s="6"/>
      <c r="P1604" s="6"/>
      <c r="Q1604" s="6"/>
      <c r="R1604" s="12"/>
    </row>
    <row r="1605" customFormat="false" ht="15" hidden="false" customHeight="true" outlineLevel="0" collapsed="false">
      <c r="A1605" s="6"/>
      <c r="B1605" s="6"/>
      <c r="C1605" s="6"/>
      <c r="D1605" s="6"/>
      <c r="E1605" s="13"/>
      <c r="F1605" s="6"/>
      <c r="G1605" s="11" t="str">
        <f aca="true">IF(F1605="","",YEAR(TODAY())-F1605)</f>
        <v/>
      </c>
      <c r="H1605" s="11" t="str">
        <f aca="false">IF(C1605="","",IF(G1605="","Thiếu thông tin",IF(G1605&lt;6,"Trẻ em",IF(G1605&lt;23,"Học sinh / Sinh viên",IF(G1605&lt;60,"Đang đi làm","Nghỉ hưu")))))</f>
        <v/>
      </c>
      <c r="I1605" s="6"/>
      <c r="J1605" s="11" t="str">
        <f aca="false">IF(B1605="","",IFERROR(INDEX('Hộ gia đình'!$B$2:$B$2000,MATCH(B1605,'Hộ gia đình'!$A$2:$A$2000,0)),"Mã hộ không tồn tại"))</f>
        <v/>
      </c>
      <c r="K1605" s="14"/>
      <c r="L1605" s="14"/>
      <c r="M1605" s="6"/>
      <c r="N1605" s="6"/>
      <c r="O1605" s="6"/>
      <c r="P1605" s="6"/>
      <c r="Q1605" s="6"/>
      <c r="R1605" s="12"/>
    </row>
    <row r="1606" customFormat="false" ht="15" hidden="false" customHeight="true" outlineLevel="0" collapsed="false">
      <c r="A1606" s="6"/>
      <c r="B1606" s="6"/>
      <c r="C1606" s="6"/>
      <c r="D1606" s="6"/>
      <c r="E1606" s="13"/>
      <c r="F1606" s="6"/>
      <c r="G1606" s="11" t="str">
        <f aca="true">IF(F1606="","",YEAR(TODAY())-F1606)</f>
        <v/>
      </c>
      <c r="H1606" s="11" t="str">
        <f aca="false">IF(C1606="","",IF(G1606="","Thiếu thông tin",IF(G1606&lt;6,"Trẻ em",IF(G1606&lt;23,"Học sinh / Sinh viên",IF(G1606&lt;60,"Đang đi làm","Nghỉ hưu")))))</f>
        <v/>
      </c>
      <c r="I1606" s="6"/>
      <c r="J1606" s="11" t="str">
        <f aca="false">IF(B1606="","",IFERROR(INDEX('Hộ gia đình'!$B$2:$B$2000,MATCH(B1606,'Hộ gia đình'!$A$2:$A$2000,0)),"Mã hộ không tồn tại"))</f>
        <v/>
      </c>
      <c r="K1606" s="14"/>
      <c r="L1606" s="14"/>
      <c r="M1606" s="6"/>
      <c r="N1606" s="6"/>
      <c r="O1606" s="6"/>
      <c r="P1606" s="6"/>
      <c r="Q1606" s="6"/>
      <c r="R1606" s="12"/>
    </row>
    <row r="1607" customFormat="false" ht="15" hidden="false" customHeight="true" outlineLevel="0" collapsed="false">
      <c r="A1607" s="6"/>
      <c r="B1607" s="6"/>
      <c r="C1607" s="6"/>
      <c r="D1607" s="6"/>
      <c r="E1607" s="13"/>
      <c r="F1607" s="6"/>
      <c r="G1607" s="11" t="str">
        <f aca="true">IF(F1607="","",YEAR(TODAY())-F1607)</f>
        <v/>
      </c>
      <c r="H1607" s="11" t="str">
        <f aca="false">IF(C1607="","",IF(G1607="","Thiếu thông tin",IF(G1607&lt;6,"Trẻ em",IF(G1607&lt;23,"Học sinh / Sinh viên",IF(G1607&lt;60,"Đang đi làm","Nghỉ hưu")))))</f>
        <v/>
      </c>
      <c r="I1607" s="6"/>
      <c r="J1607" s="11" t="str">
        <f aca="false">IF(B1607="","",IFERROR(INDEX('Hộ gia đình'!$B$2:$B$2000,MATCH(B1607,'Hộ gia đình'!$A$2:$A$2000,0)),"Mã hộ không tồn tại"))</f>
        <v/>
      </c>
      <c r="K1607" s="14"/>
      <c r="L1607" s="14"/>
      <c r="M1607" s="6"/>
      <c r="N1607" s="6"/>
      <c r="O1607" s="6"/>
      <c r="P1607" s="6"/>
      <c r="Q1607" s="6"/>
      <c r="R1607" s="12"/>
    </row>
    <row r="1608" customFormat="false" ht="15" hidden="false" customHeight="true" outlineLevel="0" collapsed="false">
      <c r="A1608" s="6"/>
      <c r="B1608" s="6"/>
      <c r="C1608" s="6"/>
      <c r="D1608" s="6"/>
      <c r="E1608" s="13"/>
      <c r="F1608" s="6"/>
      <c r="G1608" s="11" t="str">
        <f aca="true">IF(F1608="","",YEAR(TODAY())-F1608)</f>
        <v/>
      </c>
      <c r="H1608" s="11" t="str">
        <f aca="false">IF(C1608="","",IF(G1608="","Thiếu thông tin",IF(G1608&lt;6,"Trẻ em",IF(G1608&lt;23,"Học sinh / Sinh viên",IF(G1608&lt;60,"Đang đi làm","Nghỉ hưu")))))</f>
        <v/>
      </c>
      <c r="I1608" s="6"/>
      <c r="J1608" s="11" t="str">
        <f aca="false">IF(B1608="","",IFERROR(INDEX('Hộ gia đình'!$B$2:$B$2000,MATCH(B1608,'Hộ gia đình'!$A$2:$A$2000,0)),"Mã hộ không tồn tại"))</f>
        <v/>
      </c>
      <c r="K1608" s="14"/>
      <c r="L1608" s="14"/>
      <c r="M1608" s="6"/>
      <c r="N1608" s="6"/>
      <c r="O1608" s="6"/>
      <c r="P1608" s="6"/>
      <c r="Q1608" s="6"/>
      <c r="R1608" s="12"/>
    </row>
    <row r="1609" customFormat="false" ht="15" hidden="false" customHeight="true" outlineLevel="0" collapsed="false">
      <c r="A1609" s="6"/>
      <c r="B1609" s="6"/>
      <c r="C1609" s="6"/>
      <c r="D1609" s="6"/>
      <c r="E1609" s="13"/>
      <c r="F1609" s="6"/>
      <c r="G1609" s="11" t="str">
        <f aca="true">IF(F1609="","",YEAR(TODAY())-F1609)</f>
        <v/>
      </c>
      <c r="H1609" s="11" t="str">
        <f aca="false">IF(C1609="","",IF(G1609="","Thiếu thông tin",IF(G1609&lt;6,"Trẻ em",IF(G1609&lt;23,"Học sinh / Sinh viên",IF(G1609&lt;60,"Đang đi làm","Nghỉ hưu")))))</f>
        <v/>
      </c>
      <c r="I1609" s="6"/>
      <c r="J1609" s="11" t="str">
        <f aca="false">IF(B1609="","",IFERROR(INDEX('Hộ gia đình'!$B$2:$B$2000,MATCH(B1609,'Hộ gia đình'!$A$2:$A$2000,0)),"Mã hộ không tồn tại"))</f>
        <v/>
      </c>
      <c r="K1609" s="14"/>
      <c r="L1609" s="14"/>
      <c r="M1609" s="6"/>
      <c r="N1609" s="6"/>
      <c r="O1609" s="6"/>
      <c r="P1609" s="6"/>
      <c r="Q1609" s="6"/>
      <c r="R1609" s="12"/>
    </row>
    <row r="1610" customFormat="false" ht="15" hidden="false" customHeight="true" outlineLevel="0" collapsed="false">
      <c r="A1610" s="6"/>
      <c r="B1610" s="6"/>
      <c r="C1610" s="6"/>
      <c r="D1610" s="6"/>
      <c r="E1610" s="13"/>
      <c r="F1610" s="6"/>
      <c r="G1610" s="11" t="str">
        <f aca="true">IF(F1610="","",YEAR(TODAY())-F1610)</f>
        <v/>
      </c>
      <c r="H1610" s="11" t="str">
        <f aca="false">IF(C1610="","",IF(G1610="","Thiếu thông tin",IF(G1610&lt;6,"Trẻ em",IF(G1610&lt;23,"Học sinh / Sinh viên",IF(G1610&lt;60,"Đang đi làm","Nghỉ hưu")))))</f>
        <v/>
      </c>
      <c r="I1610" s="6"/>
      <c r="J1610" s="11" t="str">
        <f aca="false">IF(B1610="","",IFERROR(INDEX('Hộ gia đình'!$B$2:$B$2000,MATCH(B1610,'Hộ gia đình'!$A$2:$A$2000,0)),"Mã hộ không tồn tại"))</f>
        <v/>
      </c>
      <c r="K1610" s="14"/>
      <c r="L1610" s="14"/>
      <c r="M1610" s="6"/>
      <c r="N1610" s="6"/>
      <c r="O1610" s="6"/>
      <c r="P1610" s="6"/>
      <c r="Q1610" s="6"/>
      <c r="R1610" s="12"/>
    </row>
    <row r="1611" customFormat="false" ht="15" hidden="false" customHeight="true" outlineLevel="0" collapsed="false">
      <c r="A1611" s="6"/>
      <c r="B1611" s="6"/>
      <c r="C1611" s="6"/>
      <c r="D1611" s="6"/>
      <c r="E1611" s="13"/>
      <c r="F1611" s="6"/>
      <c r="G1611" s="11" t="str">
        <f aca="true">IF(F1611="","",YEAR(TODAY())-F1611)</f>
        <v/>
      </c>
      <c r="H1611" s="11" t="str">
        <f aca="false">IF(C1611="","",IF(G1611="","Thiếu thông tin",IF(G1611&lt;6,"Trẻ em",IF(G1611&lt;23,"Học sinh / Sinh viên",IF(G1611&lt;60,"Đang đi làm","Nghỉ hưu")))))</f>
        <v/>
      </c>
      <c r="I1611" s="6"/>
      <c r="J1611" s="11" t="str">
        <f aca="false">IF(B1611="","",IFERROR(INDEX('Hộ gia đình'!$B$2:$B$2000,MATCH(B1611,'Hộ gia đình'!$A$2:$A$2000,0)),"Mã hộ không tồn tại"))</f>
        <v/>
      </c>
      <c r="K1611" s="14"/>
      <c r="L1611" s="14"/>
      <c r="M1611" s="6"/>
      <c r="N1611" s="6"/>
      <c r="O1611" s="6"/>
      <c r="P1611" s="6"/>
      <c r="Q1611" s="6"/>
      <c r="R1611" s="12"/>
    </row>
    <row r="1612" customFormat="false" ht="15" hidden="false" customHeight="true" outlineLevel="0" collapsed="false">
      <c r="A1612" s="6"/>
      <c r="B1612" s="6"/>
      <c r="C1612" s="6"/>
      <c r="D1612" s="6"/>
      <c r="E1612" s="13"/>
      <c r="F1612" s="6"/>
      <c r="G1612" s="11" t="str">
        <f aca="true">IF(F1612="","",YEAR(TODAY())-F1612)</f>
        <v/>
      </c>
      <c r="H1612" s="11" t="str">
        <f aca="false">IF(C1612="","",IF(G1612="","Thiếu thông tin",IF(G1612&lt;6,"Trẻ em",IF(G1612&lt;23,"Học sinh / Sinh viên",IF(G1612&lt;60,"Đang đi làm","Nghỉ hưu")))))</f>
        <v/>
      </c>
      <c r="I1612" s="6"/>
      <c r="J1612" s="11" t="str">
        <f aca="false">IF(B1612="","",IFERROR(INDEX('Hộ gia đình'!$B$2:$B$2000,MATCH(B1612,'Hộ gia đình'!$A$2:$A$2000,0)),"Mã hộ không tồn tại"))</f>
        <v/>
      </c>
      <c r="K1612" s="14"/>
      <c r="L1612" s="14"/>
      <c r="M1612" s="6"/>
      <c r="N1612" s="6"/>
      <c r="O1612" s="6"/>
      <c r="P1612" s="6"/>
      <c r="Q1612" s="6"/>
      <c r="R1612" s="12"/>
    </row>
    <row r="1613" customFormat="false" ht="15" hidden="false" customHeight="true" outlineLevel="0" collapsed="false">
      <c r="A1613" s="6"/>
      <c r="B1613" s="6"/>
      <c r="C1613" s="6"/>
      <c r="D1613" s="6"/>
      <c r="E1613" s="13"/>
      <c r="F1613" s="6"/>
      <c r="G1613" s="11" t="str">
        <f aca="true">IF(F1613="","",YEAR(TODAY())-F1613)</f>
        <v/>
      </c>
      <c r="H1613" s="11" t="str">
        <f aca="false">IF(C1613="","",IF(G1613="","Thiếu thông tin",IF(G1613&lt;6,"Trẻ em",IF(G1613&lt;23,"Học sinh / Sinh viên",IF(G1613&lt;60,"Đang đi làm","Nghỉ hưu")))))</f>
        <v/>
      </c>
      <c r="I1613" s="6"/>
      <c r="J1613" s="11" t="str">
        <f aca="false">IF(B1613="","",IFERROR(INDEX('Hộ gia đình'!$B$2:$B$2000,MATCH(B1613,'Hộ gia đình'!$A$2:$A$2000,0)),"Mã hộ không tồn tại"))</f>
        <v/>
      </c>
      <c r="K1613" s="14"/>
      <c r="L1613" s="14"/>
      <c r="M1613" s="6"/>
      <c r="N1613" s="6"/>
      <c r="O1613" s="6"/>
      <c r="P1613" s="6"/>
      <c r="Q1613" s="6"/>
      <c r="R1613" s="12"/>
    </row>
    <row r="1614" customFormat="false" ht="15" hidden="false" customHeight="true" outlineLevel="0" collapsed="false">
      <c r="A1614" s="6"/>
      <c r="B1614" s="6"/>
      <c r="C1614" s="6"/>
      <c r="D1614" s="6"/>
      <c r="E1614" s="13"/>
      <c r="F1614" s="6"/>
      <c r="G1614" s="11" t="str">
        <f aca="true">IF(F1614="","",YEAR(TODAY())-F1614)</f>
        <v/>
      </c>
      <c r="H1614" s="11" t="str">
        <f aca="false">IF(C1614="","",IF(G1614="","Thiếu thông tin",IF(G1614&lt;6,"Trẻ em",IF(G1614&lt;23,"Học sinh / Sinh viên",IF(G1614&lt;60,"Đang đi làm","Nghỉ hưu")))))</f>
        <v/>
      </c>
      <c r="I1614" s="6"/>
      <c r="J1614" s="11" t="str">
        <f aca="false">IF(B1614="","",IFERROR(INDEX('Hộ gia đình'!$B$2:$B$2000,MATCH(B1614,'Hộ gia đình'!$A$2:$A$2000,0)),"Mã hộ không tồn tại"))</f>
        <v/>
      </c>
      <c r="K1614" s="14"/>
      <c r="L1614" s="14"/>
      <c r="M1614" s="6"/>
      <c r="N1614" s="6"/>
      <c r="O1614" s="6"/>
      <c r="P1614" s="6"/>
      <c r="Q1614" s="6"/>
      <c r="R1614" s="12"/>
    </row>
    <row r="1615" customFormat="false" ht="15" hidden="false" customHeight="true" outlineLevel="0" collapsed="false">
      <c r="A1615" s="6"/>
      <c r="B1615" s="6"/>
      <c r="C1615" s="6"/>
      <c r="D1615" s="6"/>
      <c r="E1615" s="13"/>
      <c r="F1615" s="6"/>
      <c r="G1615" s="11" t="str">
        <f aca="true">IF(F1615="","",YEAR(TODAY())-F1615)</f>
        <v/>
      </c>
      <c r="H1615" s="11" t="str">
        <f aca="false">IF(C1615="","",IF(G1615="","Thiếu thông tin",IF(G1615&lt;6,"Trẻ em",IF(G1615&lt;23,"Học sinh / Sinh viên",IF(G1615&lt;60,"Đang đi làm","Nghỉ hưu")))))</f>
        <v/>
      </c>
      <c r="I1615" s="6"/>
      <c r="J1615" s="11" t="str">
        <f aca="false">IF(B1615="","",IFERROR(INDEX('Hộ gia đình'!$B$2:$B$2000,MATCH(B1615,'Hộ gia đình'!$A$2:$A$2000,0)),"Mã hộ không tồn tại"))</f>
        <v/>
      </c>
      <c r="K1615" s="14"/>
      <c r="L1615" s="14"/>
      <c r="M1615" s="6"/>
      <c r="N1615" s="6"/>
      <c r="O1615" s="6"/>
      <c r="P1615" s="6"/>
      <c r="Q1615" s="6"/>
      <c r="R1615" s="12"/>
    </row>
    <row r="1616" customFormat="false" ht="15" hidden="false" customHeight="true" outlineLevel="0" collapsed="false">
      <c r="A1616" s="6"/>
      <c r="B1616" s="6"/>
      <c r="C1616" s="6"/>
      <c r="D1616" s="6"/>
      <c r="E1616" s="13"/>
      <c r="F1616" s="6"/>
      <c r="G1616" s="11" t="str">
        <f aca="true">IF(F1616="","",YEAR(TODAY())-F1616)</f>
        <v/>
      </c>
      <c r="H1616" s="11" t="str">
        <f aca="false">IF(C1616="","",IF(G1616="","Thiếu thông tin",IF(G1616&lt;6,"Trẻ em",IF(G1616&lt;23,"Học sinh / Sinh viên",IF(G1616&lt;60,"Đang đi làm","Nghỉ hưu")))))</f>
        <v/>
      </c>
      <c r="I1616" s="6"/>
      <c r="J1616" s="11" t="str">
        <f aca="false">IF(B1616="","",IFERROR(INDEX('Hộ gia đình'!$B$2:$B$2000,MATCH(B1616,'Hộ gia đình'!$A$2:$A$2000,0)),"Mã hộ không tồn tại"))</f>
        <v/>
      </c>
      <c r="K1616" s="14"/>
      <c r="L1616" s="14"/>
      <c r="M1616" s="6"/>
      <c r="N1616" s="6"/>
      <c r="O1616" s="6"/>
      <c r="P1616" s="6"/>
      <c r="Q1616" s="6"/>
      <c r="R1616" s="12"/>
    </row>
    <row r="1617" customFormat="false" ht="15" hidden="false" customHeight="true" outlineLevel="0" collapsed="false">
      <c r="A1617" s="6"/>
      <c r="B1617" s="6"/>
      <c r="C1617" s="6"/>
      <c r="D1617" s="6"/>
      <c r="E1617" s="13"/>
      <c r="F1617" s="6"/>
      <c r="G1617" s="11" t="str">
        <f aca="true">IF(F1617="","",YEAR(TODAY())-F1617)</f>
        <v/>
      </c>
      <c r="H1617" s="11" t="str">
        <f aca="false">IF(C1617="","",IF(G1617="","Thiếu thông tin",IF(G1617&lt;6,"Trẻ em",IF(G1617&lt;23,"Học sinh / Sinh viên",IF(G1617&lt;60,"Đang đi làm","Nghỉ hưu")))))</f>
        <v/>
      </c>
      <c r="I1617" s="6"/>
      <c r="J1617" s="11" t="str">
        <f aca="false">IF(B1617="","",IFERROR(INDEX('Hộ gia đình'!$B$2:$B$2000,MATCH(B1617,'Hộ gia đình'!$A$2:$A$2000,0)),"Mã hộ không tồn tại"))</f>
        <v/>
      </c>
      <c r="K1617" s="14"/>
      <c r="L1617" s="14"/>
      <c r="M1617" s="6"/>
      <c r="N1617" s="6"/>
      <c r="O1617" s="6"/>
      <c r="P1617" s="6"/>
      <c r="Q1617" s="6"/>
      <c r="R1617" s="12"/>
    </row>
    <row r="1618" customFormat="false" ht="15" hidden="false" customHeight="true" outlineLevel="0" collapsed="false">
      <c r="A1618" s="6"/>
      <c r="B1618" s="6"/>
      <c r="C1618" s="6"/>
      <c r="D1618" s="6"/>
      <c r="E1618" s="13"/>
      <c r="F1618" s="6"/>
      <c r="G1618" s="11" t="str">
        <f aca="true">IF(F1618="","",YEAR(TODAY())-F1618)</f>
        <v/>
      </c>
      <c r="H1618" s="11" t="str">
        <f aca="false">IF(C1618="","",IF(G1618="","Thiếu thông tin",IF(G1618&lt;6,"Trẻ em",IF(G1618&lt;23,"Học sinh / Sinh viên",IF(G1618&lt;60,"Đang đi làm","Nghỉ hưu")))))</f>
        <v/>
      </c>
      <c r="I1618" s="6"/>
      <c r="J1618" s="11" t="str">
        <f aca="false">IF(B1618="","",IFERROR(INDEX('Hộ gia đình'!$B$2:$B$2000,MATCH(B1618,'Hộ gia đình'!$A$2:$A$2000,0)),"Mã hộ không tồn tại"))</f>
        <v/>
      </c>
      <c r="K1618" s="14"/>
      <c r="L1618" s="14"/>
      <c r="M1618" s="6"/>
      <c r="N1618" s="6"/>
      <c r="O1618" s="6"/>
      <c r="P1618" s="6"/>
      <c r="Q1618" s="6"/>
      <c r="R1618" s="12"/>
    </row>
    <row r="1619" customFormat="false" ht="15" hidden="false" customHeight="true" outlineLevel="0" collapsed="false">
      <c r="A1619" s="6"/>
      <c r="B1619" s="6"/>
      <c r="C1619" s="6"/>
      <c r="D1619" s="6"/>
      <c r="E1619" s="13"/>
      <c r="F1619" s="6"/>
      <c r="G1619" s="11" t="str">
        <f aca="true">IF(F1619="","",YEAR(TODAY())-F1619)</f>
        <v/>
      </c>
      <c r="H1619" s="11" t="str">
        <f aca="false">IF(C1619="","",IF(G1619="","Thiếu thông tin",IF(G1619&lt;6,"Trẻ em",IF(G1619&lt;23,"Học sinh / Sinh viên",IF(G1619&lt;60,"Đang đi làm","Nghỉ hưu")))))</f>
        <v/>
      </c>
      <c r="I1619" s="6"/>
      <c r="J1619" s="11" t="str">
        <f aca="false">IF(B1619="","",IFERROR(INDEX('Hộ gia đình'!$B$2:$B$2000,MATCH(B1619,'Hộ gia đình'!$A$2:$A$2000,0)),"Mã hộ không tồn tại"))</f>
        <v/>
      </c>
      <c r="K1619" s="14"/>
      <c r="L1619" s="14"/>
      <c r="M1619" s="6"/>
      <c r="N1619" s="6"/>
      <c r="O1619" s="6"/>
      <c r="P1619" s="6"/>
      <c r="Q1619" s="6"/>
      <c r="R1619" s="12"/>
    </row>
    <row r="1620" customFormat="false" ht="15" hidden="false" customHeight="true" outlineLevel="0" collapsed="false">
      <c r="A1620" s="6"/>
      <c r="B1620" s="6"/>
      <c r="C1620" s="6"/>
      <c r="D1620" s="6"/>
      <c r="E1620" s="13"/>
      <c r="F1620" s="6"/>
      <c r="G1620" s="11" t="str">
        <f aca="true">IF(F1620="","",YEAR(TODAY())-F1620)</f>
        <v/>
      </c>
      <c r="H1620" s="11" t="str">
        <f aca="false">IF(C1620="","",IF(G1620="","Thiếu thông tin",IF(G1620&lt;6,"Trẻ em",IF(G1620&lt;23,"Học sinh / Sinh viên",IF(G1620&lt;60,"Đang đi làm","Nghỉ hưu")))))</f>
        <v/>
      </c>
      <c r="I1620" s="6"/>
      <c r="J1620" s="11" t="str">
        <f aca="false">IF(B1620="","",IFERROR(INDEX('Hộ gia đình'!$B$2:$B$2000,MATCH(B1620,'Hộ gia đình'!$A$2:$A$2000,0)),"Mã hộ không tồn tại"))</f>
        <v/>
      </c>
      <c r="K1620" s="14"/>
      <c r="L1620" s="14"/>
      <c r="M1620" s="6"/>
      <c r="N1620" s="6"/>
      <c r="O1620" s="6"/>
      <c r="P1620" s="6"/>
      <c r="Q1620" s="6"/>
      <c r="R1620" s="12"/>
    </row>
    <row r="1621" customFormat="false" ht="15" hidden="false" customHeight="true" outlineLevel="0" collapsed="false">
      <c r="A1621" s="6"/>
      <c r="B1621" s="6"/>
      <c r="C1621" s="6"/>
      <c r="D1621" s="6"/>
      <c r="E1621" s="13"/>
      <c r="F1621" s="6"/>
      <c r="G1621" s="11" t="str">
        <f aca="true">IF(F1621="","",YEAR(TODAY())-F1621)</f>
        <v/>
      </c>
      <c r="H1621" s="11" t="str">
        <f aca="false">IF(C1621="","",IF(G1621="","Thiếu thông tin",IF(G1621&lt;6,"Trẻ em",IF(G1621&lt;23,"Học sinh / Sinh viên",IF(G1621&lt;60,"Đang đi làm","Nghỉ hưu")))))</f>
        <v/>
      </c>
      <c r="I1621" s="6"/>
      <c r="J1621" s="11" t="str">
        <f aca="false">IF(B1621="","",IFERROR(INDEX('Hộ gia đình'!$B$2:$B$2000,MATCH(B1621,'Hộ gia đình'!$A$2:$A$2000,0)),"Mã hộ không tồn tại"))</f>
        <v/>
      </c>
      <c r="K1621" s="14"/>
      <c r="L1621" s="14"/>
      <c r="M1621" s="6"/>
      <c r="N1621" s="6"/>
      <c r="O1621" s="6"/>
      <c r="P1621" s="6"/>
      <c r="Q1621" s="6"/>
      <c r="R1621" s="12"/>
    </row>
    <row r="1622" customFormat="false" ht="15" hidden="false" customHeight="true" outlineLevel="0" collapsed="false">
      <c r="A1622" s="6"/>
      <c r="B1622" s="6"/>
      <c r="C1622" s="6"/>
      <c r="D1622" s="6"/>
      <c r="E1622" s="13"/>
      <c r="F1622" s="6"/>
      <c r="G1622" s="11" t="str">
        <f aca="true">IF(F1622="","",YEAR(TODAY())-F1622)</f>
        <v/>
      </c>
      <c r="H1622" s="11" t="str">
        <f aca="false">IF(C1622="","",IF(G1622="","Thiếu thông tin",IF(G1622&lt;6,"Trẻ em",IF(G1622&lt;23,"Học sinh / Sinh viên",IF(G1622&lt;60,"Đang đi làm","Nghỉ hưu")))))</f>
        <v/>
      </c>
      <c r="I1622" s="6"/>
      <c r="J1622" s="11" t="str">
        <f aca="false">IF(B1622="","",IFERROR(INDEX('Hộ gia đình'!$B$2:$B$2000,MATCH(B1622,'Hộ gia đình'!$A$2:$A$2000,0)),"Mã hộ không tồn tại"))</f>
        <v/>
      </c>
      <c r="K1622" s="14"/>
      <c r="L1622" s="14"/>
      <c r="M1622" s="6"/>
      <c r="N1622" s="6"/>
      <c r="O1622" s="6"/>
      <c r="P1622" s="6"/>
      <c r="Q1622" s="6"/>
      <c r="R1622" s="12"/>
    </row>
    <row r="1623" customFormat="false" ht="15" hidden="false" customHeight="true" outlineLevel="0" collapsed="false">
      <c r="A1623" s="6"/>
      <c r="B1623" s="6"/>
      <c r="C1623" s="6"/>
      <c r="D1623" s="6"/>
      <c r="E1623" s="13"/>
      <c r="F1623" s="6"/>
      <c r="G1623" s="11" t="str">
        <f aca="true">IF(F1623="","",YEAR(TODAY())-F1623)</f>
        <v/>
      </c>
      <c r="H1623" s="11" t="str">
        <f aca="false">IF(C1623="","",IF(G1623="","Thiếu thông tin",IF(G1623&lt;6,"Trẻ em",IF(G1623&lt;23,"Học sinh / Sinh viên",IF(G1623&lt;60,"Đang đi làm","Nghỉ hưu")))))</f>
        <v/>
      </c>
      <c r="I1623" s="6"/>
      <c r="J1623" s="11" t="str">
        <f aca="false">IF(B1623="","",IFERROR(INDEX('Hộ gia đình'!$B$2:$B$2000,MATCH(B1623,'Hộ gia đình'!$A$2:$A$2000,0)),"Mã hộ không tồn tại"))</f>
        <v/>
      </c>
      <c r="K1623" s="14"/>
      <c r="L1623" s="14"/>
      <c r="M1623" s="6"/>
      <c r="N1623" s="6"/>
      <c r="O1623" s="6"/>
      <c r="P1623" s="6"/>
      <c r="Q1623" s="6"/>
      <c r="R1623" s="12"/>
    </row>
    <row r="1624" customFormat="false" ht="15" hidden="false" customHeight="true" outlineLevel="0" collapsed="false">
      <c r="A1624" s="6"/>
      <c r="B1624" s="6"/>
      <c r="C1624" s="6"/>
      <c r="D1624" s="6"/>
      <c r="E1624" s="13"/>
      <c r="F1624" s="6"/>
      <c r="G1624" s="11" t="str">
        <f aca="true">IF(F1624="","",YEAR(TODAY())-F1624)</f>
        <v/>
      </c>
      <c r="H1624" s="11" t="str">
        <f aca="false">IF(C1624="","",IF(G1624="","Thiếu thông tin",IF(G1624&lt;6,"Trẻ em",IF(G1624&lt;23,"Học sinh / Sinh viên",IF(G1624&lt;60,"Đang đi làm","Nghỉ hưu")))))</f>
        <v/>
      </c>
      <c r="I1624" s="6"/>
      <c r="J1624" s="11" t="str">
        <f aca="false">IF(B1624="","",IFERROR(INDEX('Hộ gia đình'!$B$2:$B$2000,MATCH(B1624,'Hộ gia đình'!$A$2:$A$2000,0)),"Mã hộ không tồn tại"))</f>
        <v/>
      </c>
      <c r="K1624" s="14"/>
      <c r="L1624" s="14"/>
      <c r="M1624" s="6"/>
      <c r="N1624" s="6"/>
      <c r="O1624" s="6"/>
      <c r="P1624" s="6"/>
      <c r="Q1624" s="6"/>
      <c r="R1624" s="12"/>
    </row>
    <row r="1625" customFormat="false" ht="15" hidden="false" customHeight="true" outlineLevel="0" collapsed="false">
      <c r="A1625" s="6"/>
      <c r="B1625" s="6"/>
      <c r="C1625" s="6"/>
      <c r="D1625" s="6"/>
      <c r="E1625" s="13"/>
      <c r="F1625" s="6"/>
      <c r="G1625" s="11" t="str">
        <f aca="true">IF(F1625="","",YEAR(TODAY())-F1625)</f>
        <v/>
      </c>
      <c r="H1625" s="11" t="str">
        <f aca="false">IF(C1625="","",IF(G1625="","Thiếu thông tin",IF(G1625&lt;6,"Trẻ em",IF(G1625&lt;23,"Học sinh / Sinh viên",IF(G1625&lt;60,"Đang đi làm","Nghỉ hưu")))))</f>
        <v/>
      </c>
      <c r="I1625" s="6"/>
      <c r="J1625" s="11" t="str">
        <f aca="false">IF(B1625="","",IFERROR(INDEX('Hộ gia đình'!$B$2:$B$2000,MATCH(B1625,'Hộ gia đình'!$A$2:$A$2000,0)),"Mã hộ không tồn tại"))</f>
        <v/>
      </c>
      <c r="K1625" s="14"/>
      <c r="L1625" s="14"/>
      <c r="M1625" s="6"/>
      <c r="N1625" s="6"/>
      <c r="O1625" s="6"/>
      <c r="P1625" s="6"/>
      <c r="Q1625" s="6"/>
      <c r="R1625" s="12"/>
    </row>
    <row r="1626" customFormat="false" ht="15" hidden="false" customHeight="true" outlineLevel="0" collapsed="false">
      <c r="A1626" s="6"/>
      <c r="B1626" s="6"/>
      <c r="C1626" s="6"/>
      <c r="D1626" s="6"/>
      <c r="E1626" s="13"/>
      <c r="F1626" s="6"/>
      <c r="G1626" s="11" t="str">
        <f aca="true">IF(F1626="","",YEAR(TODAY())-F1626)</f>
        <v/>
      </c>
      <c r="H1626" s="11" t="str">
        <f aca="false">IF(C1626="","",IF(G1626="","Thiếu thông tin",IF(G1626&lt;6,"Trẻ em",IF(G1626&lt;23,"Học sinh / Sinh viên",IF(G1626&lt;60,"Đang đi làm","Nghỉ hưu")))))</f>
        <v/>
      </c>
      <c r="I1626" s="6"/>
      <c r="J1626" s="11" t="str">
        <f aca="false">IF(B1626="","",IFERROR(INDEX('Hộ gia đình'!$B$2:$B$2000,MATCH(B1626,'Hộ gia đình'!$A$2:$A$2000,0)),"Mã hộ không tồn tại"))</f>
        <v/>
      </c>
      <c r="K1626" s="14"/>
      <c r="L1626" s="14"/>
      <c r="M1626" s="6"/>
      <c r="N1626" s="6"/>
      <c r="O1626" s="6"/>
      <c r="P1626" s="6"/>
      <c r="Q1626" s="6"/>
      <c r="R1626" s="12"/>
    </row>
    <row r="1627" customFormat="false" ht="15" hidden="false" customHeight="true" outlineLevel="0" collapsed="false">
      <c r="A1627" s="6"/>
      <c r="B1627" s="6"/>
      <c r="C1627" s="6"/>
      <c r="D1627" s="6"/>
      <c r="E1627" s="13"/>
      <c r="F1627" s="6"/>
      <c r="G1627" s="11" t="str">
        <f aca="true">IF(F1627="","",YEAR(TODAY())-F1627)</f>
        <v/>
      </c>
      <c r="H1627" s="11" t="str">
        <f aca="false">IF(C1627="","",IF(G1627="","Thiếu thông tin",IF(G1627&lt;6,"Trẻ em",IF(G1627&lt;23,"Học sinh / Sinh viên",IF(G1627&lt;60,"Đang đi làm","Nghỉ hưu")))))</f>
        <v/>
      </c>
      <c r="I1627" s="6"/>
      <c r="J1627" s="11" t="str">
        <f aca="false">IF(B1627="","",IFERROR(INDEX('Hộ gia đình'!$B$2:$B$2000,MATCH(B1627,'Hộ gia đình'!$A$2:$A$2000,0)),"Mã hộ không tồn tại"))</f>
        <v/>
      </c>
      <c r="K1627" s="14"/>
      <c r="L1627" s="14"/>
      <c r="M1627" s="6"/>
      <c r="N1627" s="6"/>
      <c r="O1627" s="6"/>
      <c r="P1627" s="6"/>
      <c r="Q1627" s="6"/>
      <c r="R1627" s="12"/>
    </row>
    <row r="1628" customFormat="false" ht="15" hidden="false" customHeight="true" outlineLevel="0" collapsed="false">
      <c r="A1628" s="6"/>
      <c r="B1628" s="6"/>
      <c r="C1628" s="6"/>
      <c r="D1628" s="6"/>
      <c r="E1628" s="13"/>
      <c r="F1628" s="6"/>
      <c r="G1628" s="11" t="str">
        <f aca="true">IF(F1628="","",YEAR(TODAY())-F1628)</f>
        <v/>
      </c>
      <c r="H1628" s="11" t="str">
        <f aca="false">IF(C1628="","",IF(G1628="","Thiếu thông tin",IF(G1628&lt;6,"Trẻ em",IF(G1628&lt;23,"Học sinh / Sinh viên",IF(G1628&lt;60,"Đang đi làm","Nghỉ hưu")))))</f>
        <v/>
      </c>
      <c r="I1628" s="6"/>
      <c r="J1628" s="11" t="str">
        <f aca="false">IF(B1628="","",IFERROR(INDEX('Hộ gia đình'!$B$2:$B$2000,MATCH(B1628,'Hộ gia đình'!$A$2:$A$2000,0)),"Mã hộ không tồn tại"))</f>
        <v/>
      </c>
      <c r="K1628" s="14"/>
      <c r="L1628" s="14"/>
      <c r="M1628" s="6"/>
      <c r="N1628" s="6"/>
      <c r="O1628" s="6"/>
      <c r="P1628" s="6"/>
      <c r="Q1628" s="6"/>
      <c r="R1628" s="12"/>
    </row>
    <row r="1629" customFormat="false" ht="15" hidden="false" customHeight="true" outlineLevel="0" collapsed="false">
      <c r="A1629" s="6"/>
      <c r="B1629" s="6"/>
      <c r="C1629" s="6"/>
      <c r="D1629" s="6"/>
      <c r="E1629" s="13"/>
      <c r="F1629" s="6"/>
      <c r="G1629" s="11" t="str">
        <f aca="true">IF(F1629="","",YEAR(TODAY())-F1629)</f>
        <v/>
      </c>
      <c r="H1629" s="11" t="str">
        <f aca="false">IF(C1629="","",IF(G1629="","Thiếu thông tin",IF(G1629&lt;6,"Trẻ em",IF(G1629&lt;23,"Học sinh / Sinh viên",IF(G1629&lt;60,"Đang đi làm","Nghỉ hưu")))))</f>
        <v/>
      </c>
      <c r="I1629" s="6"/>
      <c r="J1629" s="11" t="str">
        <f aca="false">IF(B1629="","",IFERROR(INDEX('Hộ gia đình'!$B$2:$B$2000,MATCH(B1629,'Hộ gia đình'!$A$2:$A$2000,0)),"Mã hộ không tồn tại"))</f>
        <v/>
      </c>
      <c r="K1629" s="14"/>
      <c r="L1629" s="14"/>
      <c r="M1629" s="6"/>
      <c r="N1629" s="6"/>
      <c r="O1629" s="6"/>
      <c r="P1629" s="6"/>
      <c r="Q1629" s="6"/>
      <c r="R1629" s="12"/>
    </row>
    <row r="1630" customFormat="false" ht="15" hidden="false" customHeight="true" outlineLevel="0" collapsed="false">
      <c r="A1630" s="6"/>
      <c r="B1630" s="6"/>
      <c r="C1630" s="6"/>
      <c r="D1630" s="6"/>
      <c r="E1630" s="13"/>
      <c r="F1630" s="6"/>
      <c r="G1630" s="11" t="str">
        <f aca="true">IF(F1630="","",YEAR(TODAY())-F1630)</f>
        <v/>
      </c>
      <c r="H1630" s="11" t="str">
        <f aca="false">IF(C1630="","",IF(G1630="","Thiếu thông tin",IF(G1630&lt;6,"Trẻ em",IF(G1630&lt;23,"Học sinh / Sinh viên",IF(G1630&lt;60,"Đang đi làm","Nghỉ hưu")))))</f>
        <v/>
      </c>
      <c r="I1630" s="6"/>
      <c r="J1630" s="11" t="str">
        <f aca="false">IF(B1630="","",IFERROR(INDEX('Hộ gia đình'!$B$2:$B$2000,MATCH(B1630,'Hộ gia đình'!$A$2:$A$2000,0)),"Mã hộ không tồn tại"))</f>
        <v/>
      </c>
      <c r="K1630" s="14"/>
      <c r="L1630" s="14"/>
      <c r="M1630" s="6"/>
      <c r="N1630" s="6"/>
      <c r="O1630" s="6"/>
      <c r="P1630" s="6"/>
      <c r="Q1630" s="6"/>
      <c r="R1630" s="12"/>
    </row>
    <row r="1631" customFormat="false" ht="15" hidden="false" customHeight="true" outlineLevel="0" collapsed="false">
      <c r="A1631" s="6"/>
      <c r="B1631" s="6"/>
      <c r="C1631" s="6"/>
      <c r="D1631" s="6"/>
      <c r="E1631" s="13"/>
      <c r="F1631" s="6"/>
      <c r="G1631" s="11" t="str">
        <f aca="true">IF(F1631="","",YEAR(TODAY())-F1631)</f>
        <v/>
      </c>
      <c r="H1631" s="11" t="str">
        <f aca="false">IF(C1631="","",IF(G1631="","Thiếu thông tin",IF(G1631&lt;6,"Trẻ em",IF(G1631&lt;23,"Học sinh / Sinh viên",IF(G1631&lt;60,"Đang đi làm","Nghỉ hưu")))))</f>
        <v/>
      </c>
      <c r="I1631" s="6"/>
      <c r="J1631" s="11" t="str">
        <f aca="false">IF(B1631="","",IFERROR(INDEX('Hộ gia đình'!$B$2:$B$2000,MATCH(B1631,'Hộ gia đình'!$A$2:$A$2000,0)),"Mã hộ không tồn tại"))</f>
        <v/>
      </c>
      <c r="K1631" s="14"/>
      <c r="L1631" s="14"/>
      <c r="M1631" s="6"/>
      <c r="N1631" s="6"/>
      <c r="O1631" s="6"/>
      <c r="P1631" s="6"/>
      <c r="Q1631" s="6"/>
      <c r="R1631" s="12"/>
    </row>
    <row r="1632" customFormat="false" ht="15" hidden="false" customHeight="true" outlineLevel="0" collapsed="false">
      <c r="A1632" s="6"/>
      <c r="B1632" s="6"/>
      <c r="C1632" s="6"/>
      <c r="D1632" s="6"/>
      <c r="E1632" s="13"/>
      <c r="F1632" s="6"/>
      <c r="G1632" s="11" t="str">
        <f aca="true">IF(F1632="","",YEAR(TODAY())-F1632)</f>
        <v/>
      </c>
      <c r="H1632" s="11" t="str">
        <f aca="false">IF(C1632="","",IF(G1632="","Thiếu thông tin",IF(G1632&lt;6,"Trẻ em",IF(G1632&lt;23,"Học sinh / Sinh viên",IF(G1632&lt;60,"Đang đi làm","Nghỉ hưu")))))</f>
        <v/>
      </c>
      <c r="I1632" s="6"/>
      <c r="J1632" s="11" t="str">
        <f aca="false">IF(B1632="","",IFERROR(INDEX('Hộ gia đình'!$B$2:$B$2000,MATCH(B1632,'Hộ gia đình'!$A$2:$A$2000,0)),"Mã hộ không tồn tại"))</f>
        <v/>
      </c>
      <c r="K1632" s="14"/>
      <c r="L1632" s="14"/>
      <c r="M1632" s="6"/>
      <c r="N1632" s="6"/>
      <c r="O1632" s="6"/>
      <c r="P1632" s="6"/>
      <c r="Q1632" s="6"/>
      <c r="R1632" s="12"/>
    </row>
    <row r="1633" customFormat="false" ht="15" hidden="false" customHeight="true" outlineLevel="0" collapsed="false">
      <c r="A1633" s="6"/>
      <c r="B1633" s="6"/>
      <c r="C1633" s="6"/>
      <c r="D1633" s="6"/>
      <c r="E1633" s="13"/>
      <c r="F1633" s="6"/>
      <c r="G1633" s="11" t="str">
        <f aca="true">IF(F1633="","",YEAR(TODAY())-F1633)</f>
        <v/>
      </c>
      <c r="H1633" s="11" t="str">
        <f aca="false">IF(C1633="","",IF(G1633="","Thiếu thông tin",IF(G1633&lt;6,"Trẻ em",IF(G1633&lt;23,"Học sinh / Sinh viên",IF(G1633&lt;60,"Đang đi làm","Nghỉ hưu")))))</f>
        <v/>
      </c>
      <c r="I1633" s="6"/>
      <c r="J1633" s="11" t="str">
        <f aca="false">IF(B1633="","",IFERROR(INDEX('Hộ gia đình'!$B$2:$B$2000,MATCH(B1633,'Hộ gia đình'!$A$2:$A$2000,0)),"Mã hộ không tồn tại"))</f>
        <v/>
      </c>
      <c r="K1633" s="14"/>
      <c r="L1633" s="14"/>
      <c r="M1633" s="6"/>
      <c r="N1633" s="6"/>
      <c r="O1633" s="6"/>
      <c r="P1633" s="6"/>
      <c r="Q1633" s="6"/>
      <c r="R1633" s="12"/>
    </row>
    <row r="1634" customFormat="false" ht="15" hidden="false" customHeight="true" outlineLevel="0" collapsed="false">
      <c r="A1634" s="6"/>
      <c r="B1634" s="6"/>
      <c r="C1634" s="6"/>
      <c r="D1634" s="6"/>
      <c r="E1634" s="13"/>
      <c r="F1634" s="6"/>
      <c r="G1634" s="11" t="str">
        <f aca="true">IF(F1634="","",YEAR(TODAY())-F1634)</f>
        <v/>
      </c>
      <c r="H1634" s="11" t="str">
        <f aca="false">IF(C1634="","",IF(G1634="","Thiếu thông tin",IF(G1634&lt;6,"Trẻ em",IF(G1634&lt;23,"Học sinh / Sinh viên",IF(G1634&lt;60,"Đang đi làm","Nghỉ hưu")))))</f>
        <v/>
      </c>
      <c r="I1634" s="6"/>
      <c r="J1634" s="11" t="str">
        <f aca="false">IF(B1634="","",IFERROR(INDEX('Hộ gia đình'!$B$2:$B$2000,MATCH(B1634,'Hộ gia đình'!$A$2:$A$2000,0)),"Mã hộ không tồn tại"))</f>
        <v/>
      </c>
      <c r="K1634" s="14"/>
      <c r="L1634" s="14"/>
      <c r="M1634" s="6"/>
      <c r="N1634" s="6"/>
      <c r="O1634" s="6"/>
      <c r="P1634" s="6"/>
      <c r="Q1634" s="6"/>
      <c r="R1634" s="12"/>
    </row>
    <row r="1635" customFormat="false" ht="15" hidden="false" customHeight="true" outlineLevel="0" collapsed="false">
      <c r="A1635" s="6"/>
      <c r="B1635" s="6"/>
      <c r="C1635" s="6"/>
      <c r="D1635" s="6"/>
      <c r="E1635" s="13"/>
      <c r="F1635" s="6"/>
      <c r="G1635" s="11" t="str">
        <f aca="true">IF(F1635="","",YEAR(TODAY())-F1635)</f>
        <v/>
      </c>
      <c r="H1635" s="11" t="str">
        <f aca="false">IF(C1635="","",IF(G1635="","Thiếu thông tin",IF(G1635&lt;6,"Trẻ em",IF(G1635&lt;23,"Học sinh / Sinh viên",IF(G1635&lt;60,"Đang đi làm","Nghỉ hưu")))))</f>
        <v/>
      </c>
      <c r="I1635" s="6"/>
      <c r="J1635" s="11" t="str">
        <f aca="false">IF(B1635="","",IFERROR(INDEX('Hộ gia đình'!$B$2:$B$2000,MATCH(B1635,'Hộ gia đình'!$A$2:$A$2000,0)),"Mã hộ không tồn tại"))</f>
        <v/>
      </c>
      <c r="K1635" s="14"/>
      <c r="L1635" s="14"/>
      <c r="M1635" s="6"/>
      <c r="N1635" s="6"/>
      <c r="O1635" s="6"/>
      <c r="P1635" s="6"/>
      <c r="Q1635" s="6"/>
      <c r="R1635" s="12"/>
    </row>
    <row r="1636" customFormat="false" ht="15" hidden="false" customHeight="true" outlineLevel="0" collapsed="false">
      <c r="A1636" s="6"/>
      <c r="B1636" s="6"/>
      <c r="C1636" s="6"/>
      <c r="D1636" s="6"/>
      <c r="E1636" s="13"/>
      <c r="F1636" s="6"/>
      <c r="G1636" s="11" t="str">
        <f aca="true">IF(F1636="","",YEAR(TODAY())-F1636)</f>
        <v/>
      </c>
      <c r="H1636" s="11" t="str">
        <f aca="false">IF(C1636="","",IF(G1636="","Thiếu thông tin",IF(G1636&lt;6,"Trẻ em",IF(G1636&lt;23,"Học sinh / Sinh viên",IF(G1636&lt;60,"Đang đi làm","Nghỉ hưu")))))</f>
        <v/>
      </c>
      <c r="I1636" s="6"/>
      <c r="J1636" s="11" t="str">
        <f aca="false">IF(B1636="","",IFERROR(INDEX('Hộ gia đình'!$B$2:$B$2000,MATCH(B1636,'Hộ gia đình'!$A$2:$A$2000,0)),"Mã hộ không tồn tại"))</f>
        <v/>
      </c>
      <c r="K1636" s="14"/>
      <c r="L1636" s="14"/>
      <c r="M1636" s="6"/>
      <c r="N1636" s="6"/>
      <c r="O1636" s="6"/>
      <c r="P1636" s="6"/>
      <c r="Q1636" s="6"/>
      <c r="R1636" s="12"/>
    </row>
    <row r="1637" customFormat="false" ht="15" hidden="false" customHeight="true" outlineLevel="0" collapsed="false">
      <c r="A1637" s="6"/>
      <c r="B1637" s="6"/>
      <c r="C1637" s="6"/>
      <c r="D1637" s="6"/>
      <c r="E1637" s="13"/>
      <c r="F1637" s="6"/>
      <c r="G1637" s="11" t="str">
        <f aca="true">IF(F1637="","",YEAR(TODAY())-F1637)</f>
        <v/>
      </c>
      <c r="H1637" s="11" t="str">
        <f aca="false">IF(C1637="","",IF(G1637="","Thiếu thông tin",IF(G1637&lt;6,"Trẻ em",IF(G1637&lt;23,"Học sinh / Sinh viên",IF(G1637&lt;60,"Đang đi làm","Nghỉ hưu")))))</f>
        <v/>
      </c>
      <c r="I1637" s="6"/>
      <c r="J1637" s="11" t="str">
        <f aca="false">IF(B1637="","",IFERROR(INDEX('Hộ gia đình'!$B$2:$B$2000,MATCH(B1637,'Hộ gia đình'!$A$2:$A$2000,0)),"Mã hộ không tồn tại"))</f>
        <v/>
      </c>
      <c r="K1637" s="14"/>
      <c r="L1637" s="14"/>
      <c r="M1637" s="6"/>
      <c r="N1637" s="6"/>
      <c r="O1637" s="6"/>
      <c r="P1637" s="6"/>
      <c r="Q1637" s="6"/>
      <c r="R1637" s="12"/>
    </row>
    <row r="1638" customFormat="false" ht="15" hidden="false" customHeight="true" outlineLevel="0" collapsed="false">
      <c r="A1638" s="6"/>
      <c r="B1638" s="6"/>
      <c r="C1638" s="6"/>
      <c r="D1638" s="6"/>
      <c r="E1638" s="13"/>
      <c r="F1638" s="6"/>
      <c r="G1638" s="11" t="str">
        <f aca="true">IF(F1638="","",YEAR(TODAY())-F1638)</f>
        <v/>
      </c>
      <c r="H1638" s="11" t="str">
        <f aca="false">IF(C1638="","",IF(G1638="","Thiếu thông tin",IF(G1638&lt;6,"Trẻ em",IF(G1638&lt;23,"Học sinh / Sinh viên",IF(G1638&lt;60,"Đang đi làm","Nghỉ hưu")))))</f>
        <v/>
      </c>
      <c r="I1638" s="6"/>
      <c r="J1638" s="11" t="str">
        <f aca="false">IF(B1638="","",IFERROR(INDEX('Hộ gia đình'!$B$2:$B$2000,MATCH(B1638,'Hộ gia đình'!$A$2:$A$2000,0)),"Mã hộ không tồn tại"))</f>
        <v/>
      </c>
      <c r="K1638" s="14"/>
      <c r="L1638" s="14"/>
      <c r="M1638" s="6"/>
      <c r="N1638" s="6"/>
      <c r="O1638" s="6"/>
      <c r="P1638" s="6"/>
      <c r="Q1638" s="6"/>
      <c r="R1638" s="12"/>
    </row>
    <row r="1639" customFormat="false" ht="15" hidden="false" customHeight="true" outlineLevel="0" collapsed="false">
      <c r="A1639" s="6"/>
      <c r="B1639" s="6"/>
      <c r="C1639" s="6"/>
      <c r="D1639" s="6"/>
      <c r="E1639" s="13"/>
      <c r="F1639" s="6"/>
      <c r="G1639" s="11" t="str">
        <f aca="true">IF(F1639="","",YEAR(TODAY())-F1639)</f>
        <v/>
      </c>
      <c r="H1639" s="11" t="str">
        <f aca="false">IF(C1639="","",IF(G1639="","Thiếu thông tin",IF(G1639&lt;6,"Trẻ em",IF(G1639&lt;23,"Học sinh / Sinh viên",IF(G1639&lt;60,"Đang đi làm","Nghỉ hưu")))))</f>
        <v/>
      </c>
      <c r="I1639" s="6"/>
      <c r="J1639" s="11" t="str">
        <f aca="false">IF(B1639="","",IFERROR(INDEX('Hộ gia đình'!$B$2:$B$2000,MATCH(B1639,'Hộ gia đình'!$A$2:$A$2000,0)),"Mã hộ không tồn tại"))</f>
        <v/>
      </c>
      <c r="K1639" s="14"/>
      <c r="L1639" s="14"/>
      <c r="M1639" s="6"/>
      <c r="N1639" s="6"/>
      <c r="O1639" s="6"/>
      <c r="P1639" s="6"/>
      <c r="Q1639" s="6"/>
      <c r="R1639" s="12"/>
    </row>
    <row r="1640" customFormat="false" ht="15" hidden="false" customHeight="true" outlineLevel="0" collapsed="false">
      <c r="A1640" s="6"/>
      <c r="B1640" s="6"/>
      <c r="C1640" s="6"/>
      <c r="D1640" s="6"/>
      <c r="E1640" s="13"/>
      <c r="F1640" s="6"/>
      <c r="G1640" s="11" t="str">
        <f aca="true">IF(F1640="","",YEAR(TODAY())-F1640)</f>
        <v/>
      </c>
      <c r="H1640" s="11" t="str">
        <f aca="false">IF(C1640="","",IF(G1640="","Thiếu thông tin",IF(G1640&lt;6,"Trẻ em",IF(G1640&lt;23,"Học sinh / Sinh viên",IF(G1640&lt;60,"Đang đi làm","Nghỉ hưu")))))</f>
        <v/>
      </c>
      <c r="I1640" s="6"/>
      <c r="J1640" s="11" t="str">
        <f aca="false">IF(B1640="","",IFERROR(INDEX('Hộ gia đình'!$B$2:$B$2000,MATCH(B1640,'Hộ gia đình'!$A$2:$A$2000,0)),"Mã hộ không tồn tại"))</f>
        <v/>
      </c>
      <c r="K1640" s="14"/>
      <c r="L1640" s="14"/>
      <c r="M1640" s="6"/>
      <c r="N1640" s="6"/>
      <c r="O1640" s="6"/>
      <c r="P1640" s="6"/>
      <c r="Q1640" s="6"/>
      <c r="R1640" s="12"/>
    </row>
    <row r="1641" customFormat="false" ht="15" hidden="false" customHeight="true" outlineLevel="0" collapsed="false">
      <c r="A1641" s="6"/>
      <c r="B1641" s="6"/>
      <c r="C1641" s="6"/>
      <c r="D1641" s="6"/>
      <c r="E1641" s="13"/>
      <c r="F1641" s="6"/>
      <c r="G1641" s="11" t="str">
        <f aca="true">IF(F1641="","",YEAR(TODAY())-F1641)</f>
        <v/>
      </c>
      <c r="H1641" s="11" t="str">
        <f aca="false">IF(C1641="","",IF(G1641="","Thiếu thông tin",IF(G1641&lt;6,"Trẻ em",IF(G1641&lt;23,"Học sinh / Sinh viên",IF(G1641&lt;60,"Đang đi làm","Nghỉ hưu")))))</f>
        <v/>
      </c>
      <c r="I1641" s="6"/>
      <c r="J1641" s="11" t="str">
        <f aca="false">IF(B1641="","",IFERROR(INDEX('Hộ gia đình'!$B$2:$B$2000,MATCH(B1641,'Hộ gia đình'!$A$2:$A$2000,0)),"Mã hộ không tồn tại"))</f>
        <v/>
      </c>
      <c r="K1641" s="14"/>
      <c r="L1641" s="14"/>
      <c r="M1641" s="6"/>
      <c r="N1641" s="6"/>
      <c r="O1641" s="6"/>
      <c r="P1641" s="6"/>
      <c r="Q1641" s="6"/>
      <c r="R1641" s="12"/>
    </row>
    <row r="1642" customFormat="false" ht="15" hidden="false" customHeight="true" outlineLevel="0" collapsed="false">
      <c r="A1642" s="6"/>
      <c r="B1642" s="6"/>
      <c r="C1642" s="6"/>
      <c r="D1642" s="6"/>
      <c r="E1642" s="13"/>
      <c r="F1642" s="6"/>
      <c r="G1642" s="11" t="str">
        <f aca="true">IF(F1642="","",YEAR(TODAY())-F1642)</f>
        <v/>
      </c>
      <c r="H1642" s="11" t="str">
        <f aca="false">IF(C1642="","",IF(G1642="","Thiếu thông tin",IF(G1642&lt;6,"Trẻ em",IF(G1642&lt;23,"Học sinh / Sinh viên",IF(G1642&lt;60,"Đang đi làm","Nghỉ hưu")))))</f>
        <v/>
      </c>
      <c r="I1642" s="6"/>
      <c r="J1642" s="11" t="str">
        <f aca="false">IF(B1642="","",IFERROR(INDEX('Hộ gia đình'!$B$2:$B$2000,MATCH(B1642,'Hộ gia đình'!$A$2:$A$2000,0)),"Mã hộ không tồn tại"))</f>
        <v/>
      </c>
      <c r="K1642" s="14"/>
      <c r="L1642" s="14"/>
      <c r="M1642" s="6"/>
      <c r="N1642" s="6"/>
      <c r="O1642" s="6"/>
      <c r="P1642" s="6"/>
      <c r="Q1642" s="6"/>
      <c r="R1642" s="12"/>
    </row>
    <row r="1643" customFormat="false" ht="15" hidden="false" customHeight="true" outlineLevel="0" collapsed="false">
      <c r="A1643" s="6"/>
      <c r="B1643" s="6"/>
      <c r="C1643" s="6"/>
      <c r="D1643" s="6"/>
      <c r="E1643" s="13"/>
      <c r="F1643" s="6"/>
      <c r="G1643" s="11" t="str">
        <f aca="true">IF(F1643="","",YEAR(TODAY())-F1643)</f>
        <v/>
      </c>
      <c r="H1643" s="11" t="str">
        <f aca="false">IF(C1643="","",IF(G1643="","Thiếu thông tin",IF(G1643&lt;6,"Trẻ em",IF(G1643&lt;23,"Học sinh / Sinh viên",IF(G1643&lt;60,"Đang đi làm","Nghỉ hưu")))))</f>
        <v/>
      </c>
      <c r="I1643" s="6"/>
      <c r="J1643" s="11" t="str">
        <f aca="false">IF(B1643="","",IFERROR(INDEX('Hộ gia đình'!$B$2:$B$2000,MATCH(B1643,'Hộ gia đình'!$A$2:$A$2000,0)),"Mã hộ không tồn tại"))</f>
        <v/>
      </c>
      <c r="K1643" s="14"/>
      <c r="L1643" s="14"/>
      <c r="M1643" s="6"/>
      <c r="N1643" s="6"/>
      <c r="O1643" s="6"/>
      <c r="P1643" s="6"/>
      <c r="Q1643" s="6"/>
      <c r="R1643" s="12"/>
    </row>
    <row r="1644" customFormat="false" ht="15" hidden="false" customHeight="true" outlineLevel="0" collapsed="false">
      <c r="A1644" s="6"/>
      <c r="B1644" s="6"/>
      <c r="C1644" s="6"/>
      <c r="D1644" s="6"/>
      <c r="E1644" s="13"/>
      <c r="F1644" s="6"/>
      <c r="G1644" s="11" t="str">
        <f aca="true">IF(F1644="","",YEAR(TODAY())-F1644)</f>
        <v/>
      </c>
      <c r="H1644" s="11" t="str">
        <f aca="false">IF(C1644="","",IF(G1644="","Thiếu thông tin",IF(G1644&lt;6,"Trẻ em",IF(G1644&lt;23,"Học sinh / Sinh viên",IF(G1644&lt;60,"Đang đi làm","Nghỉ hưu")))))</f>
        <v/>
      </c>
      <c r="I1644" s="6"/>
      <c r="J1644" s="11" t="str">
        <f aca="false">IF(B1644="","",IFERROR(INDEX('Hộ gia đình'!$B$2:$B$2000,MATCH(B1644,'Hộ gia đình'!$A$2:$A$2000,0)),"Mã hộ không tồn tại"))</f>
        <v/>
      </c>
      <c r="K1644" s="14"/>
      <c r="L1644" s="14"/>
      <c r="M1644" s="6"/>
      <c r="N1644" s="6"/>
      <c r="O1644" s="6"/>
      <c r="P1644" s="6"/>
      <c r="Q1644" s="6"/>
      <c r="R1644" s="12"/>
    </row>
    <row r="1645" customFormat="false" ht="15" hidden="false" customHeight="true" outlineLevel="0" collapsed="false">
      <c r="A1645" s="6"/>
      <c r="B1645" s="6"/>
      <c r="C1645" s="6"/>
      <c r="D1645" s="6"/>
      <c r="E1645" s="13"/>
      <c r="F1645" s="6"/>
      <c r="G1645" s="11" t="str">
        <f aca="true">IF(F1645="","",YEAR(TODAY())-F1645)</f>
        <v/>
      </c>
      <c r="H1645" s="11" t="str">
        <f aca="false">IF(C1645="","",IF(G1645="","Thiếu thông tin",IF(G1645&lt;6,"Trẻ em",IF(G1645&lt;23,"Học sinh / Sinh viên",IF(G1645&lt;60,"Đang đi làm","Nghỉ hưu")))))</f>
        <v/>
      </c>
      <c r="I1645" s="6"/>
      <c r="J1645" s="11" t="str">
        <f aca="false">IF(B1645="","",IFERROR(INDEX('Hộ gia đình'!$B$2:$B$2000,MATCH(B1645,'Hộ gia đình'!$A$2:$A$2000,0)),"Mã hộ không tồn tại"))</f>
        <v/>
      </c>
      <c r="K1645" s="14"/>
      <c r="L1645" s="14"/>
      <c r="M1645" s="6"/>
      <c r="N1645" s="6"/>
      <c r="O1645" s="6"/>
      <c r="P1645" s="6"/>
      <c r="Q1645" s="6"/>
      <c r="R1645" s="12"/>
    </row>
    <row r="1646" customFormat="false" ht="15" hidden="false" customHeight="true" outlineLevel="0" collapsed="false">
      <c r="A1646" s="6"/>
      <c r="B1646" s="6"/>
      <c r="C1646" s="6"/>
      <c r="D1646" s="6"/>
      <c r="E1646" s="13"/>
      <c r="F1646" s="6"/>
      <c r="G1646" s="11" t="str">
        <f aca="true">IF(F1646="","",YEAR(TODAY())-F1646)</f>
        <v/>
      </c>
      <c r="H1646" s="11" t="str">
        <f aca="false">IF(C1646="","",IF(G1646="","Thiếu thông tin",IF(G1646&lt;6,"Trẻ em",IF(G1646&lt;23,"Học sinh / Sinh viên",IF(G1646&lt;60,"Đang đi làm","Nghỉ hưu")))))</f>
        <v/>
      </c>
      <c r="I1646" s="6"/>
      <c r="J1646" s="11" t="str">
        <f aca="false">IF(B1646="","",IFERROR(INDEX('Hộ gia đình'!$B$2:$B$2000,MATCH(B1646,'Hộ gia đình'!$A$2:$A$2000,0)),"Mã hộ không tồn tại"))</f>
        <v/>
      </c>
      <c r="K1646" s="14"/>
      <c r="L1646" s="14"/>
      <c r="M1646" s="6"/>
      <c r="N1646" s="6"/>
      <c r="O1646" s="6"/>
      <c r="P1646" s="6"/>
      <c r="Q1646" s="6"/>
      <c r="R1646" s="12"/>
    </row>
    <row r="1647" customFormat="false" ht="15" hidden="false" customHeight="true" outlineLevel="0" collapsed="false">
      <c r="A1647" s="6"/>
      <c r="B1647" s="6"/>
      <c r="C1647" s="6"/>
      <c r="D1647" s="6"/>
      <c r="E1647" s="13"/>
      <c r="F1647" s="6"/>
      <c r="G1647" s="11" t="str">
        <f aca="true">IF(F1647="","",YEAR(TODAY())-F1647)</f>
        <v/>
      </c>
      <c r="H1647" s="11" t="str">
        <f aca="false">IF(C1647="","",IF(G1647="","Thiếu thông tin",IF(G1647&lt;6,"Trẻ em",IF(G1647&lt;23,"Học sinh / Sinh viên",IF(G1647&lt;60,"Đang đi làm","Nghỉ hưu")))))</f>
        <v/>
      </c>
      <c r="I1647" s="6"/>
      <c r="J1647" s="11" t="str">
        <f aca="false">IF(B1647="","",IFERROR(INDEX('Hộ gia đình'!$B$2:$B$2000,MATCH(B1647,'Hộ gia đình'!$A$2:$A$2000,0)),"Mã hộ không tồn tại"))</f>
        <v/>
      </c>
      <c r="K1647" s="14"/>
      <c r="L1647" s="14"/>
      <c r="M1647" s="6"/>
      <c r="N1647" s="6"/>
      <c r="O1647" s="6"/>
      <c r="P1647" s="6"/>
      <c r="Q1647" s="6"/>
      <c r="R1647" s="12"/>
    </row>
    <row r="1648" customFormat="false" ht="15" hidden="false" customHeight="true" outlineLevel="0" collapsed="false">
      <c r="A1648" s="6"/>
      <c r="B1648" s="6"/>
      <c r="C1648" s="6"/>
      <c r="D1648" s="6"/>
      <c r="E1648" s="13"/>
      <c r="F1648" s="6"/>
      <c r="G1648" s="11" t="str">
        <f aca="true">IF(F1648="","",YEAR(TODAY())-F1648)</f>
        <v/>
      </c>
      <c r="H1648" s="11" t="str">
        <f aca="false">IF(C1648="","",IF(G1648="","Thiếu thông tin",IF(G1648&lt;6,"Trẻ em",IF(G1648&lt;23,"Học sinh / Sinh viên",IF(G1648&lt;60,"Đang đi làm","Nghỉ hưu")))))</f>
        <v/>
      </c>
      <c r="I1648" s="6"/>
      <c r="J1648" s="11" t="str">
        <f aca="false">IF(B1648="","",IFERROR(INDEX('Hộ gia đình'!$B$2:$B$2000,MATCH(B1648,'Hộ gia đình'!$A$2:$A$2000,0)),"Mã hộ không tồn tại"))</f>
        <v/>
      </c>
      <c r="K1648" s="14"/>
      <c r="L1648" s="14"/>
      <c r="M1648" s="6"/>
      <c r="N1648" s="6"/>
      <c r="O1648" s="6"/>
      <c r="P1648" s="6"/>
      <c r="Q1648" s="6"/>
      <c r="R1648" s="12"/>
    </row>
    <row r="1649" customFormat="false" ht="15" hidden="false" customHeight="true" outlineLevel="0" collapsed="false">
      <c r="A1649" s="6"/>
      <c r="B1649" s="6"/>
      <c r="C1649" s="6"/>
      <c r="D1649" s="6"/>
      <c r="E1649" s="13"/>
      <c r="F1649" s="6"/>
      <c r="G1649" s="11" t="str">
        <f aca="true">IF(F1649="","",YEAR(TODAY())-F1649)</f>
        <v/>
      </c>
      <c r="H1649" s="11" t="str">
        <f aca="false">IF(C1649="","",IF(G1649="","Thiếu thông tin",IF(G1649&lt;6,"Trẻ em",IF(G1649&lt;23,"Học sinh / Sinh viên",IF(G1649&lt;60,"Đang đi làm","Nghỉ hưu")))))</f>
        <v/>
      </c>
      <c r="I1649" s="6"/>
      <c r="J1649" s="11" t="str">
        <f aca="false">IF(B1649="","",IFERROR(INDEX('Hộ gia đình'!$B$2:$B$2000,MATCH(B1649,'Hộ gia đình'!$A$2:$A$2000,0)),"Mã hộ không tồn tại"))</f>
        <v/>
      </c>
      <c r="K1649" s="14"/>
      <c r="L1649" s="14"/>
      <c r="M1649" s="6"/>
      <c r="N1649" s="6"/>
      <c r="O1649" s="6"/>
      <c r="P1649" s="6"/>
      <c r="Q1649" s="6"/>
      <c r="R1649" s="12"/>
    </row>
    <row r="1650" customFormat="false" ht="15" hidden="false" customHeight="true" outlineLevel="0" collapsed="false">
      <c r="A1650" s="6"/>
      <c r="B1650" s="6"/>
      <c r="C1650" s="6"/>
      <c r="D1650" s="6"/>
      <c r="E1650" s="13"/>
      <c r="F1650" s="6"/>
      <c r="G1650" s="11" t="str">
        <f aca="true">IF(F1650="","",YEAR(TODAY())-F1650)</f>
        <v/>
      </c>
      <c r="H1650" s="11" t="str">
        <f aca="false">IF(C1650="","",IF(G1650="","Thiếu thông tin",IF(G1650&lt;6,"Trẻ em",IF(G1650&lt;23,"Học sinh / Sinh viên",IF(G1650&lt;60,"Đang đi làm","Nghỉ hưu")))))</f>
        <v/>
      </c>
      <c r="I1650" s="6"/>
      <c r="J1650" s="11" t="str">
        <f aca="false">IF(B1650="","",IFERROR(INDEX('Hộ gia đình'!$B$2:$B$2000,MATCH(B1650,'Hộ gia đình'!$A$2:$A$2000,0)),"Mã hộ không tồn tại"))</f>
        <v/>
      </c>
      <c r="K1650" s="14"/>
      <c r="L1650" s="14"/>
      <c r="M1650" s="6"/>
      <c r="N1650" s="6"/>
      <c r="O1650" s="6"/>
      <c r="P1650" s="6"/>
      <c r="Q1650" s="6"/>
      <c r="R1650" s="12"/>
    </row>
    <row r="1651" customFormat="false" ht="15" hidden="false" customHeight="true" outlineLevel="0" collapsed="false">
      <c r="A1651" s="6"/>
      <c r="B1651" s="6"/>
      <c r="C1651" s="6"/>
      <c r="D1651" s="6"/>
      <c r="E1651" s="13"/>
      <c r="F1651" s="6"/>
      <c r="G1651" s="11" t="str">
        <f aca="true">IF(F1651="","",YEAR(TODAY())-F1651)</f>
        <v/>
      </c>
      <c r="H1651" s="11" t="str">
        <f aca="false">IF(C1651="","",IF(G1651="","Thiếu thông tin",IF(G1651&lt;6,"Trẻ em",IF(G1651&lt;23,"Học sinh / Sinh viên",IF(G1651&lt;60,"Đang đi làm","Nghỉ hưu")))))</f>
        <v/>
      </c>
      <c r="I1651" s="6"/>
      <c r="J1651" s="11" t="str">
        <f aca="false">IF(B1651="","",IFERROR(INDEX('Hộ gia đình'!$B$2:$B$2000,MATCH(B1651,'Hộ gia đình'!$A$2:$A$2000,0)),"Mã hộ không tồn tại"))</f>
        <v/>
      </c>
      <c r="K1651" s="14"/>
      <c r="L1651" s="14"/>
      <c r="M1651" s="6"/>
      <c r="N1651" s="6"/>
      <c r="O1651" s="6"/>
      <c r="P1651" s="6"/>
      <c r="Q1651" s="6"/>
      <c r="R1651" s="12"/>
    </row>
    <row r="1652" customFormat="false" ht="15" hidden="false" customHeight="true" outlineLevel="0" collapsed="false">
      <c r="A1652" s="6"/>
      <c r="B1652" s="6"/>
      <c r="C1652" s="6"/>
      <c r="D1652" s="6"/>
      <c r="E1652" s="13"/>
      <c r="F1652" s="6"/>
      <c r="G1652" s="11" t="str">
        <f aca="true">IF(F1652="","",YEAR(TODAY())-F1652)</f>
        <v/>
      </c>
      <c r="H1652" s="11" t="str">
        <f aca="false">IF(C1652="","",IF(G1652="","Thiếu thông tin",IF(G1652&lt;6,"Trẻ em",IF(G1652&lt;23,"Học sinh / Sinh viên",IF(G1652&lt;60,"Đang đi làm","Nghỉ hưu")))))</f>
        <v/>
      </c>
      <c r="I1652" s="6"/>
      <c r="J1652" s="11" t="str">
        <f aca="false">IF(B1652="","",IFERROR(INDEX('Hộ gia đình'!$B$2:$B$2000,MATCH(B1652,'Hộ gia đình'!$A$2:$A$2000,0)),"Mã hộ không tồn tại"))</f>
        <v/>
      </c>
      <c r="K1652" s="14"/>
      <c r="L1652" s="14"/>
      <c r="M1652" s="6"/>
      <c r="N1652" s="6"/>
      <c r="O1652" s="6"/>
      <c r="P1652" s="6"/>
      <c r="Q1652" s="6"/>
      <c r="R1652" s="12"/>
    </row>
    <row r="1653" customFormat="false" ht="15" hidden="false" customHeight="true" outlineLevel="0" collapsed="false">
      <c r="A1653" s="6"/>
      <c r="B1653" s="6"/>
      <c r="C1653" s="6"/>
      <c r="D1653" s="6"/>
      <c r="E1653" s="13"/>
      <c r="F1653" s="6"/>
      <c r="G1653" s="11" t="str">
        <f aca="true">IF(F1653="","",YEAR(TODAY())-F1653)</f>
        <v/>
      </c>
      <c r="H1653" s="11" t="str">
        <f aca="false">IF(C1653="","",IF(G1653="","Thiếu thông tin",IF(G1653&lt;6,"Trẻ em",IF(G1653&lt;23,"Học sinh / Sinh viên",IF(G1653&lt;60,"Đang đi làm","Nghỉ hưu")))))</f>
        <v/>
      </c>
      <c r="I1653" s="6"/>
      <c r="J1653" s="11" t="str">
        <f aca="false">IF(B1653="","",IFERROR(INDEX('Hộ gia đình'!$B$2:$B$2000,MATCH(B1653,'Hộ gia đình'!$A$2:$A$2000,0)),"Mã hộ không tồn tại"))</f>
        <v/>
      </c>
      <c r="K1653" s="14"/>
      <c r="L1653" s="14"/>
      <c r="M1653" s="6"/>
      <c r="N1653" s="6"/>
      <c r="O1653" s="6"/>
      <c r="P1653" s="6"/>
      <c r="Q1653" s="6"/>
      <c r="R1653" s="12"/>
    </row>
    <row r="1654" customFormat="false" ht="15" hidden="false" customHeight="true" outlineLevel="0" collapsed="false">
      <c r="A1654" s="6"/>
      <c r="B1654" s="6"/>
      <c r="C1654" s="6"/>
      <c r="D1654" s="6"/>
      <c r="E1654" s="13"/>
      <c r="F1654" s="6"/>
      <c r="G1654" s="11" t="str">
        <f aca="true">IF(F1654="","",YEAR(TODAY())-F1654)</f>
        <v/>
      </c>
      <c r="H1654" s="11" t="str">
        <f aca="false">IF(C1654="","",IF(G1654="","Thiếu thông tin",IF(G1654&lt;6,"Trẻ em",IF(G1654&lt;23,"Học sinh / Sinh viên",IF(G1654&lt;60,"Đang đi làm","Nghỉ hưu")))))</f>
        <v/>
      </c>
      <c r="I1654" s="6"/>
      <c r="J1654" s="11" t="str">
        <f aca="false">IF(B1654="","",IFERROR(INDEX('Hộ gia đình'!$B$2:$B$2000,MATCH(B1654,'Hộ gia đình'!$A$2:$A$2000,0)),"Mã hộ không tồn tại"))</f>
        <v/>
      </c>
      <c r="K1654" s="14"/>
      <c r="L1654" s="14"/>
      <c r="M1654" s="6"/>
      <c r="N1654" s="6"/>
      <c r="O1654" s="6"/>
      <c r="P1654" s="6"/>
      <c r="Q1654" s="6"/>
      <c r="R1654" s="12"/>
    </row>
    <row r="1655" customFormat="false" ht="15" hidden="false" customHeight="true" outlineLevel="0" collapsed="false">
      <c r="A1655" s="6"/>
      <c r="B1655" s="6"/>
      <c r="C1655" s="6"/>
      <c r="D1655" s="6"/>
      <c r="E1655" s="13"/>
      <c r="F1655" s="6"/>
      <c r="G1655" s="11" t="str">
        <f aca="true">IF(F1655="","",YEAR(TODAY())-F1655)</f>
        <v/>
      </c>
      <c r="H1655" s="11" t="str">
        <f aca="false">IF(C1655="","",IF(G1655="","Thiếu thông tin",IF(G1655&lt;6,"Trẻ em",IF(G1655&lt;23,"Học sinh / Sinh viên",IF(G1655&lt;60,"Đang đi làm","Nghỉ hưu")))))</f>
        <v/>
      </c>
      <c r="I1655" s="6"/>
      <c r="J1655" s="11" t="str">
        <f aca="false">IF(B1655="","",IFERROR(INDEX('Hộ gia đình'!$B$2:$B$2000,MATCH(B1655,'Hộ gia đình'!$A$2:$A$2000,0)),"Mã hộ không tồn tại"))</f>
        <v/>
      </c>
      <c r="K1655" s="14"/>
      <c r="L1655" s="14"/>
      <c r="M1655" s="6"/>
      <c r="N1655" s="6"/>
      <c r="O1655" s="6"/>
      <c r="P1655" s="6"/>
      <c r="Q1655" s="6"/>
      <c r="R1655" s="12"/>
    </row>
    <row r="1656" customFormat="false" ht="15" hidden="false" customHeight="true" outlineLevel="0" collapsed="false">
      <c r="A1656" s="6"/>
      <c r="B1656" s="6"/>
      <c r="C1656" s="6"/>
      <c r="D1656" s="6"/>
      <c r="E1656" s="13"/>
      <c r="F1656" s="6"/>
      <c r="G1656" s="11" t="str">
        <f aca="true">IF(F1656="","",YEAR(TODAY())-F1656)</f>
        <v/>
      </c>
      <c r="H1656" s="11" t="str">
        <f aca="false">IF(C1656="","",IF(G1656="","Thiếu thông tin",IF(G1656&lt;6,"Trẻ em",IF(G1656&lt;23,"Học sinh / Sinh viên",IF(G1656&lt;60,"Đang đi làm","Nghỉ hưu")))))</f>
        <v/>
      </c>
      <c r="I1656" s="6"/>
      <c r="J1656" s="11" t="str">
        <f aca="false">IF(B1656="","",IFERROR(INDEX('Hộ gia đình'!$B$2:$B$2000,MATCH(B1656,'Hộ gia đình'!$A$2:$A$2000,0)),"Mã hộ không tồn tại"))</f>
        <v/>
      </c>
      <c r="K1656" s="14"/>
      <c r="L1656" s="14"/>
      <c r="M1656" s="6"/>
      <c r="N1656" s="6"/>
      <c r="O1656" s="6"/>
      <c r="P1656" s="6"/>
      <c r="Q1656" s="6"/>
      <c r="R1656" s="12"/>
    </row>
    <row r="1657" customFormat="false" ht="15" hidden="false" customHeight="true" outlineLevel="0" collapsed="false">
      <c r="A1657" s="6"/>
      <c r="B1657" s="6"/>
      <c r="C1657" s="6"/>
      <c r="D1657" s="6"/>
      <c r="E1657" s="13"/>
      <c r="F1657" s="6"/>
      <c r="G1657" s="11" t="str">
        <f aca="true">IF(F1657="","",YEAR(TODAY())-F1657)</f>
        <v/>
      </c>
      <c r="H1657" s="11" t="str">
        <f aca="false">IF(C1657="","",IF(G1657="","Thiếu thông tin",IF(G1657&lt;6,"Trẻ em",IF(G1657&lt;23,"Học sinh / Sinh viên",IF(G1657&lt;60,"Đang đi làm","Nghỉ hưu")))))</f>
        <v/>
      </c>
      <c r="I1657" s="6"/>
      <c r="J1657" s="11" t="str">
        <f aca="false">IF(B1657="","",IFERROR(INDEX('Hộ gia đình'!$B$2:$B$2000,MATCH(B1657,'Hộ gia đình'!$A$2:$A$2000,0)),"Mã hộ không tồn tại"))</f>
        <v/>
      </c>
      <c r="K1657" s="14"/>
      <c r="L1657" s="14"/>
      <c r="M1657" s="6"/>
      <c r="N1657" s="6"/>
      <c r="O1657" s="6"/>
      <c r="P1657" s="6"/>
      <c r="Q1657" s="6"/>
      <c r="R1657" s="12"/>
    </row>
    <row r="1658" customFormat="false" ht="15" hidden="false" customHeight="true" outlineLevel="0" collapsed="false">
      <c r="A1658" s="6"/>
      <c r="B1658" s="6"/>
      <c r="C1658" s="6"/>
      <c r="D1658" s="6"/>
      <c r="E1658" s="13"/>
      <c r="F1658" s="6"/>
      <c r="G1658" s="11" t="str">
        <f aca="true">IF(F1658="","",YEAR(TODAY())-F1658)</f>
        <v/>
      </c>
      <c r="H1658" s="11" t="str">
        <f aca="false">IF(C1658="","",IF(G1658="","Thiếu thông tin",IF(G1658&lt;6,"Trẻ em",IF(G1658&lt;23,"Học sinh / Sinh viên",IF(G1658&lt;60,"Đang đi làm","Nghỉ hưu")))))</f>
        <v/>
      </c>
      <c r="I1658" s="6"/>
      <c r="J1658" s="11" t="str">
        <f aca="false">IF(B1658="","",IFERROR(INDEX('Hộ gia đình'!$B$2:$B$2000,MATCH(B1658,'Hộ gia đình'!$A$2:$A$2000,0)),"Mã hộ không tồn tại"))</f>
        <v/>
      </c>
      <c r="K1658" s="14"/>
      <c r="L1658" s="14"/>
      <c r="M1658" s="6"/>
      <c r="N1658" s="6"/>
      <c r="O1658" s="6"/>
      <c r="P1658" s="6"/>
      <c r="Q1658" s="6"/>
      <c r="R1658" s="12"/>
    </row>
    <row r="1659" customFormat="false" ht="15" hidden="false" customHeight="true" outlineLevel="0" collapsed="false">
      <c r="A1659" s="6"/>
      <c r="B1659" s="6"/>
      <c r="C1659" s="6"/>
      <c r="D1659" s="6"/>
      <c r="E1659" s="13"/>
      <c r="F1659" s="6"/>
      <c r="G1659" s="11" t="str">
        <f aca="true">IF(F1659="","",YEAR(TODAY())-F1659)</f>
        <v/>
      </c>
      <c r="H1659" s="11" t="str">
        <f aca="false">IF(C1659="","",IF(G1659="","Thiếu thông tin",IF(G1659&lt;6,"Trẻ em",IF(G1659&lt;23,"Học sinh / Sinh viên",IF(G1659&lt;60,"Đang đi làm","Nghỉ hưu")))))</f>
        <v/>
      </c>
      <c r="I1659" s="6"/>
      <c r="J1659" s="11" t="str">
        <f aca="false">IF(B1659="","",IFERROR(INDEX('Hộ gia đình'!$B$2:$B$2000,MATCH(B1659,'Hộ gia đình'!$A$2:$A$2000,0)),"Mã hộ không tồn tại"))</f>
        <v/>
      </c>
      <c r="K1659" s="14"/>
      <c r="L1659" s="14"/>
      <c r="M1659" s="6"/>
      <c r="N1659" s="6"/>
      <c r="O1659" s="6"/>
      <c r="P1659" s="6"/>
      <c r="Q1659" s="6"/>
      <c r="R1659" s="12"/>
    </row>
    <row r="1660" customFormat="false" ht="15" hidden="false" customHeight="true" outlineLevel="0" collapsed="false">
      <c r="A1660" s="6"/>
      <c r="B1660" s="6"/>
      <c r="C1660" s="6"/>
      <c r="D1660" s="6"/>
      <c r="E1660" s="13"/>
      <c r="F1660" s="6"/>
      <c r="G1660" s="11" t="str">
        <f aca="true">IF(F1660="","",YEAR(TODAY())-F1660)</f>
        <v/>
      </c>
      <c r="H1660" s="11" t="str">
        <f aca="false">IF(C1660="","",IF(G1660="","Thiếu thông tin",IF(G1660&lt;6,"Trẻ em",IF(G1660&lt;23,"Học sinh / Sinh viên",IF(G1660&lt;60,"Đang đi làm","Nghỉ hưu")))))</f>
        <v/>
      </c>
      <c r="I1660" s="6"/>
      <c r="J1660" s="11" t="str">
        <f aca="false">IF(B1660="","",IFERROR(INDEX('Hộ gia đình'!$B$2:$B$2000,MATCH(B1660,'Hộ gia đình'!$A$2:$A$2000,0)),"Mã hộ không tồn tại"))</f>
        <v/>
      </c>
      <c r="K1660" s="14"/>
      <c r="L1660" s="14"/>
      <c r="M1660" s="6"/>
      <c r="N1660" s="6"/>
      <c r="O1660" s="6"/>
      <c r="P1660" s="6"/>
      <c r="Q1660" s="6"/>
      <c r="R1660" s="12"/>
    </row>
    <row r="1661" customFormat="false" ht="15" hidden="false" customHeight="true" outlineLevel="0" collapsed="false">
      <c r="A1661" s="6"/>
      <c r="B1661" s="6"/>
      <c r="C1661" s="6"/>
      <c r="D1661" s="6"/>
      <c r="E1661" s="13"/>
      <c r="F1661" s="6"/>
      <c r="G1661" s="11" t="str">
        <f aca="true">IF(F1661="","",YEAR(TODAY())-F1661)</f>
        <v/>
      </c>
      <c r="H1661" s="11" t="str">
        <f aca="false">IF(C1661="","",IF(G1661="","Thiếu thông tin",IF(G1661&lt;6,"Trẻ em",IF(G1661&lt;23,"Học sinh / Sinh viên",IF(G1661&lt;60,"Đang đi làm","Nghỉ hưu")))))</f>
        <v/>
      </c>
      <c r="I1661" s="6"/>
      <c r="J1661" s="11" t="str">
        <f aca="false">IF(B1661="","",IFERROR(INDEX('Hộ gia đình'!$B$2:$B$2000,MATCH(B1661,'Hộ gia đình'!$A$2:$A$2000,0)),"Mã hộ không tồn tại"))</f>
        <v/>
      </c>
      <c r="K1661" s="14"/>
      <c r="L1661" s="14"/>
      <c r="M1661" s="6"/>
      <c r="N1661" s="6"/>
      <c r="O1661" s="6"/>
      <c r="P1661" s="6"/>
      <c r="Q1661" s="6"/>
      <c r="R1661" s="12"/>
    </row>
    <row r="1662" customFormat="false" ht="15" hidden="false" customHeight="true" outlineLevel="0" collapsed="false">
      <c r="A1662" s="6"/>
      <c r="B1662" s="6"/>
      <c r="C1662" s="6"/>
      <c r="D1662" s="6"/>
      <c r="E1662" s="13"/>
      <c r="F1662" s="6"/>
      <c r="G1662" s="11" t="str">
        <f aca="true">IF(F1662="","",YEAR(TODAY())-F1662)</f>
        <v/>
      </c>
      <c r="H1662" s="11" t="str">
        <f aca="false">IF(C1662="","",IF(G1662="","Thiếu thông tin",IF(G1662&lt;6,"Trẻ em",IF(G1662&lt;23,"Học sinh / Sinh viên",IF(G1662&lt;60,"Đang đi làm","Nghỉ hưu")))))</f>
        <v/>
      </c>
      <c r="I1662" s="6"/>
      <c r="J1662" s="11" t="str">
        <f aca="false">IF(B1662="","",IFERROR(INDEX('Hộ gia đình'!$B$2:$B$2000,MATCH(B1662,'Hộ gia đình'!$A$2:$A$2000,0)),"Mã hộ không tồn tại"))</f>
        <v/>
      </c>
      <c r="K1662" s="14"/>
      <c r="L1662" s="14"/>
      <c r="M1662" s="6"/>
      <c r="N1662" s="6"/>
      <c r="O1662" s="6"/>
      <c r="P1662" s="6"/>
      <c r="Q1662" s="6"/>
      <c r="R1662" s="12"/>
    </row>
    <row r="1663" customFormat="false" ht="15" hidden="false" customHeight="true" outlineLevel="0" collapsed="false">
      <c r="A1663" s="6"/>
      <c r="B1663" s="6"/>
      <c r="C1663" s="6"/>
      <c r="D1663" s="6"/>
      <c r="E1663" s="13"/>
      <c r="F1663" s="6"/>
      <c r="G1663" s="11" t="str">
        <f aca="true">IF(F1663="","",YEAR(TODAY())-F1663)</f>
        <v/>
      </c>
      <c r="H1663" s="11" t="str">
        <f aca="false">IF(C1663="","",IF(G1663="","Thiếu thông tin",IF(G1663&lt;6,"Trẻ em",IF(G1663&lt;23,"Học sinh / Sinh viên",IF(G1663&lt;60,"Đang đi làm","Nghỉ hưu")))))</f>
        <v/>
      </c>
      <c r="I1663" s="6"/>
      <c r="J1663" s="11" t="str">
        <f aca="false">IF(B1663="","",IFERROR(INDEX('Hộ gia đình'!$B$2:$B$2000,MATCH(B1663,'Hộ gia đình'!$A$2:$A$2000,0)),"Mã hộ không tồn tại"))</f>
        <v/>
      </c>
      <c r="K1663" s="14"/>
      <c r="L1663" s="14"/>
      <c r="M1663" s="6"/>
      <c r="N1663" s="6"/>
      <c r="O1663" s="6"/>
      <c r="P1663" s="6"/>
      <c r="Q1663" s="6"/>
      <c r="R1663" s="12"/>
    </row>
    <row r="1664" customFormat="false" ht="15" hidden="false" customHeight="true" outlineLevel="0" collapsed="false">
      <c r="A1664" s="6"/>
      <c r="B1664" s="6"/>
      <c r="C1664" s="6"/>
      <c r="D1664" s="6"/>
      <c r="E1664" s="13"/>
      <c r="F1664" s="6"/>
      <c r="G1664" s="11" t="str">
        <f aca="true">IF(F1664="","",YEAR(TODAY())-F1664)</f>
        <v/>
      </c>
      <c r="H1664" s="11" t="str">
        <f aca="false">IF(C1664="","",IF(G1664="","Thiếu thông tin",IF(G1664&lt;6,"Trẻ em",IF(G1664&lt;23,"Học sinh / Sinh viên",IF(G1664&lt;60,"Đang đi làm","Nghỉ hưu")))))</f>
        <v/>
      </c>
      <c r="I1664" s="6"/>
      <c r="J1664" s="11" t="str">
        <f aca="false">IF(B1664="","",IFERROR(INDEX('Hộ gia đình'!$B$2:$B$2000,MATCH(B1664,'Hộ gia đình'!$A$2:$A$2000,0)),"Mã hộ không tồn tại"))</f>
        <v/>
      </c>
      <c r="K1664" s="14"/>
      <c r="L1664" s="14"/>
      <c r="M1664" s="6"/>
      <c r="N1664" s="6"/>
      <c r="O1664" s="6"/>
      <c r="P1664" s="6"/>
      <c r="Q1664" s="6"/>
      <c r="R1664" s="12"/>
    </row>
    <row r="1665" customFormat="false" ht="15" hidden="false" customHeight="true" outlineLevel="0" collapsed="false">
      <c r="A1665" s="6"/>
      <c r="B1665" s="6"/>
      <c r="C1665" s="6"/>
      <c r="D1665" s="6"/>
      <c r="E1665" s="13"/>
      <c r="F1665" s="6"/>
      <c r="G1665" s="11" t="str">
        <f aca="true">IF(F1665="","",YEAR(TODAY())-F1665)</f>
        <v/>
      </c>
      <c r="H1665" s="11" t="str">
        <f aca="false">IF(C1665="","",IF(G1665="","Thiếu thông tin",IF(G1665&lt;6,"Trẻ em",IF(G1665&lt;23,"Học sinh / Sinh viên",IF(G1665&lt;60,"Đang đi làm","Nghỉ hưu")))))</f>
        <v/>
      </c>
      <c r="I1665" s="6"/>
      <c r="J1665" s="11" t="str">
        <f aca="false">IF(B1665="","",IFERROR(INDEX('Hộ gia đình'!$B$2:$B$2000,MATCH(B1665,'Hộ gia đình'!$A$2:$A$2000,0)),"Mã hộ không tồn tại"))</f>
        <v/>
      </c>
      <c r="K1665" s="14"/>
      <c r="L1665" s="14"/>
      <c r="M1665" s="6"/>
      <c r="N1665" s="6"/>
      <c r="O1665" s="6"/>
      <c r="P1665" s="6"/>
      <c r="Q1665" s="6"/>
      <c r="R1665" s="12"/>
    </row>
    <row r="1666" customFormat="false" ht="15" hidden="false" customHeight="true" outlineLevel="0" collapsed="false">
      <c r="A1666" s="6"/>
      <c r="B1666" s="6"/>
      <c r="C1666" s="6"/>
      <c r="D1666" s="6"/>
      <c r="E1666" s="13"/>
      <c r="F1666" s="6"/>
      <c r="G1666" s="11" t="str">
        <f aca="true">IF(F1666="","",YEAR(TODAY())-F1666)</f>
        <v/>
      </c>
      <c r="H1666" s="11" t="str">
        <f aca="false">IF(C1666="","",IF(G1666="","Thiếu thông tin",IF(G1666&lt;6,"Trẻ em",IF(G1666&lt;23,"Học sinh / Sinh viên",IF(G1666&lt;60,"Đang đi làm","Nghỉ hưu")))))</f>
        <v/>
      </c>
      <c r="I1666" s="6"/>
      <c r="J1666" s="11" t="str">
        <f aca="false">IF(B1666="","",IFERROR(INDEX('Hộ gia đình'!$B$2:$B$2000,MATCH(B1666,'Hộ gia đình'!$A$2:$A$2000,0)),"Mã hộ không tồn tại"))</f>
        <v/>
      </c>
      <c r="K1666" s="14"/>
      <c r="L1666" s="14"/>
      <c r="M1666" s="6"/>
      <c r="N1666" s="6"/>
      <c r="O1666" s="6"/>
      <c r="P1666" s="6"/>
      <c r="Q1666" s="6"/>
      <c r="R1666" s="12"/>
    </row>
    <row r="1667" customFormat="false" ht="15" hidden="false" customHeight="true" outlineLevel="0" collapsed="false">
      <c r="A1667" s="6"/>
      <c r="B1667" s="6"/>
      <c r="C1667" s="6"/>
      <c r="D1667" s="6"/>
      <c r="E1667" s="13"/>
      <c r="F1667" s="6"/>
      <c r="G1667" s="11" t="str">
        <f aca="true">IF(F1667="","",YEAR(TODAY())-F1667)</f>
        <v/>
      </c>
      <c r="H1667" s="11" t="str">
        <f aca="false">IF(C1667="","",IF(G1667="","Thiếu thông tin",IF(G1667&lt;6,"Trẻ em",IF(G1667&lt;23,"Học sinh / Sinh viên",IF(G1667&lt;60,"Đang đi làm","Nghỉ hưu")))))</f>
        <v/>
      </c>
      <c r="I1667" s="6"/>
      <c r="J1667" s="11" t="str">
        <f aca="false">IF(B1667="","",IFERROR(INDEX('Hộ gia đình'!$B$2:$B$2000,MATCH(B1667,'Hộ gia đình'!$A$2:$A$2000,0)),"Mã hộ không tồn tại"))</f>
        <v/>
      </c>
      <c r="K1667" s="14"/>
      <c r="L1667" s="14"/>
      <c r="M1667" s="6"/>
      <c r="N1667" s="6"/>
      <c r="O1667" s="6"/>
      <c r="P1667" s="6"/>
      <c r="Q1667" s="6"/>
      <c r="R1667" s="12"/>
    </row>
    <row r="1668" customFormat="false" ht="15" hidden="false" customHeight="true" outlineLevel="0" collapsed="false">
      <c r="A1668" s="6"/>
      <c r="B1668" s="6"/>
      <c r="C1668" s="6"/>
      <c r="D1668" s="6"/>
      <c r="E1668" s="13"/>
      <c r="F1668" s="6"/>
      <c r="G1668" s="11" t="str">
        <f aca="true">IF(F1668="","",YEAR(TODAY())-F1668)</f>
        <v/>
      </c>
      <c r="H1668" s="11" t="str">
        <f aca="false">IF(C1668="","",IF(G1668="","Thiếu thông tin",IF(G1668&lt;6,"Trẻ em",IF(G1668&lt;23,"Học sinh / Sinh viên",IF(G1668&lt;60,"Đang đi làm","Nghỉ hưu")))))</f>
        <v/>
      </c>
      <c r="I1668" s="6"/>
      <c r="J1668" s="11" t="str">
        <f aca="false">IF(B1668="","",IFERROR(INDEX('Hộ gia đình'!$B$2:$B$2000,MATCH(B1668,'Hộ gia đình'!$A$2:$A$2000,0)),"Mã hộ không tồn tại"))</f>
        <v/>
      </c>
      <c r="K1668" s="14"/>
      <c r="L1668" s="14"/>
      <c r="M1668" s="6"/>
      <c r="N1668" s="6"/>
      <c r="O1668" s="6"/>
      <c r="P1668" s="6"/>
      <c r="Q1668" s="6"/>
      <c r="R1668" s="12"/>
    </row>
    <row r="1669" customFormat="false" ht="15" hidden="false" customHeight="true" outlineLevel="0" collapsed="false">
      <c r="A1669" s="6"/>
      <c r="B1669" s="6"/>
      <c r="C1669" s="6"/>
      <c r="D1669" s="6"/>
      <c r="E1669" s="13"/>
      <c r="F1669" s="6"/>
      <c r="G1669" s="11" t="str">
        <f aca="true">IF(F1669="","",YEAR(TODAY())-F1669)</f>
        <v/>
      </c>
      <c r="H1669" s="11" t="str">
        <f aca="false">IF(C1669="","",IF(G1669="","Thiếu thông tin",IF(G1669&lt;6,"Trẻ em",IF(G1669&lt;23,"Học sinh / Sinh viên",IF(G1669&lt;60,"Đang đi làm","Nghỉ hưu")))))</f>
        <v/>
      </c>
      <c r="I1669" s="6"/>
      <c r="J1669" s="11" t="str">
        <f aca="false">IF(B1669="","",IFERROR(INDEX('Hộ gia đình'!$B$2:$B$2000,MATCH(B1669,'Hộ gia đình'!$A$2:$A$2000,0)),"Mã hộ không tồn tại"))</f>
        <v/>
      </c>
      <c r="K1669" s="14"/>
      <c r="L1669" s="14"/>
      <c r="M1669" s="6"/>
      <c r="N1669" s="6"/>
      <c r="O1669" s="6"/>
      <c r="P1669" s="6"/>
      <c r="Q1669" s="6"/>
      <c r="R1669" s="12"/>
    </row>
    <row r="1670" customFormat="false" ht="15" hidden="false" customHeight="true" outlineLevel="0" collapsed="false">
      <c r="A1670" s="6"/>
      <c r="B1670" s="6"/>
      <c r="C1670" s="6"/>
      <c r="D1670" s="6"/>
      <c r="E1670" s="13"/>
      <c r="F1670" s="6"/>
      <c r="G1670" s="11" t="str">
        <f aca="true">IF(F1670="","",YEAR(TODAY())-F1670)</f>
        <v/>
      </c>
      <c r="H1670" s="11" t="str">
        <f aca="false">IF(C1670="","",IF(G1670="","Thiếu thông tin",IF(G1670&lt;6,"Trẻ em",IF(G1670&lt;23,"Học sinh / Sinh viên",IF(G1670&lt;60,"Đang đi làm","Nghỉ hưu")))))</f>
        <v/>
      </c>
      <c r="I1670" s="6"/>
      <c r="J1670" s="11" t="str">
        <f aca="false">IF(B1670="","",IFERROR(INDEX('Hộ gia đình'!$B$2:$B$2000,MATCH(B1670,'Hộ gia đình'!$A$2:$A$2000,0)),"Mã hộ không tồn tại"))</f>
        <v/>
      </c>
      <c r="K1670" s="14"/>
      <c r="L1670" s="14"/>
      <c r="M1670" s="6"/>
      <c r="N1670" s="6"/>
      <c r="O1670" s="6"/>
      <c r="P1670" s="6"/>
      <c r="Q1670" s="6"/>
      <c r="R1670" s="12"/>
    </row>
    <row r="1671" customFormat="false" ht="15" hidden="false" customHeight="true" outlineLevel="0" collapsed="false">
      <c r="A1671" s="6"/>
      <c r="B1671" s="6"/>
      <c r="C1671" s="6"/>
      <c r="D1671" s="6"/>
      <c r="E1671" s="13"/>
      <c r="F1671" s="6"/>
      <c r="G1671" s="11" t="str">
        <f aca="true">IF(F1671="","",YEAR(TODAY())-F1671)</f>
        <v/>
      </c>
      <c r="H1671" s="11" t="str">
        <f aca="false">IF(C1671="","",IF(G1671="","Thiếu thông tin",IF(G1671&lt;6,"Trẻ em",IF(G1671&lt;23,"Học sinh / Sinh viên",IF(G1671&lt;60,"Đang đi làm","Nghỉ hưu")))))</f>
        <v/>
      </c>
      <c r="I1671" s="6"/>
      <c r="J1671" s="11" t="str">
        <f aca="false">IF(B1671="","",IFERROR(INDEX('Hộ gia đình'!$B$2:$B$2000,MATCH(B1671,'Hộ gia đình'!$A$2:$A$2000,0)),"Mã hộ không tồn tại"))</f>
        <v/>
      </c>
      <c r="K1671" s="14"/>
      <c r="L1671" s="14"/>
      <c r="M1671" s="6"/>
      <c r="N1671" s="6"/>
      <c r="O1671" s="6"/>
      <c r="P1671" s="6"/>
      <c r="Q1671" s="6"/>
      <c r="R1671" s="12"/>
    </row>
    <row r="1672" customFormat="false" ht="15" hidden="false" customHeight="true" outlineLevel="0" collapsed="false">
      <c r="A1672" s="6"/>
      <c r="B1672" s="6"/>
      <c r="C1672" s="6"/>
      <c r="D1672" s="6"/>
      <c r="E1672" s="13"/>
      <c r="F1672" s="6"/>
      <c r="G1672" s="11" t="str">
        <f aca="true">IF(F1672="","",YEAR(TODAY())-F1672)</f>
        <v/>
      </c>
      <c r="H1672" s="11" t="str">
        <f aca="false">IF(C1672="","",IF(G1672="","Thiếu thông tin",IF(G1672&lt;6,"Trẻ em",IF(G1672&lt;23,"Học sinh / Sinh viên",IF(G1672&lt;60,"Đang đi làm","Nghỉ hưu")))))</f>
        <v/>
      </c>
      <c r="I1672" s="6"/>
      <c r="J1672" s="11" t="str">
        <f aca="false">IF(B1672="","",IFERROR(INDEX('Hộ gia đình'!$B$2:$B$2000,MATCH(B1672,'Hộ gia đình'!$A$2:$A$2000,0)),"Mã hộ không tồn tại"))</f>
        <v/>
      </c>
      <c r="K1672" s="14"/>
      <c r="L1672" s="14"/>
      <c r="M1672" s="6"/>
      <c r="N1672" s="6"/>
      <c r="O1672" s="6"/>
      <c r="P1672" s="6"/>
      <c r="Q1672" s="6"/>
      <c r="R1672" s="12"/>
    </row>
    <row r="1673" customFormat="false" ht="15" hidden="false" customHeight="true" outlineLevel="0" collapsed="false">
      <c r="A1673" s="6"/>
      <c r="B1673" s="6"/>
      <c r="C1673" s="6"/>
      <c r="D1673" s="6"/>
      <c r="E1673" s="13"/>
      <c r="F1673" s="6"/>
      <c r="G1673" s="11" t="str">
        <f aca="true">IF(F1673="","",YEAR(TODAY())-F1673)</f>
        <v/>
      </c>
      <c r="H1673" s="11" t="str">
        <f aca="false">IF(C1673="","",IF(G1673="","Thiếu thông tin",IF(G1673&lt;6,"Trẻ em",IF(G1673&lt;23,"Học sinh / Sinh viên",IF(G1673&lt;60,"Đang đi làm","Nghỉ hưu")))))</f>
        <v/>
      </c>
      <c r="I1673" s="6"/>
      <c r="J1673" s="11" t="str">
        <f aca="false">IF(B1673="","",IFERROR(INDEX('Hộ gia đình'!$B$2:$B$2000,MATCH(B1673,'Hộ gia đình'!$A$2:$A$2000,0)),"Mã hộ không tồn tại"))</f>
        <v/>
      </c>
      <c r="K1673" s="14"/>
      <c r="L1673" s="14"/>
      <c r="M1673" s="6"/>
      <c r="N1673" s="6"/>
      <c r="O1673" s="6"/>
      <c r="P1673" s="6"/>
      <c r="Q1673" s="6"/>
      <c r="R1673" s="12"/>
    </row>
    <row r="1674" customFormat="false" ht="15" hidden="false" customHeight="true" outlineLevel="0" collapsed="false">
      <c r="A1674" s="6"/>
      <c r="B1674" s="6"/>
      <c r="C1674" s="6"/>
      <c r="D1674" s="6"/>
      <c r="E1674" s="13"/>
      <c r="F1674" s="6"/>
      <c r="G1674" s="11" t="str">
        <f aca="true">IF(F1674="","",YEAR(TODAY())-F1674)</f>
        <v/>
      </c>
      <c r="H1674" s="11" t="str">
        <f aca="false">IF(C1674="","",IF(G1674="","Thiếu thông tin",IF(G1674&lt;6,"Trẻ em",IF(G1674&lt;23,"Học sinh / Sinh viên",IF(G1674&lt;60,"Đang đi làm","Nghỉ hưu")))))</f>
        <v/>
      </c>
      <c r="I1674" s="6"/>
      <c r="J1674" s="11" t="str">
        <f aca="false">IF(B1674="","",IFERROR(INDEX('Hộ gia đình'!$B$2:$B$2000,MATCH(B1674,'Hộ gia đình'!$A$2:$A$2000,0)),"Mã hộ không tồn tại"))</f>
        <v/>
      </c>
      <c r="K1674" s="14"/>
      <c r="L1674" s="14"/>
      <c r="M1674" s="6"/>
      <c r="N1674" s="6"/>
      <c r="O1674" s="6"/>
      <c r="P1674" s="6"/>
      <c r="Q1674" s="6"/>
      <c r="R1674" s="12"/>
    </row>
    <row r="1675" customFormat="false" ht="15" hidden="false" customHeight="true" outlineLevel="0" collapsed="false">
      <c r="A1675" s="6"/>
      <c r="B1675" s="6"/>
      <c r="C1675" s="6"/>
      <c r="D1675" s="6"/>
      <c r="E1675" s="13"/>
      <c r="F1675" s="6"/>
      <c r="G1675" s="11" t="str">
        <f aca="true">IF(F1675="","",YEAR(TODAY())-F1675)</f>
        <v/>
      </c>
      <c r="H1675" s="11" t="str">
        <f aca="false">IF(C1675="","",IF(G1675="","Thiếu thông tin",IF(G1675&lt;6,"Trẻ em",IF(G1675&lt;23,"Học sinh / Sinh viên",IF(G1675&lt;60,"Đang đi làm","Nghỉ hưu")))))</f>
        <v/>
      </c>
      <c r="I1675" s="6"/>
      <c r="J1675" s="11" t="str">
        <f aca="false">IF(B1675="","",IFERROR(INDEX('Hộ gia đình'!$B$2:$B$2000,MATCH(B1675,'Hộ gia đình'!$A$2:$A$2000,0)),"Mã hộ không tồn tại"))</f>
        <v/>
      </c>
      <c r="K1675" s="14"/>
      <c r="L1675" s="14"/>
      <c r="M1675" s="6"/>
      <c r="N1675" s="6"/>
      <c r="O1675" s="6"/>
      <c r="P1675" s="6"/>
      <c r="Q1675" s="6"/>
      <c r="R1675" s="12"/>
    </row>
    <row r="1676" customFormat="false" ht="15" hidden="false" customHeight="true" outlineLevel="0" collapsed="false">
      <c r="A1676" s="6"/>
      <c r="B1676" s="6"/>
      <c r="C1676" s="6"/>
      <c r="D1676" s="6"/>
      <c r="E1676" s="13"/>
      <c r="F1676" s="6"/>
      <c r="G1676" s="11" t="str">
        <f aca="true">IF(F1676="","",YEAR(TODAY())-F1676)</f>
        <v/>
      </c>
      <c r="H1676" s="11" t="str">
        <f aca="false">IF(C1676="","",IF(G1676="","Thiếu thông tin",IF(G1676&lt;6,"Trẻ em",IF(G1676&lt;23,"Học sinh / Sinh viên",IF(G1676&lt;60,"Đang đi làm","Nghỉ hưu")))))</f>
        <v/>
      </c>
      <c r="I1676" s="6"/>
      <c r="J1676" s="11" t="str">
        <f aca="false">IF(B1676="","",IFERROR(INDEX('Hộ gia đình'!$B$2:$B$2000,MATCH(B1676,'Hộ gia đình'!$A$2:$A$2000,0)),"Mã hộ không tồn tại"))</f>
        <v/>
      </c>
      <c r="K1676" s="14"/>
      <c r="L1676" s="14"/>
      <c r="M1676" s="6"/>
      <c r="N1676" s="6"/>
      <c r="O1676" s="6"/>
      <c r="P1676" s="6"/>
      <c r="Q1676" s="6"/>
      <c r="R1676" s="12"/>
    </row>
    <row r="1677" customFormat="false" ht="15" hidden="false" customHeight="true" outlineLevel="0" collapsed="false">
      <c r="A1677" s="6"/>
      <c r="B1677" s="6"/>
      <c r="C1677" s="6"/>
      <c r="D1677" s="6"/>
      <c r="E1677" s="13"/>
      <c r="F1677" s="6"/>
      <c r="G1677" s="11" t="str">
        <f aca="true">IF(F1677="","",YEAR(TODAY())-F1677)</f>
        <v/>
      </c>
      <c r="H1677" s="11" t="str">
        <f aca="false">IF(C1677="","",IF(G1677="","Thiếu thông tin",IF(G1677&lt;6,"Trẻ em",IF(G1677&lt;23,"Học sinh / Sinh viên",IF(G1677&lt;60,"Đang đi làm","Nghỉ hưu")))))</f>
        <v/>
      </c>
      <c r="I1677" s="6"/>
      <c r="J1677" s="11" t="str">
        <f aca="false">IF(B1677="","",IFERROR(INDEX('Hộ gia đình'!$B$2:$B$2000,MATCH(B1677,'Hộ gia đình'!$A$2:$A$2000,0)),"Mã hộ không tồn tại"))</f>
        <v/>
      </c>
      <c r="K1677" s="14"/>
      <c r="L1677" s="14"/>
      <c r="M1677" s="6"/>
      <c r="N1677" s="6"/>
      <c r="O1677" s="6"/>
      <c r="P1677" s="6"/>
      <c r="Q1677" s="6"/>
      <c r="R1677" s="12"/>
    </row>
    <row r="1678" customFormat="false" ht="15" hidden="false" customHeight="true" outlineLevel="0" collapsed="false">
      <c r="A1678" s="6"/>
      <c r="B1678" s="6"/>
      <c r="C1678" s="6"/>
      <c r="D1678" s="6"/>
      <c r="E1678" s="13"/>
      <c r="F1678" s="6"/>
      <c r="G1678" s="11" t="str">
        <f aca="true">IF(F1678="","",YEAR(TODAY())-F1678)</f>
        <v/>
      </c>
      <c r="H1678" s="11" t="str">
        <f aca="false">IF(C1678="","",IF(G1678="","Thiếu thông tin",IF(G1678&lt;6,"Trẻ em",IF(G1678&lt;23,"Học sinh / Sinh viên",IF(G1678&lt;60,"Đang đi làm","Nghỉ hưu")))))</f>
        <v/>
      </c>
      <c r="I1678" s="6"/>
      <c r="J1678" s="11" t="str">
        <f aca="false">IF(B1678="","",IFERROR(INDEX('Hộ gia đình'!$B$2:$B$2000,MATCH(B1678,'Hộ gia đình'!$A$2:$A$2000,0)),"Mã hộ không tồn tại"))</f>
        <v/>
      </c>
      <c r="K1678" s="14"/>
      <c r="L1678" s="14"/>
      <c r="M1678" s="6"/>
      <c r="N1678" s="6"/>
      <c r="O1678" s="6"/>
      <c r="P1678" s="6"/>
      <c r="Q1678" s="6"/>
      <c r="R1678" s="12"/>
    </row>
    <row r="1679" customFormat="false" ht="15" hidden="false" customHeight="true" outlineLevel="0" collapsed="false">
      <c r="A1679" s="6"/>
      <c r="B1679" s="6"/>
      <c r="C1679" s="6"/>
      <c r="D1679" s="6"/>
      <c r="E1679" s="13"/>
      <c r="F1679" s="6"/>
      <c r="G1679" s="11" t="str">
        <f aca="true">IF(F1679="","",YEAR(TODAY())-F1679)</f>
        <v/>
      </c>
      <c r="H1679" s="11" t="str">
        <f aca="false">IF(C1679="","",IF(G1679="","Thiếu thông tin",IF(G1679&lt;6,"Trẻ em",IF(G1679&lt;23,"Học sinh / Sinh viên",IF(G1679&lt;60,"Đang đi làm","Nghỉ hưu")))))</f>
        <v/>
      </c>
      <c r="I1679" s="6"/>
      <c r="J1679" s="11" t="str">
        <f aca="false">IF(B1679="","",IFERROR(INDEX('Hộ gia đình'!$B$2:$B$2000,MATCH(B1679,'Hộ gia đình'!$A$2:$A$2000,0)),"Mã hộ không tồn tại"))</f>
        <v/>
      </c>
      <c r="K1679" s="14"/>
      <c r="L1679" s="14"/>
      <c r="M1679" s="6"/>
      <c r="N1679" s="6"/>
      <c r="O1679" s="6"/>
      <c r="P1679" s="6"/>
      <c r="Q1679" s="6"/>
      <c r="R1679" s="12"/>
    </row>
    <row r="1680" customFormat="false" ht="15" hidden="false" customHeight="true" outlineLevel="0" collapsed="false">
      <c r="A1680" s="6"/>
      <c r="B1680" s="6"/>
      <c r="C1680" s="6"/>
      <c r="D1680" s="6"/>
      <c r="E1680" s="13"/>
      <c r="F1680" s="6"/>
      <c r="G1680" s="11" t="str">
        <f aca="true">IF(F1680="","",YEAR(TODAY())-F1680)</f>
        <v/>
      </c>
      <c r="H1680" s="11" t="str">
        <f aca="false">IF(C1680="","",IF(G1680="","Thiếu thông tin",IF(G1680&lt;6,"Trẻ em",IF(G1680&lt;23,"Học sinh / Sinh viên",IF(G1680&lt;60,"Đang đi làm","Nghỉ hưu")))))</f>
        <v/>
      </c>
      <c r="I1680" s="6"/>
      <c r="J1680" s="11" t="str">
        <f aca="false">IF(B1680="","",IFERROR(INDEX('Hộ gia đình'!$B$2:$B$2000,MATCH(B1680,'Hộ gia đình'!$A$2:$A$2000,0)),"Mã hộ không tồn tại"))</f>
        <v/>
      </c>
      <c r="K1680" s="14"/>
      <c r="L1680" s="14"/>
      <c r="M1680" s="6"/>
      <c r="N1680" s="6"/>
      <c r="O1680" s="6"/>
      <c r="P1680" s="6"/>
      <c r="Q1680" s="6"/>
      <c r="R1680" s="12"/>
    </row>
    <row r="1681" customFormat="false" ht="15" hidden="false" customHeight="true" outlineLevel="0" collapsed="false">
      <c r="A1681" s="6"/>
      <c r="B1681" s="6"/>
      <c r="C1681" s="6"/>
      <c r="D1681" s="6"/>
      <c r="E1681" s="13"/>
      <c r="F1681" s="6"/>
      <c r="G1681" s="11" t="str">
        <f aca="true">IF(F1681="","",YEAR(TODAY())-F1681)</f>
        <v/>
      </c>
      <c r="H1681" s="11" t="str">
        <f aca="false">IF(C1681="","",IF(G1681="","Thiếu thông tin",IF(G1681&lt;6,"Trẻ em",IF(G1681&lt;23,"Học sinh / Sinh viên",IF(G1681&lt;60,"Đang đi làm","Nghỉ hưu")))))</f>
        <v/>
      </c>
      <c r="I1681" s="6"/>
      <c r="J1681" s="11" t="str">
        <f aca="false">IF(B1681="","",IFERROR(INDEX('Hộ gia đình'!$B$2:$B$2000,MATCH(B1681,'Hộ gia đình'!$A$2:$A$2000,0)),"Mã hộ không tồn tại"))</f>
        <v/>
      </c>
      <c r="K1681" s="14"/>
      <c r="L1681" s="14"/>
      <c r="M1681" s="6"/>
      <c r="N1681" s="6"/>
      <c r="O1681" s="6"/>
      <c r="P1681" s="6"/>
      <c r="Q1681" s="6"/>
      <c r="R1681" s="12"/>
    </row>
    <row r="1682" customFormat="false" ht="15" hidden="false" customHeight="true" outlineLevel="0" collapsed="false">
      <c r="A1682" s="6"/>
      <c r="B1682" s="6"/>
      <c r="C1682" s="6"/>
      <c r="D1682" s="6"/>
      <c r="E1682" s="13"/>
      <c r="F1682" s="6"/>
      <c r="G1682" s="11" t="str">
        <f aca="true">IF(F1682="","",YEAR(TODAY())-F1682)</f>
        <v/>
      </c>
      <c r="H1682" s="11" t="str">
        <f aca="false">IF(C1682="","",IF(G1682="","Thiếu thông tin",IF(G1682&lt;6,"Trẻ em",IF(G1682&lt;23,"Học sinh / Sinh viên",IF(G1682&lt;60,"Đang đi làm","Nghỉ hưu")))))</f>
        <v/>
      </c>
      <c r="I1682" s="6"/>
      <c r="J1682" s="11" t="str">
        <f aca="false">IF(B1682="","",IFERROR(INDEX('Hộ gia đình'!$B$2:$B$2000,MATCH(B1682,'Hộ gia đình'!$A$2:$A$2000,0)),"Mã hộ không tồn tại"))</f>
        <v/>
      </c>
      <c r="K1682" s="14"/>
      <c r="L1682" s="14"/>
      <c r="M1682" s="6"/>
      <c r="N1682" s="6"/>
      <c r="O1682" s="6"/>
      <c r="P1682" s="6"/>
      <c r="Q1682" s="6"/>
      <c r="R1682" s="12"/>
    </row>
    <row r="1683" customFormat="false" ht="15" hidden="false" customHeight="true" outlineLevel="0" collapsed="false">
      <c r="A1683" s="6"/>
      <c r="B1683" s="6"/>
      <c r="C1683" s="6"/>
      <c r="D1683" s="6"/>
      <c r="E1683" s="13"/>
      <c r="F1683" s="6"/>
      <c r="G1683" s="11" t="str">
        <f aca="true">IF(F1683="","",YEAR(TODAY())-F1683)</f>
        <v/>
      </c>
      <c r="H1683" s="11" t="str">
        <f aca="false">IF(C1683="","",IF(G1683="","Thiếu thông tin",IF(G1683&lt;6,"Trẻ em",IF(G1683&lt;23,"Học sinh / Sinh viên",IF(G1683&lt;60,"Đang đi làm","Nghỉ hưu")))))</f>
        <v/>
      </c>
      <c r="I1683" s="6"/>
      <c r="J1683" s="11" t="str">
        <f aca="false">IF(B1683="","",IFERROR(INDEX('Hộ gia đình'!$B$2:$B$2000,MATCH(B1683,'Hộ gia đình'!$A$2:$A$2000,0)),"Mã hộ không tồn tại"))</f>
        <v/>
      </c>
      <c r="K1683" s="14"/>
      <c r="L1683" s="14"/>
      <c r="M1683" s="6"/>
      <c r="N1683" s="6"/>
      <c r="O1683" s="6"/>
      <c r="P1683" s="6"/>
      <c r="Q1683" s="6"/>
      <c r="R1683" s="12"/>
    </row>
    <row r="1684" customFormat="false" ht="15" hidden="false" customHeight="true" outlineLevel="0" collapsed="false">
      <c r="A1684" s="6"/>
      <c r="B1684" s="6"/>
      <c r="C1684" s="6"/>
      <c r="D1684" s="6"/>
      <c r="E1684" s="13"/>
      <c r="F1684" s="6"/>
      <c r="G1684" s="11" t="str">
        <f aca="true">IF(F1684="","",YEAR(TODAY())-F1684)</f>
        <v/>
      </c>
      <c r="H1684" s="11" t="str">
        <f aca="false">IF(C1684="","",IF(G1684="","Thiếu thông tin",IF(G1684&lt;6,"Trẻ em",IF(G1684&lt;23,"Học sinh / Sinh viên",IF(G1684&lt;60,"Đang đi làm","Nghỉ hưu")))))</f>
        <v/>
      </c>
      <c r="I1684" s="6"/>
      <c r="J1684" s="11" t="str">
        <f aca="false">IF(B1684="","",IFERROR(INDEX('Hộ gia đình'!$B$2:$B$2000,MATCH(B1684,'Hộ gia đình'!$A$2:$A$2000,0)),"Mã hộ không tồn tại"))</f>
        <v/>
      </c>
      <c r="K1684" s="14"/>
      <c r="L1684" s="14"/>
      <c r="M1684" s="6"/>
      <c r="N1684" s="6"/>
      <c r="O1684" s="6"/>
      <c r="P1684" s="6"/>
      <c r="Q1684" s="6"/>
      <c r="R1684" s="12"/>
    </row>
    <row r="1685" customFormat="false" ht="15" hidden="false" customHeight="true" outlineLevel="0" collapsed="false">
      <c r="A1685" s="6"/>
      <c r="B1685" s="6"/>
      <c r="C1685" s="6"/>
      <c r="D1685" s="6"/>
      <c r="E1685" s="13"/>
      <c r="F1685" s="6"/>
      <c r="G1685" s="11" t="str">
        <f aca="true">IF(F1685="","",YEAR(TODAY())-F1685)</f>
        <v/>
      </c>
      <c r="H1685" s="11" t="str">
        <f aca="false">IF(C1685="","",IF(G1685="","Thiếu thông tin",IF(G1685&lt;6,"Trẻ em",IF(G1685&lt;23,"Học sinh / Sinh viên",IF(G1685&lt;60,"Đang đi làm","Nghỉ hưu")))))</f>
        <v/>
      </c>
      <c r="I1685" s="6"/>
      <c r="J1685" s="11" t="str">
        <f aca="false">IF(B1685="","",IFERROR(INDEX('Hộ gia đình'!$B$2:$B$2000,MATCH(B1685,'Hộ gia đình'!$A$2:$A$2000,0)),"Mã hộ không tồn tại"))</f>
        <v/>
      </c>
      <c r="K1685" s="14"/>
      <c r="L1685" s="14"/>
      <c r="M1685" s="6"/>
      <c r="N1685" s="6"/>
      <c r="O1685" s="6"/>
      <c r="P1685" s="6"/>
      <c r="Q1685" s="6"/>
      <c r="R1685" s="12"/>
    </row>
    <row r="1686" customFormat="false" ht="15" hidden="false" customHeight="true" outlineLevel="0" collapsed="false">
      <c r="A1686" s="6"/>
      <c r="B1686" s="6"/>
      <c r="C1686" s="6"/>
      <c r="D1686" s="6"/>
      <c r="E1686" s="13"/>
      <c r="F1686" s="6"/>
      <c r="G1686" s="11" t="str">
        <f aca="true">IF(F1686="","",YEAR(TODAY())-F1686)</f>
        <v/>
      </c>
      <c r="H1686" s="11" t="str">
        <f aca="false">IF(C1686="","",IF(G1686="","Thiếu thông tin",IF(G1686&lt;6,"Trẻ em",IF(G1686&lt;23,"Học sinh / Sinh viên",IF(G1686&lt;60,"Đang đi làm","Nghỉ hưu")))))</f>
        <v/>
      </c>
      <c r="I1686" s="6"/>
      <c r="J1686" s="11" t="str">
        <f aca="false">IF(B1686="","",IFERROR(INDEX('Hộ gia đình'!$B$2:$B$2000,MATCH(B1686,'Hộ gia đình'!$A$2:$A$2000,0)),"Mã hộ không tồn tại"))</f>
        <v/>
      </c>
      <c r="K1686" s="14"/>
      <c r="L1686" s="14"/>
      <c r="M1686" s="6"/>
      <c r="N1686" s="6"/>
      <c r="O1686" s="6"/>
      <c r="P1686" s="6"/>
      <c r="Q1686" s="6"/>
      <c r="R1686" s="12"/>
    </row>
    <row r="1687" customFormat="false" ht="15" hidden="false" customHeight="true" outlineLevel="0" collapsed="false">
      <c r="A1687" s="6"/>
      <c r="B1687" s="6"/>
      <c r="C1687" s="6"/>
      <c r="D1687" s="6"/>
      <c r="E1687" s="13"/>
      <c r="F1687" s="6"/>
      <c r="G1687" s="11" t="str">
        <f aca="true">IF(F1687="","",YEAR(TODAY())-F1687)</f>
        <v/>
      </c>
      <c r="H1687" s="11" t="str">
        <f aca="false">IF(C1687="","",IF(G1687="","Thiếu thông tin",IF(G1687&lt;6,"Trẻ em",IF(G1687&lt;23,"Học sinh / Sinh viên",IF(G1687&lt;60,"Đang đi làm","Nghỉ hưu")))))</f>
        <v/>
      </c>
      <c r="I1687" s="6"/>
      <c r="J1687" s="11" t="str">
        <f aca="false">IF(B1687="","",IFERROR(INDEX('Hộ gia đình'!$B$2:$B$2000,MATCH(B1687,'Hộ gia đình'!$A$2:$A$2000,0)),"Mã hộ không tồn tại"))</f>
        <v/>
      </c>
      <c r="K1687" s="14"/>
      <c r="L1687" s="14"/>
      <c r="M1687" s="6"/>
      <c r="N1687" s="6"/>
      <c r="O1687" s="6"/>
      <c r="P1687" s="6"/>
      <c r="Q1687" s="6"/>
      <c r="R1687" s="12"/>
    </row>
    <row r="1688" customFormat="false" ht="15" hidden="false" customHeight="true" outlineLevel="0" collapsed="false">
      <c r="A1688" s="6"/>
      <c r="B1688" s="6"/>
      <c r="C1688" s="6"/>
      <c r="D1688" s="6"/>
      <c r="E1688" s="13"/>
      <c r="F1688" s="6"/>
      <c r="G1688" s="11" t="str">
        <f aca="true">IF(F1688="","",YEAR(TODAY())-F1688)</f>
        <v/>
      </c>
      <c r="H1688" s="11" t="str">
        <f aca="false">IF(C1688="","",IF(G1688="","Thiếu thông tin",IF(G1688&lt;6,"Trẻ em",IF(G1688&lt;23,"Học sinh / Sinh viên",IF(G1688&lt;60,"Đang đi làm","Nghỉ hưu")))))</f>
        <v/>
      </c>
      <c r="I1688" s="6"/>
      <c r="J1688" s="11" t="str">
        <f aca="false">IF(B1688="","",IFERROR(INDEX('Hộ gia đình'!$B$2:$B$2000,MATCH(B1688,'Hộ gia đình'!$A$2:$A$2000,0)),"Mã hộ không tồn tại"))</f>
        <v/>
      </c>
      <c r="K1688" s="14"/>
      <c r="L1688" s="14"/>
      <c r="M1688" s="6"/>
      <c r="N1688" s="6"/>
      <c r="O1688" s="6"/>
      <c r="P1688" s="6"/>
      <c r="Q1688" s="6"/>
      <c r="R1688" s="12"/>
    </row>
    <row r="1689" customFormat="false" ht="15" hidden="false" customHeight="true" outlineLevel="0" collapsed="false">
      <c r="A1689" s="6"/>
      <c r="B1689" s="6"/>
      <c r="C1689" s="6"/>
      <c r="D1689" s="6"/>
      <c r="E1689" s="13"/>
      <c r="F1689" s="6"/>
      <c r="G1689" s="11" t="str">
        <f aca="true">IF(F1689="","",YEAR(TODAY())-F1689)</f>
        <v/>
      </c>
      <c r="H1689" s="11" t="str">
        <f aca="false">IF(C1689="","",IF(G1689="","Thiếu thông tin",IF(G1689&lt;6,"Trẻ em",IF(G1689&lt;23,"Học sinh / Sinh viên",IF(G1689&lt;60,"Đang đi làm","Nghỉ hưu")))))</f>
        <v/>
      </c>
      <c r="I1689" s="6"/>
      <c r="J1689" s="11" t="str">
        <f aca="false">IF(B1689="","",IFERROR(INDEX('Hộ gia đình'!$B$2:$B$2000,MATCH(B1689,'Hộ gia đình'!$A$2:$A$2000,0)),"Mã hộ không tồn tại"))</f>
        <v/>
      </c>
      <c r="K1689" s="14"/>
      <c r="L1689" s="14"/>
      <c r="M1689" s="6"/>
      <c r="N1689" s="6"/>
      <c r="O1689" s="6"/>
      <c r="P1689" s="6"/>
      <c r="Q1689" s="6"/>
      <c r="R1689" s="12"/>
    </row>
    <row r="1690" customFormat="false" ht="15" hidden="false" customHeight="true" outlineLevel="0" collapsed="false">
      <c r="A1690" s="6"/>
      <c r="B1690" s="6"/>
      <c r="C1690" s="6"/>
      <c r="D1690" s="6"/>
      <c r="E1690" s="13"/>
      <c r="F1690" s="6"/>
      <c r="G1690" s="11" t="str">
        <f aca="true">IF(F1690="","",YEAR(TODAY())-F1690)</f>
        <v/>
      </c>
      <c r="H1690" s="11" t="str">
        <f aca="false">IF(C1690="","",IF(G1690="","Thiếu thông tin",IF(G1690&lt;6,"Trẻ em",IF(G1690&lt;23,"Học sinh / Sinh viên",IF(G1690&lt;60,"Đang đi làm","Nghỉ hưu")))))</f>
        <v/>
      </c>
      <c r="I1690" s="6"/>
      <c r="J1690" s="11" t="str">
        <f aca="false">IF(B1690="","",IFERROR(INDEX('Hộ gia đình'!$B$2:$B$2000,MATCH(B1690,'Hộ gia đình'!$A$2:$A$2000,0)),"Mã hộ không tồn tại"))</f>
        <v/>
      </c>
      <c r="K1690" s="14"/>
      <c r="L1690" s="14"/>
      <c r="M1690" s="6"/>
      <c r="N1690" s="6"/>
      <c r="O1690" s="6"/>
      <c r="P1690" s="6"/>
      <c r="Q1690" s="6"/>
      <c r="R1690" s="12"/>
    </row>
    <row r="1691" customFormat="false" ht="15" hidden="false" customHeight="true" outlineLevel="0" collapsed="false">
      <c r="A1691" s="6"/>
      <c r="B1691" s="6"/>
      <c r="C1691" s="6"/>
      <c r="D1691" s="6"/>
      <c r="E1691" s="13"/>
      <c r="F1691" s="6"/>
      <c r="G1691" s="11" t="str">
        <f aca="true">IF(F1691="","",YEAR(TODAY())-F1691)</f>
        <v/>
      </c>
      <c r="H1691" s="11" t="str">
        <f aca="false">IF(C1691="","",IF(G1691="","Thiếu thông tin",IF(G1691&lt;6,"Trẻ em",IF(G1691&lt;23,"Học sinh / Sinh viên",IF(G1691&lt;60,"Đang đi làm","Nghỉ hưu")))))</f>
        <v/>
      </c>
      <c r="I1691" s="6"/>
      <c r="J1691" s="11" t="str">
        <f aca="false">IF(B1691="","",IFERROR(INDEX('Hộ gia đình'!$B$2:$B$2000,MATCH(B1691,'Hộ gia đình'!$A$2:$A$2000,0)),"Mã hộ không tồn tại"))</f>
        <v/>
      </c>
      <c r="K1691" s="14"/>
      <c r="L1691" s="14"/>
      <c r="M1691" s="6"/>
      <c r="N1691" s="6"/>
      <c r="O1691" s="6"/>
      <c r="P1691" s="6"/>
      <c r="Q1691" s="6"/>
      <c r="R1691" s="12"/>
    </row>
    <row r="1692" customFormat="false" ht="15" hidden="false" customHeight="true" outlineLevel="0" collapsed="false">
      <c r="A1692" s="6"/>
      <c r="B1692" s="6"/>
      <c r="C1692" s="6"/>
      <c r="D1692" s="6"/>
      <c r="E1692" s="13"/>
      <c r="F1692" s="6"/>
      <c r="G1692" s="11" t="str">
        <f aca="true">IF(F1692="","",YEAR(TODAY())-F1692)</f>
        <v/>
      </c>
      <c r="H1692" s="11" t="str">
        <f aca="false">IF(C1692="","",IF(G1692="","Thiếu thông tin",IF(G1692&lt;6,"Trẻ em",IF(G1692&lt;23,"Học sinh / Sinh viên",IF(G1692&lt;60,"Đang đi làm","Nghỉ hưu")))))</f>
        <v/>
      </c>
      <c r="I1692" s="6"/>
      <c r="J1692" s="11" t="str">
        <f aca="false">IF(B1692="","",IFERROR(INDEX('Hộ gia đình'!$B$2:$B$2000,MATCH(B1692,'Hộ gia đình'!$A$2:$A$2000,0)),"Mã hộ không tồn tại"))</f>
        <v/>
      </c>
      <c r="K1692" s="14"/>
      <c r="L1692" s="14"/>
      <c r="M1692" s="6"/>
      <c r="N1692" s="6"/>
      <c r="O1692" s="6"/>
      <c r="P1692" s="6"/>
      <c r="Q1692" s="6"/>
      <c r="R1692" s="12"/>
    </row>
    <row r="1693" customFormat="false" ht="15" hidden="false" customHeight="true" outlineLevel="0" collapsed="false">
      <c r="A1693" s="6"/>
      <c r="B1693" s="6"/>
      <c r="C1693" s="6"/>
      <c r="D1693" s="6"/>
      <c r="E1693" s="13"/>
      <c r="F1693" s="6"/>
      <c r="G1693" s="11" t="str">
        <f aca="true">IF(F1693="","",YEAR(TODAY())-F1693)</f>
        <v/>
      </c>
      <c r="H1693" s="11" t="str">
        <f aca="false">IF(C1693="","",IF(G1693="","Thiếu thông tin",IF(G1693&lt;6,"Trẻ em",IF(G1693&lt;23,"Học sinh / Sinh viên",IF(G1693&lt;60,"Đang đi làm","Nghỉ hưu")))))</f>
        <v/>
      </c>
      <c r="I1693" s="6"/>
      <c r="J1693" s="11" t="str">
        <f aca="false">IF(B1693="","",IFERROR(INDEX('Hộ gia đình'!$B$2:$B$2000,MATCH(B1693,'Hộ gia đình'!$A$2:$A$2000,0)),"Mã hộ không tồn tại"))</f>
        <v/>
      </c>
      <c r="K1693" s="14"/>
      <c r="L1693" s="14"/>
      <c r="M1693" s="6"/>
      <c r="N1693" s="6"/>
      <c r="O1693" s="6"/>
      <c r="P1693" s="6"/>
      <c r="Q1693" s="6"/>
      <c r="R1693" s="12"/>
    </row>
    <row r="1694" customFormat="false" ht="15" hidden="false" customHeight="true" outlineLevel="0" collapsed="false">
      <c r="A1694" s="6"/>
      <c r="B1694" s="6"/>
      <c r="C1694" s="6"/>
      <c r="D1694" s="6"/>
      <c r="E1694" s="13"/>
      <c r="F1694" s="6"/>
      <c r="G1694" s="11" t="str">
        <f aca="true">IF(F1694="","",YEAR(TODAY())-F1694)</f>
        <v/>
      </c>
      <c r="H1694" s="11" t="str">
        <f aca="false">IF(C1694="","",IF(G1694="","Thiếu thông tin",IF(G1694&lt;6,"Trẻ em",IF(G1694&lt;23,"Học sinh / Sinh viên",IF(G1694&lt;60,"Đang đi làm","Nghỉ hưu")))))</f>
        <v/>
      </c>
      <c r="I1694" s="6"/>
      <c r="J1694" s="11" t="str">
        <f aca="false">IF(B1694="","",IFERROR(INDEX('Hộ gia đình'!$B$2:$B$2000,MATCH(B1694,'Hộ gia đình'!$A$2:$A$2000,0)),"Mã hộ không tồn tại"))</f>
        <v/>
      </c>
      <c r="K1694" s="14"/>
      <c r="L1694" s="14"/>
      <c r="M1694" s="6"/>
      <c r="N1694" s="6"/>
      <c r="O1694" s="6"/>
      <c r="P1694" s="6"/>
      <c r="Q1694" s="6"/>
      <c r="R1694" s="12"/>
    </row>
    <row r="1695" customFormat="false" ht="15" hidden="false" customHeight="true" outlineLevel="0" collapsed="false">
      <c r="A1695" s="6"/>
      <c r="B1695" s="6"/>
      <c r="C1695" s="6"/>
      <c r="D1695" s="6"/>
      <c r="E1695" s="13"/>
      <c r="F1695" s="6"/>
      <c r="G1695" s="11" t="str">
        <f aca="true">IF(F1695="","",YEAR(TODAY())-F1695)</f>
        <v/>
      </c>
      <c r="H1695" s="11" t="str">
        <f aca="false">IF(C1695="","",IF(G1695="","Thiếu thông tin",IF(G1695&lt;6,"Trẻ em",IF(G1695&lt;23,"Học sinh / Sinh viên",IF(G1695&lt;60,"Đang đi làm","Nghỉ hưu")))))</f>
        <v/>
      </c>
      <c r="I1695" s="6"/>
      <c r="J1695" s="11" t="str">
        <f aca="false">IF(B1695="","",IFERROR(INDEX('Hộ gia đình'!$B$2:$B$2000,MATCH(B1695,'Hộ gia đình'!$A$2:$A$2000,0)),"Mã hộ không tồn tại"))</f>
        <v/>
      </c>
      <c r="K1695" s="14"/>
      <c r="L1695" s="14"/>
      <c r="M1695" s="6"/>
      <c r="N1695" s="6"/>
      <c r="O1695" s="6"/>
      <c r="P1695" s="6"/>
      <c r="Q1695" s="6"/>
      <c r="R1695" s="12"/>
    </row>
    <row r="1696" customFormat="false" ht="15" hidden="false" customHeight="true" outlineLevel="0" collapsed="false">
      <c r="A1696" s="6"/>
      <c r="B1696" s="6"/>
      <c r="C1696" s="6"/>
      <c r="D1696" s="6"/>
      <c r="E1696" s="13"/>
      <c r="F1696" s="6"/>
      <c r="G1696" s="11" t="str">
        <f aca="true">IF(F1696="","",YEAR(TODAY())-F1696)</f>
        <v/>
      </c>
      <c r="H1696" s="11" t="str">
        <f aca="false">IF(C1696="","",IF(G1696="","Thiếu thông tin",IF(G1696&lt;6,"Trẻ em",IF(G1696&lt;23,"Học sinh / Sinh viên",IF(G1696&lt;60,"Đang đi làm","Nghỉ hưu")))))</f>
        <v/>
      </c>
      <c r="I1696" s="6"/>
      <c r="J1696" s="11" t="str">
        <f aca="false">IF(B1696="","",IFERROR(INDEX('Hộ gia đình'!$B$2:$B$2000,MATCH(B1696,'Hộ gia đình'!$A$2:$A$2000,0)),"Mã hộ không tồn tại"))</f>
        <v/>
      </c>
      <c r="K1696" s="14"/>
      <c r="L1696" s="14"/>
      <c r="M1696" s="6"/>
      <c r="N1696" s="6"/>
      <c r="O1696" s="6"/>
      <c r="P1696" s="6"/>
      <c r="Q1696" s="6"/>
      <c r="R1696" s="12"/>
    </row>
    <row r="1697" customFormat="false" ht="15" hidden="false" customHeight="true" outlineLevel="0" collapsed="false">
      <c r="A1697" s="6"/>
      <c r="B1697" s="6"/>
      <c r="C1697" s="6"/>
      <c r="D1697" s="6"/>
      <c r="E1697" s="13"/>
      <c r="F1697" s="6"/>
      <c r="G1697" s="11" t="str">
        <f aca="true">IF(F1697="","",YEAR(TODAY())-F1697)</f>
        <v/>
      </c>
      <c r="H1697" s="11" t="str">
        <f aca="false">IF(C1697="","",IF(G1697="","Thiếu thông tin",IF(G1697&lt;6,"Trẻ em",IF(G1697&lt;23,"Học sinh / Sinh viên",IF(G1697&lt;60,"Đang đi làm","Nghỉ hưu")))))</f>
        <v/>
      </c>
      <c r="I1697" s="6"/>
      <c r="J1697" s="11" t="str">
        <f aca="false">IF(B1697="","",IFERROR(INDEX('Hộ gia đình'!$B$2:$B$2000,MATCH(B1697,'Hộ gia đình'!$A$2:$A$2000,0)),"Mã hộ không tồn tại"))</f>
        <v/>
      </c>
      <c r="K1697" s="14"/>
      <c r="L1697" s="14"/>
      <c r="M1697" s="6"/>
      <c r="N1697" s="6"/>
      <c r="O1697" s="6"/>
      <c r="P1697" s="6"/>
      <c r="Q1697" s="6"/>
      <c r="R1697" s="12"/>
    </row>
    <row r="1698" customFormat="false" ht="15" hidden="false" customHeight="true" outlineLevel="0" collapsed="false">
      <c r="A1698" s="6"/>
      <c r="B1698" s="6"/>
      <c r="C1698" s="6"/>
      <c r="D1698" s="6"/>
      <c r="E1698" s="13"/>
      <c r="F1698" s="6"/>
      <c r="G1698" s="11" t="str">
        <f aca="true">IF(F1698="","",YEAR(TODAY())-F1698)</f>
        <v/>
      </c>
      <c r="H1698" s="11" t="str">
        <f aca="false">IF(C1698="","",IF(G1698="","Thiếu thông tin",IF(G1698&lt;6,"Trẻ em",IF(G1698&lt;23,"Học sinh / Sinh viên",IF(G1698&lt;60,"Đang đi làm","Nghỉ hưu")))))</f>
        <v/>
      </c>
      <c r="I1698" s="6"/>
      <c r="J1698" s="11" t="str">
        <f aca="false">IF(B1698="","",IFERROR(INDEX('Hộ gia đình'!$B$2:$B$2000,MATCH(B1698,'Hộ gia đình'!$A$2:$A$2000,0)),"Mã hộ không tồn tại"))</f>
        <v/>
      </c>
      <c r="K1698" s="14"/>
      <c r="L1698" s="14"/>
      <c r="M1698" s="6"/>
      <c r="N1698" s="6"/>
      <c r="O1698" s="6"/>
      <c r="P1698" s="6"/>
      <c r="Q1698" s="6"/>
      <c r="R1698" s="12"/>
    </row>
    <row r="1699" customFormat="false" ht="15" hidden="false" customHeight="true" outlineLevel="0" collapsed="false">
      <c r="A1699" s="6"/>
      <c r="B1699" s="6"/>
      <c r="C1699" s="6"/>
      <c r="D1699" s="6"/>
      <c r="E1699" s="13"/>
      <c r="F1699" s="6"/>
      <c r="G1699" s="11" t="str">
        <f aca="true">IF(F1699="","",YEAR(TODAY())-F1699)</f>
        <v/>
      </c>
      <c r="H1699" s="11" t="str">
        <f aca="false">IF(C1699="","",IF(G1699="","Thiếu thông tin",IF(G1699&lt;6,"Trẻ em",IF(G1699&lt;23,"Học sinh / Sinh viên",IF(G1699&lt;60,"Đang đi làm","Nghỉ hưu")))))</f>
        <v/>
      </c>
      <c r="I1699" s="6"/>
      <c r="J1699" s="11" t="str">
        <f aca="false">IF(B1699="","",IFERROR(INDEX('Hộ gia đình'!$B$2:$B$2000,MATCH(B1699,'Hộ gia đình'!$A$2:$A$2000,0)),"Mã hộ không tồn tại"))</f>
        <v/>
      </c>
      <c r="K1699" s="14"/>
      <c r="L1699" s="14"/>
      <c r="M1699" s="6"/>
      <c r="N1699" s="6"/>
      <c r="O1699" s="6"/>
      <c r="P1699" s="6"/>
      <c r="Q1699" s="6"/>
      <c r="R1699" s="12"/>
    </row>
    <row r="1700" customFormat="false" ht="15" hidden="false" customHeight="true" outlineLevel="0" collapsed="false">
      <c r="A1700" s="6"/>
      <c r="B1700" s="6"/>
      <c r="C1700" s="6"/>
      <c r="D1700" s="6"/>
      <c r="E1700" s="13"/>
      <c r="F1700" s="6"/>
      <c r="G1700" s="11" t="str">
        <f aca="true">IF(F1700="","",YEAR(TODAY())-F1700)</f>
        <v/>
      </c>
      <c r="H1700" s="11" t="str">
        <f aca="false">IF(C1700="","",IF(G1700="","Thiếu thông tin",IF(G1700&lt;6,"Trẻ em",IF(G1700&lt;23,"Học sinh / Sinh viên",IF(G1700&lt;60,"Đang đi làm","Nghỉ hưu")))))</f>
        <v/>
      </c>
      <c r="I1700" s="6"/>
      <c r="J1700" s="11" t="str">
        <f aca="false">IF(B1700="","",IFERROR(INDEX('Hộ gia đình'!$B$2:$B$2000,MATCH(B1700,'Hộ gia đình'!$A$2:$A$2000,0)),"Mã hộ không tồn tại"))</f>
        <v/>
      </c>
      <c r="K1700" s="14"/>
      <c r="L1700" s="14"/>
      <c r="M1700" s="6"/>
      <c r="N1700" s="6"/>
      <c r="O1700" s="6"/>
      <c r="P1700" s="6"/>
      <c r="Q1700" s="6"/>
      <c r="R1700" s="12"/>
    </row>
    <row r="1701" customFormat="false" ht="15" hidden="false" customHeight="true" outlineLevel="0" collapsed="false">
      <c r="A1701" s="6"/>
      <c r="B1701" s="6"/>
      <c r="C1701" s="6"/>
      <c r="D1701" s="6"/>
      <c r="E1701" s="13"/>
      <c r="F1701" s="6"/>
      <c r="G1701" s="11" t="str">
        <f aca="true">IF(F1701="","",YEAR(TODAY())-F1701)</f>
        <v/>
      </c>
      <c r="H1701" s="11" t="str">
        <f aca="false">IF(C1701="","",IF(G1701="","Thiếu thông tin",IF(G1701&lt;6,"Trẻ em",IF(G1701&lt;23,"Học sinh / Sinh viên",IF(G1701&lt;60,"Đang đi làm","Nghỉ hưu")))))</f>
        <v/>
      </c>
      <c r="I1701" s="6"/>
      <c r="J1701" s="11" t="str">
        <f aca="false">IF(B1701="","",IFERROR(INDEX('Hộ gia đình'!$B$2:$B$2000,MATCH(B1701,'Hộ gia đình'!$A$2:$A$2000,0)),"Mã hộ không tồn tại"))</f>
        <v/>
      </c>
      <c r="K1701" s="14"/>
      <c r="L1701" s="14"/>
      <c r="M1701" s="6"/>
      <c r="N1701" s="6"/>
      <c r="O1701" s="6"/>
      <c r="P1701" s="6"/>
      <c r="Q1701" s="6"/>
      <c r="R1701" s="12"/>
    </row>
    <row r="1702" customFormat="false" ht="15" hidden="false" customHeight="true" outlineLevel="0" collapsed="false">
      <c r="A1702" s="6"/>
      <c r="B1702" s="6"/>
      <c r="C1702" s="6"/>
      <c r="D1702" s="6"/>
      <c r="E1702" s="13"/>
      <c r="F1702" s="6"/>
      <c r="G1702" s="11" t="str">
        <f aca="true">IF(F1702="","",YEAR(TODAY())-F1702)</f>
        <v/>
      </c>
      <c r="H1702" s="11" t="str">
        <f aca="false">IF(C1702="","",IF(G1702="","Thiếu thông tin",IF(G1702&lt;6,"Trẻ em",IF(G1702&lt;23,"Học sinh / Sinh viên",IF(G1702&lt;60,"Đang đi làm","Nghỉ hưu")))))</f>
        <v/>
      </c>
      <c r="I1702" s="6"/>
      <c r="J1702" s="11" t="str">
        <f aca="false">IF(B1702="","",IFERROR(INDEX('Hộ gia đình'!$B$2:$B$2000,MATCH(B1702,'Hộ gia đình'!$A$2:$A$2000,0)),"Mã hộ không tồn tại"))</f>
        <v/>
      </c>
      <c r="K1702" s="14"/>
      <c r="L1702" s="14"/>
      <c r="M1702" s="6"/>
      <c r="N1702" s="6"/>
      <c r="O1702" s="6"/>
      <c r="P1702" s="6"/>
      <c r="Q1702" s="6"/>
      <c r="R1702" s="12"/>
    </row>
    <row r="1703" customFormat="false" ht="15" hidden="false" customHeight="true" outlineLevel="0" collapsed="false">
      <c r="A1703" s="6"/>
      <c r="B1703" s="6"/>
      <c r="C1703" s="6"/>
      <c r="D1703" s="6"/>
      <c r="E1703" s="13"/>
      <c r="F1703" s="6"/>
      <c r="G1703" s="11" t="str">
        <f aca="true">IF(F1703="","",YEAR(TODAY())-F1703)</f>
        <v/>
      </c>
      <c r="H1703" s="11" t="str">
        <f aca="false">IF(C1703="","",IF(G1703="","Thiếu thông tin",IF(G1703&lt;6,"Trẻ em",IF(G1703&lt;23,"Học sinh / Sinh viên",IF(G1703&lt;60,"Đang đi làm","Nghỉ hưu")))))</f>
        <v/>
      </c>
      <c r="I1703" s="6"/>
      <c r="J1703" s="11" t="str">
        <f aca="false">IF(B1703="","",IFERROR(INDEX('Hộ gia đình'!$B$2:$B$2000,MATCH(B1703,'Hộ gia đình'!$A$2:$A$2000,0)),"Mã hộ không tồn tại"))</f>
        <v/>
      </c>
      <c r="K1703" s="14"/>
      <c r="L1703" s="14"/>
      <c r="M1703" s="6"/>
      <c r="N1703" s="6"/>
      <c r="O1703" s="6"/>
      <c r="P1703" s="6"/>
      <c r="Q1703" s="6"/>
      <c r="R1703" s="12"/>
    </row>
    <row r="1704" customFormat="false" ht="15" hidden="false" customHeight="true" outlineLevel="0" collapsed="false">
      <c r="A1704" s="6"/>
      <c r="B1704" s="6"/>
      <c r="C1704" s="6"/>
      <c r="D1704" s="6"/>
      <c r="E1704" s="13"/>
      <c r="F1704" s="6"/>
      <c r="G1704" s="11" t="str">
        <f aca="true">IF(F1704="","",YEAR(TODAY())-F1704)</f>
        <v/>
      </c>
      <c r="H1704" s="11" t="str">
        <f aca="false">IF(C1704="","",IF(G1704="","Thiếu thông tin",IF(G1704&lt;6,"Trẻ em",IF(G1704&lt;23,"Học sinh / Sinh viên",IF(G1704&lt;60,"Đang đi làm","Nghỉ hưu")))))</f>
        <v/>
      </c>
      <c r="I1704" s="6"/>
      <c r="J1704" s="11" t="str">
        <f aca="false">IF(B1704="","",IFERROR(INDEX('Hộ gia đình'!$B$2:$B$2000,MATCH(B1704,'Hộ gia đình'!$A$2:$A$2000,0)),"Mã hộ không tồn tại"))</f>
        <v/>
      </c>
      <c r="K1704" s="14"/>
      <c r="L1704" s="14"/>
      <c r="M1704" s="6"/>
      <c r="N1704" s="6"/>
      <c r="O1704" s="6"/>
      <c r="P1704" s="6"/>
      <c r="Q1704" s="6"/>
      <c r="R1704" s="12"/>
    </row>
    <row r="1705" customFormat="false" ht="15" hidden="false" customHeight="true" outlineLevel="0" collapsed="false">
      <c r="A1705" s="6"/>
      <c r="B1705" s="6"/>
      <c r="C1705" s="6"/>
      <c r="D1705" s="6"/>
      <c r="E1705" s="13"/>
      <c r="F1705" s="6"/>
      <c r="G1705" s="11" t="str">
        <f aca="true">IF(F1705="","",YEAR(TODAY())-F1705)</f>
        <v/>
      </c>
      <c r="H1705" s="11" t="str">
        <f aca="false">IF(C1705="","",IF(G1705="","Thiếu thông tin",IF(G1705&lt;6,"Trẻ em",IF(G1705&lt;23,"Học sinh / Sinh viên",IF(G1705&lt;60,"Đang đi làm","Nghỉ hưu")))))</f>
        <v/>
      </c>
      <c r="I1705" s="6"/>
      <c r="J1705" s="11" t="str">
        <f aca="false">IF(B1705="","",IFERROR(INDEX('Hộ gia đình'!$B$2:$B$2000,MATCH(B1705,'Hộ gia đình'!$A$2:$A$2000,0)),"Mã hộ không tồn tại"))</f>
        <v/>
      </c>
      <c r="K1705" s="14"/>
      <c r="L1705" s="14"/>
      <c r="M1705" s="6"/>
      <c r="N1705" s="6"/>
      <c r="O1705" s="6"/>
      <c r="P1705" s="6"/>
      <c r="Q1705" s="6"/>
      <c r="R1705" s="12"/>
    </row>
    <row r="1706" customFormat="false" ht="15" hidden="false" customHeight="true" outlineLevel="0" collapsed="false">
      <c r="A1706" s="6"/>
      <c r="B1706" s="6"/>
      <c r="C1706" s="6"/>
      <c r="D1706" s="6"/>
      <c r="E1706" s="13"/>
      <c r="F1706" s="6"/>
      <c r="G1706" s="11" t="str">
        <f aca="true">IF(F1706="","",YEAR(TODAY())-F1706)</f>
        <v/>
      </c>
      <c r="H1706" s="11" t="str">
        <f aca="false">IF(C1706="","",IF(G1706="","Thiếu thông tin",IF(G1706&lt;6,"Trẻ em",IF(G1706&lt;23,"Học sinh / Sinh viên",IF(G1706&lt;60,"Đang đi làm","Nghỉ hưu")))))</f>
        <v/>
      </c>
      <c r="I1706" s="6"/>
      <c r="J1706" s="11" t="str">
        <f aca="false">IF(B1706="","",IFERROR(INDEX('Hộ gia đình'!$B$2:$B$2000,MATCH(B1706,'Hộ gia đình'!$A$2:$A$2000,0)),"Mã hộ không tồn tại"))</f>
        <v/>
      </c>
      <c r="K1706" s="14"/>
      <c r="L1706" s="14"/>
      <c r="M1706" s="6"/>
      <c r="N1706" s="6"/>
      <c r="O1706" s="6"/>
      <c r="P1706" s="6"/>
      <c r="Q1706" s="6"/>
      <c r="R1706" s="12"/>
    </row>
    <row r="1707" customFormat="false" ht="15" hidden="false" customHeight="true" outlineLevel="0" collapsed="false">
      <c r="A1707" s="6"/>
      <c r="B1707" s="6"/>
      <c r="C1707" s="6"/>
      <c r="D1707" s="6"/>
      <c r="E1707" s="13"/>
      <c r="F1707" s="6"/>
      <c r="G1707" s="11" t="str">
        <f aca="true">IF(F1707="","",YEAR(TODAY())-F1707)</f>
        <v/>
      </c>
      <c r="H1707" s="11" t="str">
        <f aca="false">IF(C1707="","",IF(G1707="","Thiếu thông tin",IF(G1707&lt;6,"Trẻ em",IF(G1707&lt;23,"Học sinh / Sinh viên",IF(G1707&lt;60,"Đang đi làm","Nghỉ hưu")))))</f>
        <v/>
      </c>
      <c r="I1707" s="6"/>
      <c r="J1707" s="11" t="str">
        <f aca="false">IF(B1707="","",IFERROR(INDEX('Hộ gia đình'!$B$2:$B$2000,MATCH(B1707,'Hộ gia đình'!$A$2:$A$2000,0)),"Mã hộ không tồn tại"))</f>
        <v/>
      </c>
      <c r="K1707" s="14"/>
      <c r="L1707" s="14"/>
      <c r="M1707" s="6"/>
      <c r="N1707" s="6"/>
      <c r="O1707" s="6"/>
      <c r="P1707" s="6"/>
      <c r="Q1707" s="6"/>
      <c r="R1707" s="12"/>
    </row>
    <row r="1708" customFormat="false" ht="15" hidden="false" customHeight="true" outlineLevel="0" collapsed="false">
      <c r="A1708" s="6"/>
      <c r="B1708" s="6"/>
      <c r="C1708" s="6"/>
      <c r="D1708" s="6"/>
      <c r="E1708" s="13"/>
      <c r="F1708" s="6"/>
      <c r="G1708" s="11" t="str">
        <f aca="true">IF(F1708="","",YEAR(TODAY())-F1708)</f>
        <v/>
      </c>
      <c r="H1708" s="11" t="str">
        <f aca="false">IF(C1708="","",IF(G1708="","Thiếu thông tin",IF(G1708&lt;6,"Trẻ em",IF(G1708&lt;23,"Học sinh / Sinh viên",IF(G1708&lt;60,"Đang đi làm","Nghỉ hưu")))))</f>
        <v/>
      </c>
      <c r="I1708" s="6"/>
      <c r="J1708" s="11" t="str">
        <f aca="false">IF(B1708="","",IFERROR(INDEX('Hộ gia đình'!$B$2:$B$2000,MATCH(B1708,'Hộ gia đình'!$A$2:$A$2000,0)),"Mã hộ không tồn tại"))</f>
        <v/>
      </c>
      <c r="K1708" s="14"/>
      <c r="L1708" s="14"/>
      <c r="M1708" s="6"/>
      <c r="N1708" s="6"/>
      <c r="O1708" s="6"/>
      <c r="P1708" s="6"/>
      <c r="Q1708" s="6"/>
      <c r="R1708" s="12"/>
    </row>
    <row r="1709" customFormat="false" ht="15" hidden="false" customHeight="true" outlineLevel="0" collapsed="false">
      <c r="A1709" s="6"/>
      <c r="B1709" s="6"/>
      <c r="C1709" s="6"/>
      <c r="D1709" s="6"/>
      <c r="E1709" s="13"/>
      <c r="F1709" s="6"/>
      <c r="G1709" s="11" t="str">
        <f aca="true">IF(F1709="","",YEAR(TODAY())-F1709)</f>
        <v/>
      </c>
      <c r="H1709" s="11" t="str">
        <f aca="false">IF(C1709="","",IF(G1709="","Thiếu thông tin",IF(G1709&lt;6,"Trẻ em",IF(G1709&lt;23,"Học sinh / Sinh viên",IF(G1709&lt;60,"Đang đi làm","Nghỉ hưu")))))</f>
        <v/>
      </c>
      <c r="I1709" s="6"/>
      <c r="J1709" s="11" t="str">
        <f aca="false">IF(B1709="","",IFERROR(INDEX('Hộ gia đình'!$B$2:$B$2000,MATCH(B1709,'Hộ gia đình'!$A$2:$A$2000,0)),"Mã hộ không tồn tại"))</f>
        <v/>
      </c>
      <c r="K1709" s="14"/>
      <c r="L1709" s="14"/>
      <c r="M1709" s="6"/>
      <c r="N1709" s="6"/>
      <c r="O1709" s="6"/>
      <c r="P1709" s="6"/>
      <c r="Q1709" s="6"/>
      <c r="R1709" s="12"/>
    </row>
    <row r="1710" customFormat="false" ht="15" hidden="false" customHeight="true" outlineLevel="0" collapsed="false">
      <c r="A1710" s="6"/>
      <c r="B1710" s="6"/>
      <c r="C1710" s="6"/>
      <c r="D1710" s="6"/>
      <c r="E1710" s="13"/>
      <c r="F1710" s="6"/>
      <c r="G1710" s="11" t="str">
        <f aca="true">IF(F1710="","",YEAR(TODAY())-F1710)</f>
        <v/>
      </c>
      <c r="H1710" s="11" t="str">
        <f aca="false">IF(C1710="","",IF(G1710="","Thiếu thông tin",IF(G1710&lt;6,"Trẻ em",IF(G1710&lt;23,"Học sinh / Sinh viên",IF(G1710&lt;60,"Đang đi làm","Nghỉ hưu")))))</f>
        <v/>
      </c>
      <c r="I1710" s="6"/>
      <c r="J1710" s="11" t="str">
        <f aca="false">IF(B1710="","",IFERROR(INDEX('Hộ gia đình'!$B$2:$B$2000,MATCH(B1710,'Hộ gia đình'!$A$2:$A$2000,0)),"Mã hộ không tồn tại"))</f>
        <v/>
      </c>
      <c r="K1710" s="14"/>
      <c r="L1710" s="14"/>
      <c r="M1710" s="6"/>
      <c r="N1710" s="6"/>
      <c r="O1710" s="6"/>
      <c r="P1710" s="6"/>
      <c r="Q1710" s="6"/>
      <c r="R1710" s="12"/>
    </row>
    <row r="1711" customFormat="false" ht="15" hidden="false" customHeight="true" outlineLevel="0" collapsed="false">
      <c r="A1711" s="6"/>
      <c r="B1711" s="6"/>
      <c r="C1711" s="6"/>
      <c r="D1711" s="6"/>
      <c r="E1711" s="13"/>
      <c r="F1711" s="6"/>
      <c r="G1711" s="11" t="str">
        <f aca="true">IF(F1711="","",YEAR(TODAY())-F1711)</f>
        <v/>
      </c>
      <c r="H1711" s="11" t="str">
        <f aca="false">IF(C1711="","",IF(G1711="","Thiếu thông tin",IF(G1711&lt;6,"Trẻ em",IF(G1711&lt;23,"Học sinh / Sinh viên",IF(G1711&lt;60,"Đang đi làm","Nghỉ hưu")))))</f>
        <v/>
      </c>
      <c r="I1711" s="6"/>
      <c r="J1711" s="11" t="str">
        <f aca="false">IF(B1711="","",IFERROR(INDEX('Hộ gia đình'!$B$2:$B$2000,MATCH(B1711,'Hộ gia đình'!$A$2:$A$2000,0)),"Mã hộ không tồn tại"))</f>
        <v/>
      </c>
      <c r="K1711" s="14"/>
      <c r="L1711" s="14"/>
      <c r="M1711" s="6"/>
      <c r="N1711" s="6"/>
      <c r="O1711" s="6"/>
      <c r="P1711" s="6"/>
      <c r="Q1711" s="6"/>
      <c r="R1711" s="12"/>
    </row>
    <row r="1712" customFormat="false" ht="15" hidden="false" customHeight="true" outlineLevel="0" collapsed="false">
      <c r="A1712" s="6"/>
      <c r="B1712" s="6"/>
      <c r="C1712" s="6"/>
      <c r="D1712" s="6"/>
      <c r="E1712" s="13"/>
      <c r="F1712" s="6"/>
      <c r="G1712" s="11" t="str">
        <f aca="true">IF(F1712="","",YEAR(TODAY())-F1712)</f>
        <v/>
      </c>
      <c r="H1712" s="11" t="str">
        <f aca="false">IF(C1712="","",IF(G1712="","Thiếu thông tin",IF(G1712&lt;6,"Trẻ em",IF(G1712&lt;23,"Học sinh / Sinh viên",IF(G1712&lt;60,"Đang đi làm","Nghỉ hưu")))))</f>
        <v/>
      </c>
      <c r="I1712" s="6"/>
      <c r="J1712" s="11" t="str">
        <f aca="false">IF(B1712="","",IFERROR(INDEX('Hộ gia đình'!$B$2:$B$2000,MATCH(B1712,'Hộ gia đình'!$A$2:$A$2000,0)),"Mã hộ không tồn tại"))</f>
        <v/>
      </c>
      <c r="K1712" s="14"/>
      <c r="L1712" s="14"/>
      <c r="M1712" s="6"/>
      <c r="N1712" s="6"/>
      <c r="O1712" s="6"/>
      <c r="P1712" s="6"/>
      <c r="Q1712" s="6"/>
      <c r="R1712" s="12"/>
    </row>
    <row r="1713" customFormat="false" ht="15" hidden="false" customHeight="true" outlineLevel="0" collapsed="false">
      <c r="A1713" s="6"/>
      <c r="B1713" s="6"/>
      <c r="C1713" s="6"/>
      <c r="D1713" s="6"/>
      <c r="E1713" s="13"/>
      <c r="F1713" s="6"/>
      <c r="G1713" s="11" t="str">
        <f aca="true">IF(F1713="","",YEAR(TODAY())-F1713)</f>
        <v/>
      </c>
      <c r="H1713" s="11" t="str">
        <f aca="false">IF(C1713="","",IF(G1713="","Thiếu thông tin",IF(G1713&lt;6,"Trẻ em",IF(G1713&lt;23,"Học sinh / Sinh viên",IF(G1713&lt;60,"Đang đi làm","Nghỉ hưu")))))</f>
        <v/>
      </c>
      <c r="I1713" s="6"/>
      <c r="J1713" s="11" t="str">
        <f aca="false">IF(B1713="","",IFERROR(INDEX('Hộ gia đình'!$B$2:$B$2000,MATCH(B1713,'Hộ gia đình'!$A$2:$A$2000,0)),"Mã hộ không tồn tại"))</f>
        <v/>
      </c>
      <c r="K1713" s="14"/>
      <c r="L1713" s="14"/>
      <c r="M1713" s="6"/>
      <c r="N1713" s="6"/>
      <c r="O1713" s="6"/>
      <c r="P1713" s="6"/>
      <c r="Q1713" s="6"/>
      <c r="R1713" s="12"/>
    </row>
    <row r="1714" customFormat="false" ht="15" hidden="false" customHeight="true" outlineLevel="0" collapsed="false">
      <c r="A1714" s="6"/>
      <c r="B1714" s="6"/>
      <c r="C1714" s="6"/>
      <c r="D1714" s="6"/>
      <c r="E1714" s="13"/>
      <c r="F1714" s="6"/>
      <c r="G1714" s="11" t="str">
        <f aca="true">IF(F1714="","",YEAR(TODAY())-F1714)</f>
        <v/>
      </c>
      <c r="H1714" s="11" t="str">
        <f aca="false">IF(C1714="","",IF(G1714="","Thiếu thông tin",IF(G1714&lt;6,"Trẻ em",IF(G1714&lt;23,"Học sinh / Sinh viên",IF(G1714&lt;60,"Đang đi làm","Nghỉ hưu")))))</f>
        <v/>
      </c>
      <c r="I1714" s="6"/>
      <c r="J1714" s="11" t="str">
        <f aca="false">IF(B1714="","",IFERROR(INDEX('Hộ gia đình'!$B$2:$B$2000,MATCH(B1714,'Hộ gia đình'!$A$2:$A$2000,0)),"Mã hộ không tồn tại"))</f>
        <v/>
      </c>
      <c r="K1714" s="14"/>
      <c r="L1714" s="14"/>
      <c r="M1714" s="6"/>
      <c r="N1714" s="6"/>
      <c r="O1714" s="6"/>
      <c r="P1714" s="6"/>
      <c r="Q1714" s="6"/>
      <c r="R1714" s="12"/>
    </row>
    <row r="1715" customFormat="false" ht="15" hidden="false" customHeight="true" outlineLevel="0" collapsed="false">
      <c r="A1715" s="6"/>
      <c r="B1715" s="6"/>
      <c r="C1715" s="6"/>
      <c r="D1715" s="6"/>
      <c r="E1715" s="13"/>
      <c r="F1715" s="6"/>
      <c r="G1715" s="11" t="str">
        <f aca="true">IF(F1715="","",YEAR(TODAY())-F1715)</f>
        <v/>
      </c>
      <c r="H1715" s="11" t="str">
        <f aca="false">IF(C1715="","",IF(G1715="","Thiếu thông tin",IF(G1715&lt;6,"Trẻ em",IF(G1715&lt;23,"Học sinh / Sinh viên",IF(G1715&lt;60,"Đang đi làm","Nghỉ hưu")))))</f>
        <v/>
      </c>
      <c r="I1715" s="6"/>
      <c r="J1715" s="11" t="str">
        <f aca="false">IF(B1715="","",IFERROR(INDEX('Hộ gia đình'!$B$2:$B$2000,MATCH(B1715,'Hộ gia đình'!$A$2:$A$2000,0)),"Mã hộ không tồn tại"))</f>
        <v/>
      </c>
      <c r="K1715" s="14"/>
      <c r="L1715" s="14"/>
      <c r="M1715" s="6"/>
      <c r="N1715" s="6"/>
      <c r="O1715" s="6"/>
      <c r="P1715" s="6"/>
      <c r="Q1715" s="6"/>
      <c r="R1715" s="12"/>
    </row>
    <row r="1716" customFormat="false" ht="15" hidden="false" customHeight="true" outlineLevel="0" collapsed="false">
      <c r="A1716" s="6"/>
      <c r="B1716" s="6"/>
      <c r="C1716" s="6"/>
      <c r="D1716" s="6"/>
      <c r="E1716" s="13"/>
      <c r="F1716" s="6"/>
      <c r="G1716" s="11" t="str">
        <f aca="true">IF(F1716="","",YEAR(TODAY())-F1716)</f>
        <v/>
      </c>
      <c r="H1716" s="11" t="str">
        <f aca="false">IF(C1716="","",IF(G1716="","Thiếu thông tin",IF(G1716&lt;6,"Trẻ em",IF(G1716&lt;23,"Học sinh / Sinh viên",IF(G1716&lt;60,"Đang đi làm","Nghỉ hưu")))))</f>
        <v/>
      </c>
      <c r="I1716" s="6"/>
      <c r="J1716" s="11" t="str">
        <f aca="false">IF(B1716="","",IFERROR(INDEX('Hộ gia đình'!$B$2:$B$2000,MATCH(B1716,'Hộ gia đình'!$A$2:$A$2000,0)),"Mã hộ không tồn tại"))</f>
        <v/>
      </c>
      <c r="K1716" s="14"/>
      <c r="L1716" s="14"/>
      <c r="M1716" s="6"/>
      <c r="N1716" s="6"/>
      <c r="O1716" s="6"/>
      <c r="P1716" s="6"/>
      <c r="Q1716" s="6"/>
      <c r="R1716" s="12"/>
    </row>
    <row r="1717" customFormat="false" ht="15" hidden="false" customHeight="true" outlineLevel="0" collapsed="false">
      <c r="A1717" s="6"/>
      <c r="B1717" s="6"/>
      <c r="C1717" s="6"/>
      <c r="D1717" s="6"/>
      <c r="E1717" s="13"/>
      <c r="F1717" s="6"/>
      <c r="G1717" s="11" t="str">
        <f aca="true">IF(F1717="","",YEAR(TODAY())-F1717)</f>
        <v/>
      </c>
      <c r="H1717" s="11" t="str">
        <f aca="false">IF(C1717="","",IF(G1717="","Thiếu thông tin",IF(G1717&lt;6,"Trẻ em",IF(G1717&lt;23,"Học sinh / Sinh viên",IF(G1717&lt;60,"Đang đi làm","Nghỉ hưu")))))</f>
        <v/>
      </c>
      <c r="I1717" s="6"/>
      <c r="J1717" s="11" t="str">
        <f aca="false">IF(B1717="","",IFERROR(INDEX('Hộ gia đình'!$B$2:$B$2000,MATCH(B1717,'Hộ gia đình'!$A$2:$A$2000,0)),"Mã hộ không tồn tại"))</f>
        <v/>
      </c>
      <c r="K1717" s="14"/>
      <c r="L1717" s="14"/>
      <c r="M1717" s="6"/>
      <c r="N1717" s="6"/>
      <c r="O1717" s="6"/>
      <c r="P1717" s="6"/>
      <c r="Q1717" s="6"/>
      <c r="R1717" s="12"/>
    </row>
    <row r="1718" customFormat="false" ht="15" hidden="false" customHeight="true" outlineLevel="0" collapsed="false">
      <c r="A1718" s="6"/>
      <c r="B1718" s="6"/>
      <c r="C1718" s="6"/>
      <c r="D1718" s="6"/>
      <c r="E1718" s="13"/>
      <c r="F1718" s="6"/>
      <c r="G1718" s="11" t="str">
        <f aca="true">IF(F1718="","",YEAR(TODAY())-F1718)</f>
        <v/>
      </c>
      <c r="H1718" s="11" t="str">
        <f aca="false">IF(C1718="","",IF(G1718="","Thiếu thông tin",IF(G1718&lt;6,"Trẻ em",IF(G1718&lt;23,"Học sinh / Sinh viên",IF(G1718&lt;60,"Đang đi làm","Nghỉ hưu")))))</f>
        <v/>
      </c>
      <c r="I1718" s="6"/>
      <c r="J1718" s="11" t="str">
        <f aca="false">IF(B1718="","",IFERROR(INDEX('Hộ gia đình'!$B$2:$B$2000,MATCH(B1718,'Hộ gia đình'!$A$2:$A$2000,0)),"Mã hộ không tồn tại"))</f>
        <v/>
      </c>
      <c r="K1718" s="14"/>
      <c r="L1718" s="14"/>
      <c r="M1718" s="6"/>
      <c r="N1718" s="6"/>
      <c r="O1718" s="6"/>
      <c r="P1718" s="6"/>
      <c r="Q1718" s="6"/>
      <c r="R1718" s="12"/>
    </row>
    <row r="1719" customFormat="false" ht="15" hidden="false" customHeight="true" outlineLevel="0" collapsed="false">
      <c r="A1719" s="6"/>
      <c r="B1719" s="6"/>
      <c r="C1719" s="6"/>
      <c r="D1719" s="6"/>
      <c r="E1719" s="13"/>
      <c r="F1719" s="6"/>
      <c r="G1719" s="11" t="str">
        <f aca="true">IF(F1719="","",YEAR(TODAY())-F1719)</f>
        <v/>
      </c>
      <c r="H1719" s="11" t="str">
        <f aca="false">IF(C1719="","",IF(G1719="","Thiếu thông tin",IF(G1719&lt;6,"Trẻ em",IF(G1719&lt;23,"Học sinh / Sinh viên",IF(G1719&lt;60,"Đang đi làm","Nghỉ hưu")))))</f>
        <v/>
      </c>
      <c r="I1719" s="6"/>
      <c r="J1719" s="11" t="str">
        <f aca="false">IF(B1719="","",IFERROR(INDEX('Hộ gia đình'!$B$2:$B$2000,MATCH(B1719,'Hộ gia đình'!$A$2:$A$2000,0)),"Mã hộ không tồn tại"))</f>
        <v/>
      </c>
      <c r="K1719" s="14"/>
      <c r="L1719" s="14"/>
      <c r="M1719" s="6"/>
      <c r="N1719" s="6"/>
      <c r="O1719" s="6"/>
      <c r="P1719" s="6"/>
      <c r="Q1719" s="6"/>
      <c r="R1719" s="12"/>
    </row>
    <row r="1720" customFormat="false" ht="15" hidden="false" customHeight="true" outlineLevel="0" collapsed="false">
      <c r="A1720" s="6"/>
      <c r="B1720" s="6"/>
      <c r="C1720" s="6"/>
      <c r="D1720" s="6"/>
      <c r="E1720" s="13"/>
      <c r="F1720" s="6"/>
      <c r="G1720" s="11" t="str">
        <f aca="true">IF(F1720="","",YEAR(TODAY())-F1720)</f>
        <v/>
      </c>
      <c r="H1720" s="11" t="str">
        <f aca="false">IF(C1720="","",IF(G1720="","Thiếu thông tin",IF(G1720&lt;6,"Trẻ em",IF(G1720&lt;23,"Học sinh / Sinh viên",IF(G1720&lt;60,"Đang đi làm","Nghỉ hưu")))))</f>
        <v/>
      </c>
      <c r="I1720" s="6"/>
      <c r="J1720" s="11" t="str">
        <f aca="false">IF(B1720="","",IFERROR(INDEX('Hộ gia đình'!$B$2:$B$2000,MATCH(B1720,'Hộ gia đình'!$A$2:$A$2000,0)),"Mã hộ không tồn tại"))</f>
        <v/>
      </c>
      <c r="K1720" s="14"/>
      <c r="L1720" s="14"/>
      <c r="M1720" s="6"/>
      <c r="N1720" s="6"/>
      <c r="O1720" s="6"/>
      <c r="P1720" s="6"/>
      <c r="Q1720" s="6"/>
      <c r="R1720" s="12"/>
    </row>
    <row r="1721" customFormat="false" ht="15" hidden="false" customHeight="true" outlineLevel="0" collapsed="false">
      <c r="A1721" s="6"/>
      <c r="B1721" s="6"/>
      <c r="C1721" s="6"/>
      <c r="D1721" s="6"/>
      <c r="E1721" s="13"/>
      <c r="F1721" s="6"/>
      <c r="G1721" s="11" t="str">
        <f aca="true">IF(F1721="","",YEAR(TODAY())-F1721)</f>
        <v/>
      </c>
      <c r="H1721" s="11" t="str">
        <f aca="false">IF(C1721="","",IF(G1721="","Thiếu thông tin",IF(G1721&lt;6,"Trẻ em",IF(G1721&lt;23,"Học sinh / Sinh viên",IF(G1721&lt;60,"Đang đi làm","Nghỉ hưu")))))</f>
        <v/>
      </c>
      <c r="I1721" s="6"/>
      <c r="J1721" s="11" t="str">
        <f aca="false">IF(B1721="","",IFERROR(INDEX('Hộ gia đình'!$B$2:$B$2000,MATCH(B1721,'Hộ gia đình'!$A$2:$A$2000,0)),"Mã hộ không tồn tại"))</f>
        <v/>
      </c>
      <c r="K1721" s="14"/>
      <c r="L1721" s="14"/>
      <c r="M1721" s="6"/>
      <c r="N1721" s="6"/>
      <c r="O1721" s="6"/>
      <c r="P1721" s="6"/>
      <c r="Q1721" s="6"/>
      <c r="R1721" s="12"/>
    </row>
    <row r="1722" customFormat="false" ht="15" hidden="false" customHeight="true" outlineLevel="0" collapsed="false">
      <c r="A1722" s="6"/>
      <c r="B1722" s="6"/>
      <c r="C1722" s="6"/>
      <c r="D1722" s="6"/>
      <c r="E1722" s="13"/>
      <c r="F1722" s="6"/>
      <c r="G1722" s="11" t="str">
        <f aca="true">IF(F1722="","",YEAR(TODAY())-F1722)</f>
        <v/>
      </c>
      <c r="H1722" s="11" t="str">
        <f aca="false">IF(C1722="","",IF(G1722="","Thiếu thông tin",IF(G1722&lt;6,"Trẻ em",IF(G1722&lt;23,"Học sinh / Sinh viên",IF(G1722&lt;60,"Đang đi làm","Nghỉ hưu")))))</f>
        <v/>
      </c>
      <c r="I1722" s="6"/>
      <c r="J1722" s="11" t="str">
        <f aca="false">IF(B1722="","",IFERROR(INDEX('Hộ gia đình'!$B$2:$B$2000,MATCH(B1722,'Hộ gia đình'!$A$2:$A$2000,0)),"Mã hộ không tồn tại"))</f>
        <v/>
      </c>
      <c r="K1722" s="14"/>
      <c r="L1722" s="14"/>
      <c r="M1722" s="6"/>
      <c r="N1722" s="6"/>
      <c r="O1722" s="6"/>
      <c r="P1722" s="6"/>
      <c r="Q1722" s="6"/>
      <c r="R1722" s="12"/>
    </row>
    <row r="1723" customFormat="false" ht="15" hidden="false" customHeight="true" outlineLevel="0" collapsed="false">
      <c r="A1723" s="6"/>
      <c r="B1723" s="6"/>
      <c r="C1723" s="6"/>
      <c r="D1723" s="6"/>
      <c r="E1723" s="13"/>
      <c r="F1723" s="6"/>
      <c r="G1723" s="11" t="str">
        <f aca="true">IF(F1723="","",YEAR(TODAY())-F1723)</f>
        <v/>
      </c>
      <c r="H1723" s="11" t="str">
        <f aca="false">IF(C1723="","",IF(G1723="","Thiếu thông tin",IF(G1723&lt;6,"Trẻ em",IF(G1723&lt;23,"Học sinh / Sinh viên",IF(G1723&lt;60,"Đang đi làm","Nghỉ hưu")))))</f>
        <v/>
      </c>
      <c r="I1723" s="6"/>
      <c r="J1723" s="11" t="str">
        <f aca="false">IF(B1723="","",IFERROR(INDEX('Hộ gia đình'!$B$2:$B$2000,MATCH(B1723,'Hộ gia đình'!$A$2:$A$2000,0)),"Mã hộ không tồn tại"))</f>
        <v/>
      </c>
      <c r="K1723" s="14"/>
      <c r="L1723" s="14"/>
      <c r="M1723" s="6"/>
      <c r="N1723" s="6"/>
      <c r="O1723" s="6"/>
      <c r="P1723" s="6"/>
      <c r="Q1723" s="6"/>
      <c r="R1723" s="12"/>
    </row>
    <row r="1724" customFormat="false" ht="15" hidden="false" customHeight="true" outlineLevel="0" collapsed="false">
      <c r="A1724" s="6"/>
      <c r="B1724" s="6"/>
      <c r="C1724" s="6"/>
      <c r="D1724" s="6"/>
      <c r="E1724" s="13"/>
      <c r="F1724" s="6"/>
      <c r="G1724" s="11" t="str">
        <f aca="true">IF(F1724="","",YEAR(TODAY())-F1724)</f>
        <v/>
      </c>
      <c r="H1724" s="11" t="str">
        <f aca="false">IF(C1724="","",IF(G1724="","Thiếu thông tin",IF(G1724&lt;6,"Trẻ em",IF(G1724&lt;23,"Học sinh / Sinh viên",IF(G1724&lt;60,"Đang đi làm","Nghỉ hưu")))))</f>
        <v/>
      </c>
      <c r="I1724" s="6"/>
      <c r="J1724" s="11" t="str">
        <f aca="false">IF(B1724="","",IFERROR(INDEX('Hộ gia đình'!$B$2:$B$2000,MATCH(B1724,'Hộ gia đình'!$A$2:$A$2000,0)),"Mã hộ không tồn tại"))</f>
        <v/>
      </c>
      <c r="K1724" s="14"/>
      <c r="L1724" s="14"/>
      <c r="M1724" s="6"/>
      <c r="N1724" s="6"/>
      <c r="O1724" s="6"/>
      <c r="P1724" s="6"/>
      <c r="Q1724" s="6"/>
      <c r="R1724" s="12"/>
    </row>
    <row r="1725" customFormat="false" ht="15" hidden="false" customHeight="true" outlineLevel="0" collapsed="false">
      <c r="A1725" s="6"/>
      <c r="B1725" s="6"/>
      <c r="C1725" s="6"/>
      <c r="D1725" s="6"/>
      <c r="E1725" s="13"/>
      <c r="F1725" s="6"/>
      <c r="G1725" s="11" t="str">
        <f aca="true">IF(F1725="","",YEAR(TODAY())-F1725)</f>
        <v/>
      </c>
      <c r="H1725" s="11" t="str">
        <f aca="false">IF(C1725="","",IF(G1725="","Thiếu thông tin",IF(G1725&lt;6,"Trẻ em",IF(G1725&lt;23,"Học sinh / Sinh viên",IF(G1725&lt;60,"Đang đi làm","Nghỉ hưu")))))</f>
        <v/>
      </c>
      <c r="I1725" s="6"/>
      <c r="J1725" s="11" t="str">
        <f aca="false">IF(B1725="","",IFERROR(INDEX('Hộ gia đình'!$B$2:$B$2000,MATCH(B1725,'Hộ gia đình'!$A$2:$A$2000,0)),"Mã hộ không tồn tại"))</f>
        <v/>
      </c>
      <c r="K1725" s="14"/>
      <c r="L1725" s="14"/>
      <c r="M1725" s="6"/>
      <c r="N1725" s="6"/>
      <c r="O1725" s="6"/>
      <c r="P1725" s="6"/>
      <c r="Q1725" s="6"/>
      <c r="R1725" s="12"/>
    </row>
    <row r="1726" customFormat="false" ht="15" hidden="false" customHeight="true" outlineLevel="0" collapsed="false">
      <c r="A1726" s="6"/>
      <c r="B1726" s="6"/>
      <c r="C1726" s="6"/>
      <c r="D1726" s="6"/>
      <c r="E1726" s="13"/>
      <c r="F1726" s="6"/>
      <c r="G1726" s="11" t="str">
        <f aca="true">IF(F1726="","",YEAR(TODAY())-F1726)</f>
        <v/>
      </c>
      <c r="H1726" s="11" t="str">
        <f aca="false">IF(C1726="","",IF(G1726="","Thiếu thông tin",IF(G1726&lt;6,"Trẻ em",IF(G1726&lt;23,"Học sinh / Sinh viên",IF(G1726&lt;60,"Đang đi làm","Nghỉ hưu")))))</f>
        <v/>
      </c>
      <c r="I1726" s="6"/>
      <c r="J1726" s="11" t="str">
        <f aca="false">IF(B1726="","",IFERROR(INDEX('Hộ gia đình'!$B$2:$B$2000,MATCH(B1726,'Hộ gia đình'!$A$2:$A$2000,0)),"Mã hộ không tồn tại"))</f>
        <v/>
      </c>
      <c r="K1726" s="14"/>
      <c r="L1726" s="14"/>
      <c r="M1726" s="6"/>
      <c r="N1726" s="6"/>
      <c r="O1726" s="6"/>
      <c r="P1726" s="6"/>
      <c r="Q1726" s="6"/>
      <c r="R1726" s="12"/>
    </row>
    <row r="1727" customFormat="false" ht="15" hidden="false" customHeight="true" outlineLevel="0" collapsed="false">
      <c r="A1727" s="6"/>
      <c r="B1727" s="6"/>
      <c r="C1727" s="6"/>
      <c r="D1727" s="6"/>
      <c r="E1727" s="13"/>
      <c r="F1727" s="6"/>
      <c r="G1727" s="11" t="str">
        <f aca="true">IF(F1727="","",YEAR(TODAY())-F1727)</f>
        <v/>
      </c>
      <c r="H1727" s="11" t="str">
        <f aca="false">IF(C1727="","",IF(G1727="","Thiếu thông tin",IF(G1727&lt;6,"Trẻ em",IF(G1727&lt;23,"Học sinh / Sinh viên",IF(G1727&lt;60,"Đang đi làm","Nghỉ hưu")))))</f>
        <v/>
      </c>
      <c r="I1727" s="6"/>
      <c r="J1727" s="11" t="str">
        <f aca="false">IF(B1727="","",IFERROR(INDEX('Hộ gia đình'!$B$2:$B$2000,MATCH(B1727,'Hộ gia đình'!$A$2:$A$2000,0)),"Mã hộ không tồn tại"))</f>
        <v/>
      </c>
      <c r="K1727" s="14"/>
      <c r="L1727" s="14"/>
      <c r="M1727" s="6"/>
      <c r="N1727" s="6"/>
      <c r="O1727" s="6"/>
      <c r="P1727" s="6"/>
      <c r="Q1727" s="6"/>
      <c r="R1727" s="12"/>
    </row>
    <row r="1728" customFormat="false" ht="15" hidden="false" customHeight="true" outlineLevel="0" collapsed="false">
      <c r="A1728" s="6"/>
      <c r="B1728" s="6"/>
      <c r="C1728" s="6"/>
      <c r="D1728" s="6"/>
      <c r="E1728" s="13"/>
      <c r="F1728" s="6"/>
      <c r="G1728" s="11" t="str">
        <f aca="true">IF(F1728="","",YEAR(TODAY())-F1728)</f>
        <v/>
      </c>
      <c r="H1728" s="11" t="str">
        <f aca="false">IF(C1728="","",IF(G1728="","Thiếu thông tin",IF(G1728&lt;6,"Trẻ em",IF(G1728&lt;23,"Học sinh / Sinh viên",IF(G1728&lt;60,"Đang đi làm","Nghỉ hưu")))))</f>
        <v/>
      </c>
      <c r="I1728" s="6"/>
      <c r="J1728" s="11" t="str">
        <f aca="false">IF(B1728="","",IFERROR(INDEX('Hộ gia đình'!$B$2:$B$2000,MATCH(B1728,'Hộ gia đình'!$A$2:$A$2000,0)),"Mã hộ không tồn tại"))</f>
        <v/>
      </c>
      <c r="K1728" s="14"/>
      <c r="L1728" s="14"/>
      <c r="M1728" s="6"/>
      <c r="N1728" s="6"/>
      <c r="O1728" s="6"/>
      <c r="P1728" s="6"/>
      <c r="Q1728" s="6"/>
      <c r="R1728" s="12"/>
    </row>
    <row r="1729" customFormat="false" ht="15" hidden="false" customHeight="true" outlineLevel="0" collapsed="false">
      <c r="A1729" s="6"/>
      <c r="B1729" s="6"/>
      <c r="C1729" s="6"/>
      <c r="D1729" s="6"/>
      <c r="E1729" s="13"/>
      <c r="F1729" s="6"/>
      <c r="G1729" s="11" t="str">
        <f aca="true">IF(F1729="","",YEAR(TODAY())-F1729)</f>
        <v/>
      </c>
      <c r="H1729" s="11" t="str">
        <f aca="false">IF(C1729="","",IF(G1729="","Thiếu thông tin",IF(G1729&lt;6,"Trẻ em",IF(G1729&lt;23,"Học sinh / Sinh viên",IF(G1729&lt;60,"Đang đi làm","Nghỉ hưu")))))</f>
        <v/>
      </c>
      <c r="I1729" s="6"/>
      <c r="J1729" s="11" t="str">
        <f aca="false">IF(B1729="","",IFERROR(INDEX('Hộ gia đình'!$B$2:$B$2000,MATCH(B1729,'Hộ gia đình'!$A$2:$A$2000,0)),"Mã hộ không tồn tại"))</f>
        <v/>
      </c>
      <c r="K1729" s="14"/>
      <c r="L1729" s="14"/>
      <c r="M1729" s="6"/>
      <c r="N1729" s="6"/>
      <c r="O1729" s="6"/>
      <c r="P1729" s="6"/>
      <c r="Q1729" s="6"/>
      <c r="R1729" s="12"/>
    </row>
    <row r="1730" customFormat="false" ht="15" hidden="false" customHeight="true" outlineLevel="0" collapsed="false">
      <c r="A1730" s="6"/>
      <c r="B1730" s="6"/>
      <c r="C1730" s="6"/>
      <c r="D1730" s="6"/>
      <c r="E1730" s="13"/>
      <c r="F1730" s="6"/>
      <c r="G1730" s="11" t="str">
        <f aca="true">IF(F1730="","",YEAR(TODAY())-F1730)</f>
        <v/>
      </c>
      <c r="H1730" s="11" t="str">
        <f aca="false">IF(C1730="","",IF(G1730="","Thiếu thông tin",IF(G1730&lt;6,"Trẻ em",IF(G1730&lt;23,"Học sinh / Sinh viên",IF(G1730&lt;60,"Đang đi làm","Nghỉ hưu")))))</f>
        <v/>
      </c>
      <c r="I1730" s="6"/>
      <c r="J1730" s="11" t="str">
        <f aca="false">IF(B1730="","",IFERROR(INDEX('Hộ gia đình'!$B$2:$B$2000,MATCH(B1730,'Hộ gia đình'!$A$2:$A$2000,0)),"Mã hộ không tồn tại"))</f>
        <v/>
      </c>
      <c r="K1730" s="14"/>
      <c r="L1730" s="14"/>
      <c r="M1730" s="6"/>
      <c r="N1730" s="6"/>
      <c r="O1730" s="6"/>
      <c r="P1730" s="6"/>
      <c r="Q1730" s="6"/>
      <c r="R1730" s="12"/>
    </row>
    <row r="1731" customFormat="false" ht="15" hidden="false" customHeight="true" outlineLevel="0" collapsed="false">
      <c r="A1731" s="6"/>
      <c r="B1731" s="6"/>
      <c r="C1731" s="6"/>
      <c r="D1731" s="6"/>
      <c r="E1731" s="13"/>
      <c r="F1731" s="6"/>
      <c r="G1731" s="11" t="str">
        <f aca="true">IF(F1731="","",YEAR(TODAY())-F1731)</f>
        <v/>
      </c>
      <c r="H1731" s="11" t="str">
        <f aca="false">IF(C1731="","",IF(G1731="","Thiếu thông tin",IF(G1731&lt;6,"Trẻ em",IF(G1731&lt;23,"Học sinh / Sinh viên",IF(G1731&lt;60,"Đang đi làm","Nghỉ hưu")))))</f>
        <v/>
      </c>
      <c r="I1731" s="6"/>
      <c r="J1731" s="11" t="str">
        <f aca="false">IF(B1731="","",IFERROR(INDEX('Hộ gia đình'!$B$2:$B$2000,MATCH(B1731,'Hộ gia đình'!$A$2:$A$2000,0)),"Mã hộ không tồn tại"))</f>
        <v/>
      </c>
      <c r="K1731" s="14"/>
      <c r="L1731" s="14"/>
      <c r="M1731" s="6"/>
      <c r="N1731" s="6"/>
      <c r="O1731" s="6"/>
      <c r="P1731" s="6"/>
      <c r="Q1731" s="6"/>
      <c r="R1731" s="12"/>
    </row>
    <row r="1732" customFormat="false" ht="15" hidden="false" customHeight="true" outlineLevel="0" collapsed="false">
      <c r="A1732" s="6"/>
      <c r="B1732" s="6"/>
      <c r="C1732" s="6"/>
      <c r="D1732" s="6"/>
      <c r="E1732" s="13"/>
      <c r="F1732" s="6"/>
      <c r="G1732" s="11" t="str">
        <f aca="true">IF(F1732="","",YEAR(TODAY())-F1732)</f>
        <v/>
      </c>
      <c r="H1732" s="11" t="str">
        <f aca="false">IF(C1732="","",IF(G1732="","Thiếu thông tin",IF(G1732&lt;6,"Trẻ em",IF(G1732&lt;23,"Học sinh / Sinh viên",IF(G1732&lt;60,"Đang đi làm","Nghỉ hưu")))))</f>
        <v/>
      </c>
      <c r="I1732" s="6"/>
      <c r="J1732" s="11" t="str">
        <f aca="false">IF(B1732="","",IFERROR(INDEX('Hộ gia đình'!$B$2:$B$2000,MATCH(B1732,'Hộ gia đình'!$A$2:$A$2000,0)),"Mã hộ không tồn tại"))</f>
        <v/>
      </c>
      <c r="K1732" s="14"/>
      <c r="L1732" s="14"/>
      <c r="M1732" s="6"/>
      <c r="N1732" s="6"/>
      <c r="O1732" s="6"/>
      <c r="P1732" s="6"/>
      <c r="Q1732" s="6"/>
      <c r="R1732" s="12"/>
    </row>
    <row r="1733" customFormat="false" ht="15" hidden="false" customHeight="true" outlineLevel="0" collapsed="false">
      <c r="A1733" s="6"/>
      <c r="B1733" s="6"/>
      <c r="C1733" s="6"/>
      <c r="D1733" s="6"/>
      <c r="E1733" s="13"/>
      <c r="F1733" s="6"/>
      <c r="G1733" s="11" t="str">
        <f aca="true">IF(F1733="","",YEAR(TODAY())-F1733)</f>
        <v/>
      </c>
      <c r="H1733" s="11" t="str">
        <f aca="false">IF(C1733="","",IF(G1733="","Thiếu thông tin",IF(G1733&lt;6,"Trẻ em",IF(G1733&lt;23,"Học sinh / Sinh viên",IF(G1733&lt;60,"Đang đi làm","Nghỉ hưu")))))</f>
        <v/>
      </c>
      <c r="I1733" s="6"/>
      <c r="J1733" s="11" t="str">
        <f aca="false">IF(B1733="","",IFERROR(INDEX('Hộ gia đình'!$B$2:$B$2000,MATCH(B1733,'Hộ gia đình'!$A$2:$A$2000,0)),"Mã hộ không tồn tại"))</f>
        <v/>
      </c>
      <c r="K1733" s="14"/>
      <c r="L1733" s="14"/>
      <c r="M1733" s="6"/>
      <c r="N1733" s="6"/>
      <c r="O1733" s="6"/>
      <c r="P1733" s="6"/>
      <c r="Q1733" s="6"/>
      <c r="R1733" s="12"/>
    </row>
    <row r="1734" customFormat="false" ht="15" hidden="false" customHeight="true" outlineLevel="0" collapsed="false">
      <c r="A1734" s="6"/>
      <c r="B1734" s="6"/>
      <c r="C1734" s="6"/>
      <c r="D1734" s="6"/>
      <c r="E1734" s="13"/>
      <c r="F1734" s="6"/>
      <c r="G1734" s="11" t="str">
        <f aca="true">IF(F1734="","",YEAR(TODAY())-F1734)</f>
        <v/>
      </c>
      <c r="H1734" s="11" t="str">
        <f aca="false">IF(C1734="","",IF(G1734="","Thiếu thông tin",IF(G1734&lt;6,"Trẻ em",IF(G1734&lt;23,"Học sinh / Sinh viên",IF(G1734&lt;60,"Đang đi làm","Nghỉ hưu")))))</f>
        <v/>
      </c>
      <c r="I1734" s="6"/>
      <c r="J1734" s="11" t="str">
        <f aca="false">IF(B1734="","",IFERROR(INDEX('Hộ gia đình'!$B$2:$B$2000,MATCH(B1734,'Hộ gia đình'!$A$2:$A$2000,0)),"Mã hộ không tồn tại"))</f>
        <v/>
      </c>
      <c r="K1734" s="14"/>
      <c r="L1734" s="14"/>
      <c r="M1734" s="6"/>
      <c r="N1734" s="6"/>
      <c r="O1734" s="6"/>
      <c r="P1734" s="6"/>
      <c r="Q1734" s="6"/>
      <c r="R1734" s="12"/>
    </row>
    <row r="1735" customFormat="false" ht="15" hidden="false" customHeight="true" outlineLevel="0" collapsed="false">
      <c r="A1735" s="6"/>
      <c r="B1735" s="6"/>
      <c r="C1735" s="6"/>
      <c r="D1735" s="6"/>
      <c r="E1735" s="13"/>
      <c r="F1735" s="6"/>
      <c r="G1735" s="11" t="str">
        <f aca="true">IF(F1735="","",YEAR(TODAY())-F1735)</f>
        <v/>
      </c>
      <c r="H1735" s="11" t="str">
        <f aca="false">IF(C1735="","",IF(G1735="","Thiếu thông tin",IF(G1735&lt;6,"Trẻ em",IF(G1735&lt;23,"Học sinh / Sinh viên",IF(G1735&lt;60,"Đang đi làm","Nghỉ hưu")))))</f>
        <v/>
      </c>
      <c r="I1735" s="6"/>
      <c r="J1735" s="11" t="str">
        <f aca="false">IF(B1735="","",IFERROR(INDEX('Hộ gia đình'!$B$2:$B$2000,MATCH(B1735,'Hộ gia đình'!$A$2:$A$2000,0)),"Mã hộ không tồn tại"))</f>
        <v/>
      </c>
      <c r="K1735" s="14"/>
      <c r="L1735" s="14"/>
      <c r="M1735" s="6"/>
      <c r="N1735" s="6"/>
      <c r="O1735" s="6"/>
      <c r="P1735" s="6"/>
      <c r="Q1735" s="6"/>
      <c r="R1735" s="12"/>
    </row>
    <row r="1736" customFormat="false" ht="15" hidden="false" customHeight="true" outlineLevel="0" collapsed="false">
      <c r="A1736" s="6"/>
      <c r="B1736" s="6"/>
      <c r="C1736" s="6"/>
      <c r="D1736" s="6"/>
      <c r="E1736" s="13"/>
      <c r="F1736" s="6"/>
      <c r="G1736" s="11" t="str">
        <f aca="true">IF(F1736="","",YEAR(TODAY())-F1736)</f>
        <v/>
      </c>
      <c r="H1736" s="11" t="str">
        <f aca="false">IF(C1736="","",IF(G1736="","Thiếu thông tin",IF(G1736&lt;6,"Trẻ em",IF(G1736&lt;23,"Học sinh / Sinh viên",IF(G1736&lt;60,"Đang đi làm","Nghỉ hưu")))))</f>
        <v/>
      </c>
      <c r="I1736" s="6"/>
      <c r="J1736" s="11" t="str">
        <f aca="false">IF(B1736="","",IFERROR(INDEX('Hộ gia đình'!$B$2:$B$2000,MATCH(B1736,'Hộ gia đình'!$A$2:$A$2000,0)),"Mã hộ không tồn tại"))</f>
        <v/>
      </c>
      <c r="K1736" s="14"/>
      <c r="L1736" s="14"/>
      <c r="M1736" s="6"/>
      <c r="N1736" s="6"/>
      <c r="O1736" s="6"/>
      <c r="P1736" s="6"/>
      <c r="Q1736" s="6"/>
      <c r="R1736" s="12"/>
    </row>
    <row r="1737" customFormat="false" ht="15" hidden="false" customHeight="true" outlineLevel="0" collapsed="false">
      <c r="A1737" s="6"/>
      <c r="B1737" s="6"/>
      <c r="C1737" s="6"/>
      <c r="D1737" s="6"/>
      <c r="E1737" s="13"/>
      <c r="F1737" s="6"/>
      <c r="G1737" s="11" t="str">
        <f aca="true">IF(F1737="","",YEAR(TODAY())-F1737)</f>
        <v/>
      </c>
      <c r="H1737" s="11" t="str">
        <f aca="false">IF(C1737="","",IF(G1737="","Thiếu thông tin",IF(G1737&lt;6,"Trẻ em",IF(G1737&lt;23,"Học sinh / Sinh viên",IF(G1737&lt;60,"Đang đi làm","Nghỉ hưu")))))</f>
        <v/>
      </c>
      <c r="I1737" s="6"/>
      <c r="J1737" s="11" t="str">
        <f aca="false">IF(B1737="","",IFERROR(INDEX('Hộ gia đình'!$B$2:$B$2000,MATCH(B1737,'Hộ gia đình'!$A$2:$A$2000,0)),"Mã hộ không tồn tại"))</f>
        <v/>
      </c>
      <c r="K1737" s="14"/>
      <c r="L1737" s="14"/>
      <c r="M1737" s="6"/>
      <c r="N1737" s="6"/>
      <c r="O1737" s="6"/>
      <c r="P1737" s="6"/>
      <c r="Q1737" s="6"/>
      <c r="R1737" s="12"/>
    </row>
    <row r="1738" customFormat="false" ht="15" hidden="false" customHeight="true" outlineLevel="0" collapsed="false">
      <c r="A1738" s="6"/>
      <c r="B1738" s="6"/>
      <c r="C1738" s="6"/>
      <c r="D1738" s="6"/>
      <c r="E1738" s="13"/>
      <c r="F1738" s="6"/>
      <c r="G1738" s="11" t="str">
        <f aca="true">IF(F1738="","",YEAR(TODAY())-F1738)</f>
        <v/>
      </c>
      <c r="H1738" s="11" t="str">
        <f aca="false">IF(C1738="","",IF(G1738="","Thiếu thông tin",IF(G1738&lt;6,"Trẻ em",IF(G1738&lt;23,"Học sinh / Sinh viên",IF(G1738&lt;60,"Đang đi làm","Nghỉ hưu")))))</f>
        <v/>
      </c>
      <c r="I1738" s="6"/>
      <c r="J1738" s="11" t="str">
        <f aca="false">IF(B1738="","",IFERROR(INDEX('Hộ gia đình'!$B$2:$B$2000,MATCH(B1738,'Hộ gia đình'!$A$2:$A$2000,0)),"Mã hộ không tồn tại"))</f>
        <v/>
      </c>
      <c r="K1738" s="14"/>
      <c r="L1738" s="14"/>
      <c r="M1738" s="6"/>
      <c r="N1738" s="6"/>
      <c r="O1738" s="6"/>
      <c r="P1738" s="6"/>
      <c r="Q1738" s="6"/>
      <c r="R1738" s="12"/>
    </row>
    <row r="1739" customFormat="false" ht="15" hidden="false" customHeight="true" outlineLevel="0" collapsed="false">
      <c r="A1739" s="6"/>
      <c r="B1739" s="6"/>
      <c r="C1739" s="6"/>
      <c r="D1739" s="6"/>
      <c r="E1739" s="13"/>
      <c r="F1739" s="6"/>
      <c r="G1739" s="11" t="str">
        <f aca="true">IF(F1739="","",YEAR(TODAY())-F1739)</f>
        <v/>
      </c>
      <c r="H1739" s="11" t="str">
        <f aca="false">IF(C1739="","",IF(G1739="","Thiếu thông tin",IF(G1739&lt;6,"Trẻ em",IF(G1739&lt;23,"Học sinh / Sinh viên",IF(G1739&lt;60,"Đang đi làm","Nghỉ hưu")))))</f>
        <v/>
      </c>
      <c r="I1739" s="6"/>
      <c r="J1739" s="11" t="str">
        <f aca="false">IF(B1739="","",IFERROR(INDEX('Hộ gia đình'!$B$2:$B$2000,MATCH(B1739,'Hộ gia đình'!$A$2:$A$2000,0)),"Mã hộ không tồn tại"))</f>
        <v/>
      </c>
      <c r="K1739" s="14"/>
      <c r="L1739" s="14"/>
      <c r="M1739" s="6"/>
      <c r="N1739" s="6"/>
      <c r="O1739" s="6"/>
      <c r="P1739" s="6"/>
      <c r="Q1739" s="6"/>
      <c r="R1739" s="12"/>
    </row>
    <row r="1740" customFormat="false" ht="15" hidden="false" customHeight="true" outlineLevel="0" collapsed="false">
      <c r="A1740" s="6"/>
      <c r="B1740" s="6"/>
      <c r="C1740" s="6"/>
      <c r="D1740" s="6"/>
      <c r="E1740" s="13"/>
      <c r="F1740" s="6"/>
      <c r="G1740" s="11" t="str">
        <f aca="true">IF(F1740="","",YEAR(TODAY())-F1740)</f>
        <v/>
      </c>
      <c r="H1740" s="11" t="str">
        <f aca="false">IF(C1740="","",IF(G1740="","Thiếu thông tin",IF(G1740&lt;6,"Trẻ em",IF(G1740&lt;23,"Học sinh / Sinh viên",IF(G1740&lt;60,"Đang đi làm","Nghỉ hưu")))))</f>
        <v/>
      </c>
      <c r="I1740" s="6"/>
      <c r="J1740" s="11" t="str">
        <f aca="false">IF(B1740="","",IFERROR(INDEX('Hộ gia đình'!$B$2:$B$2000,MATCH(B1740,'Hộ gia đình'!$A$2:$A$2000,0)),"Mã hộ không tồn tại"))</f>
        <v/>
      </c>
      <c r="K1740" s="14"/>
      <c r="L1740" s="14"/>
      <c r="M1740" s="6"/>
      <c r="N1740" s="6"/>
      <c r="O1740" s="6"/>
      <c r="P1740" s="6"/>
      <c r="Q1740" s="6"/>
      <c r="R1740" s="12"/>
    </row>
    <row r="1741" customFormat="false" ht="15" hidden="false" customHeight="true" outlineLevel="0" collapsed="false">
      <c r="A1741" s="6"/>
      <c r="B1741" s="6"/>
      <c r="C1741" s="6"/>
      <c r="D1741" s="6"/>
      <c r="E1741" s="13"/>
      <c r="F1741" s="6"/>
      <c r="G1741" s="11" t="str">
        <f aca="true">IF(F1741="","",YEAR(TODAY())-F1741)</f>
        <v/>
      </c>
      <c r="H1741" s="11" t="str">
        <f aca="false">IF(C1741="","",IF(G1741="","Thiếu thông tin",IF(G1741&lt;6,"Trẻ em",IF(G1741&lt;23,"Học sinh / Sinh viên",IF(G1741&lt;60,"Đang đi làm","Nghỉ hưu")))))</f>
        <v/>
      </c>
      <c r="I1741" s="6"/>
      <c r="J1741" s="11" t="str">
        <f aca="false">IF(B1741="","",IFERROR(INDEX('Hộ gia đình'!$B$2:$B$2000,MATCH(B1741,'Hộ gia đình'!$A$2:$A$2000,0)),"Mã hộ không tồn tại"))</f>
        <v/>
      </c>
      <c r="K1741" s="14"/>
      <c r="L1741" s="14"/>
      <c r="M1741" s="6"/>
      <c r="N1741" s="6"/>
      <c r="O1741" s="6"/>
      <c r="P1741" s="6"/>
      <c r="Q1741" s="6"/>
      <c r="R1741" s="12"/>
    </row>
    <row r="1742" customFormat="false" ht="15" hidden="false" customHeight="true" outlineLevel="0" collapsed="false">
      <c r="A1742" s="6"/>
      <c r="B1742" s="6"/>
      <c r="C1742" s="6"/>
      <c r="D1742" s="6"/>
      <c r="E1742" s="13"/>
      <c r="F1742" s="6"/>
      <c r="G1742" s="11" t="str">
        <f aca="true">IF(F1742="","",YEAR(TODAY())-F1742)</f>
        <v/>
      </c>
      <c r="H1742" s="11" t="str">
        <f aca="false">IF(C1742="","",IF(G1742="","Thiếu thông tin",IF(G1742&lt;6,"Trẻ em",IF(G1742&lt;23,"Học sinh / Sinh viên",IF(G1742&lt;60,"Đang đi làm","Nghỉ hưu")))))</f>
        <v/>
      </c>
      <c r="I1742" s="6"/>
      <c r="J1742" s="11" t="str">
        <f aca="false">IF(B1742="","",IFERROR(INDEX('Hộ gia đình'!$B$2:$B$2000,MATCH(B1742,'Hộ gia đình'!$A$2:$A$2000,0)),"Mã hộ không tồn tại"))</f>
        <v/>
      </c>
      <c r="K1742" s="14"/>
      <c r="L1742" s="14"/>
      <c r="M1742" s="6"/>
      <c r="N1742" s="6"/>
      <c r="O1742" s="6"/>
      <c r="P1742" s="6"/>
      <c r="Q1742" s="6"/>
      <c r="R1742" s="12"/>
    </row>
    <row r="1743" customFormat="false" ht="15" hidden="false" customHeight="true" outlineLevel="0" collapsed="false">
      <c r="A1743" s="6"/>
      <c r="B1743" s="6"/>
      <c r="C1743" s="6"/>
      <c r="D1743" s="6"/>
      <c r="E1743" s="13"/>
      <c r="F1743" s="6"/>
      <c r="G1743" s="11" t="str">
        <f aca="true">IF(F1743="","",YEAR(TODAY())-F1743)</f>
        <v/>
      </c>
      <c r="H1743" s="11" t="str">
        <f aca="false">IF(C1743="","",IF(G1743="","Thiếu thông tin",IF(G1743&lt;6,"Trẻ em",IF(G1743&lt;23,"Học sinh / Sinh viên",IF(G1743&lt;60,"Đang đi làm","Nghỉ hưu")))))</f>
        <v/>
      </c>
      <c r="I1743" s="6"/>
      <c r="J1743" s="11" t="str">
        <f aca="false">IF(B1743="","",IFERROR(INDEX('Hộ gia đình'!$B$2:$B$2000,MATCH(B1743,'Hộ gia đình'!$A$2:$A$2000,0)),"Mã hộ không tồn tại"))</f>
        <v/>
      </c>
      <c r="K1743" s="14"/>
      <c r="L1743" s="14"/>
      <c r="M1743" s="6"/>
      <c r="N1743" s="6"/>
      <c r="O1743" s="6"/>
      <c r="P1743" s="6"/>
      <c r="Q1743" s="6"/>
      <c r="R1743" s="12"/>
    </row>
    <row r="1744" customFormat="false" ht="15" hidden="false" customHeight="true" outlineLevel="0" collapsed="false">
      <c r="A1744" s="6"/>
      <c r="B1744" s="6"/>
      <c r="C1744" s="6"/>
      <c r="D1744" s="6"/>
      <c r="E1744" s="13"/>
      <c r="F1744" s="6"/>
      <c r="G1744" s="11" t="str">
        <f aca="true">IF(F1744="","",YEAR(TODAY())-F1744)</f>
        <v/>
      </c>
      <c r="H1744" s="11" t="str">
        <f aca="false">IF(C1744="","",IF(G1744="","Thiếu thông tin",IF(G1744&lt;6,"Trẻ em",IF(G1744&lt;23,"Học sinh / Sinh viên",IF(G1744&lt;60,"Đang đi làm","Nghỉ hưu")))))</f>
        <v/>
      </c>
      <c r="I1744" s="6"/>
      <c r="J1744" s="11" t="str">
        <f aca="false">IF(B1744="","",IFERROR(INDEX('Hộ gia đình'!$B$2:$B$2000,MATCH(B1744,'Hộ gia đình'!$A$2:$A$2000,0)),"Mã hộ không tồn tại"))</f>
        <v/>
      </c>
      <c r="K1744" s="14"/>
      <c r="L1744" s="14"/>
      <c r="M1744" s="6"/>
      <c r="N1744" s="6"/>
      <c r="O1744" s="6"/>
      <c r="P1744" s="6"/>
      <c r="Q1744" s="6"/>
      <c r="R1744" s="12"/>
    </row>
    <row r="1745" customFormat="false" ht="15" hidden="false" customHeight="true" outlineLevel="0" collapsed="false">
      <c r="A1745" s="6"/>
      <c r="B1745" s="6"/>
      <c r="C1745" s="6"/>
      <c r="D1745" s="6"/>
      <c r="E1745" s="13"/>
      <c r="F1745" s="6"/>
      <c r="G1745" s="11" t="str">
        <f aca="true">IF(F1745="","",YEAR(TODAY())-F1745)</f>
        <v/>
      </c>
      <c r="H1745" s="11" t="str">
        <f aca="false">IF(C1745="","",IF(G1745="","Thiếu thông tin",IF(G1745&lt;6,"Trẻ em",IF(G1745&lt;23,"Học sinh / Sinh viên",IF(G1745&lt;60,"Đang đi làm","Nghỉ hưu")))))</f>
        <v/>
      </c>
      <c r="I1745" s="6"/>
      <c r="J1745" s="11" t="str">
        <f aca="false">IF(B1745="","",IFERROR(INDEX('Hộ gia đình'!$B$2:$B$2000,MATCH(B1745,'Hộ gia đình'!$A$2:$A$2000,0)),"Mã hộ không tồn tại"))</f>
        <v/>
      </c>
      <c r="K1745" s="14"/>
      <c r="L1745" s="14"/>
      <c r="M1745" s="6"/>
      <c r="N1745" s="6"/>
      <c r="O1745" s="6"/>
      <c r="P1745" s="6"/>
      <c r="Q1745" s="6"/>
      <c r="R1745" s="12"/>
    </row>
    <row r="1746" customFormat="false" ht="15" hidden="false" customHeight="true" outlineLevel="0" collapsed="false">
      <c r="A1746" s="6"/>
      <c r="B1746" s="6"/>
      <c r="C1746" s="6"/>
      <c r="D1746" s="6"/>
      <c r="E1746" s="13"/>
      <c r="F1746" s="6"/>
      <c r="G1746" s="11" t="str">
        <f aca="true">IF(F1746="","",YEAR(TODAY())-F1746)</f>
        <v/>
      </c>
      <c r="H1746" s="11" t="str">
        <f aca="false">IF(C1746="","",IF(G1746="","Thiếu thông tin",IF(G1746&lt;6,"Trẻ em",IF(G1746&lt;23,"Học sinh / Sinh viên",IF(G1746&lt;60,"Đang đi làm","Nghỉ hưu")))))</f>
        <v/>
      </c>
      <c r="I1746" s="6"/>
      <c r="J1746" s="11" t="str">
        <f aca="false">IF(B1746="","",IFERROR(INDEX('Hộ gia đình'!$B$2:$B$2000,MATCH(B1746,'Hộ gia đình'!$A$2:$A$2000,0)),"Mã hộ không tồn tại"))</f>
        <v/>
      </c>
      <c r="K1746" s="14"/>
      <c r="L1746" s="14"/>
      <c r="M1746" s="6"/>
      <c r="N1746" s="6"/>
      <c r="O1746" s="6"/>
      <c r="P1746" s="6"/>
      <c r="Q1746" s="6"/>
      <c r="R1746" s="12"/>
    </row>
    <row r="1747" customFormat="false" ht="15" hidden="false" customHeight="true" outlineLevel="0" collapsed="false">
      <c r="A1747" s="6"/>
      <c r="B1747" s="6"/>
      <c r="C1747" s="6"/>
      <c r="D1747" s="6"/>
      <c r="E1747" s="13"/>
      <c r="F1747" s="6"/>
      <c r="G1747" s="11" t="str">
        <f aca="true">IF(F1747="","",YEAR(TODAY())-F1747)</f>
        <v/>
      </c>
      <c r="H1747" s="11" t="str">
        <f aca="false">IF(C1747="","",IF(G1747="","Thiếu thông tin",IF(G1747&lt;6,"Trẻ em",IF(G1747&lt;23,"Học sinh / Sinh viên",IF(G1747&lt;60,"Đang đi làm","Nghỉ hưu")))))</f>
        <v/>
      </c>
      <c r="I1747" s="6"/>
      <c r="J1747" s="11" t="str">
        <f aca="false">IF(B1747="","",IFERROR(INDEX('Hộ gia đình'!$B$2:$B$2000,MATCH(B1747,'Hộ gia đình'!$A$2:$A$2000,0)),"Mã hộ không tồn tại"))</f>
        <v/>
      </c>
      <c r="K1747" s="14"/>
      <c r="L1747" s="14"/>
      <c r="M1747" s="6"/>
      <c r="N1747" s="6"/>
      <c r="O1747" s="6"/>
      <c r="P1747" s="6"/>
      <c r="Q1747" s="6"/>
      <c r="R1747" s="12"/>
    </row>
    <row r="1748" customFormat="false" ht="15" hidden="false" customHeight="true" outlineLevel="0" collapsed="false">
      <c r="A1748" s="6"/>
      <c r="B1748" s="6"/>
      <c r="C1748" s="6"/>
      <c r="D1748" s="6"/>
      <c r="E1748" s="13"/>
      <c r="F1748" s="6"/>
      <c r="G1748" s="11" t="str">
        <f aca="true">IF(F1748="","",YEAR(TODAY())-F1748)</f>
        <v/>
      </c>
      <c r="H1748" s="11" t="str">
        <f aca="false">IF(C1748="","",IF(G1748="","Thiếu thông tin",IF(G1748&lt;6,"Trẻ em",IF(G1748&lt;23,"Học sinh / Sinh viên",IF(G1748&lt;60,"Đang đi làm","Nghỉ hưu")))))</f>
        <v/>
      </c>
      <c r="I1748" s="6"/>
      <c r="J1748" s="11" t="str">
        <f aca="false">IF(B1748="","",IFERROR(INDEX('Hộ gia đình'!$B$2:$B$2000,MATCH(B1748,'Hộ gia đình'!$A$2:$A$2000,0)),"Mã hộ không tồn tại"))</f>
        <v/>
      </c>
      <c r="K1748" s="14"/>
      <c r="L1748" s="14"/>
      <c r="M1748" s="6"/>
      <c r="N1748" s="6"/>
      <c r="O1748" s="6"/>
      <c r="P1748" s="6"/>
      <c r="Q1748" s="6"/>
      <c r="R1748" s="12"/>
    </row>
    <row r="1749" customFormat="false" ht="15" hidden="false" customHeight="true" outlineLevel="0" collapsed="false">
      <c r="A1749" s="6"/>
      <c r="B1749" s="6"/>
      <c r="C1749" s="6"/>
      <c r="D1749" s="6"/>
      <c r="E1749" s="13"/>
      <c r="F1749" s="6"/>
      <c r="G1749" s="11" t="str">
        <f aca="true">IF(F1749="","",YEAR(TODAY())-F1749)</f>
        <v/>
      </c>
      <c r="H1749" s="11" t="str">
        <f aca="false">IF(C1749="","",IF(G1749="","Thiếu thông tin",IF(G1749&lt;6,"Trẻ em",IF(G1749&lt;23,"Học sinh / Sinh viên",IF(G1749&lt;60,"Đang đi làm","Nghỉ hưu")))))</f>
        <v/>
      </c>
      <c r="I1749" s="6"/>
      <c r="J1749" s="11" t="str">
        <f aca="false">IF(B1749="","",IFERROR(INDEX('Hộ gia đình'!$B$2:$B$2000,MATCH(B1749,'Hộ gia đình'!$A$2:$A$2000,0)),"Mã hộ không tồn tại"))</f>
        <v/>
      </c>
      <c r="K1749" s="14"/>
      <c r="L1749" s="14"/>
      <c r="M1749" s="6"/>
      <c r="N1749" s="6"/>
      <c r="O1749" s="6"/>
      <c r="P1749" s="6"/>
      <c r="Q1749" s="6"/>
      <c r="R1749" s="12"/>
    </row>
    <row r="1750" customFormat="false" ht="15" hidden="false" customHeight="true" outlineLevel="0" collapsed="false">
      <c r="A1750" s="6"/>
      <c r="B1750" s="6"/>
      <c r="C1750" s="6"/>
      <c r="D1750" s="6"/>
      <c r="E1750" s="13"/>
      <c r="F1750" s="6"/>
      <c r="G1750" s="11" t="str">
        <f aca="true">IF(F1750="","",YEAR(TODAY())-F1750)</f>
        <v/>
      </c>
      <c r="H1750" s="11" t="str">
        <f aca="false">IF(C1750="","",IF(G1750="","Thiếu thông tin",IF(G1750&lt;6,"Trẻ em",IF(G1750&lt;23,"Học sinh / Sinh viên",IF(G1750&lt;60,"Đang đi làm","Nghỉ hưu")))))</f>
        <v/>
      </c>
      <c r="I1750" s="6"/>
      <c r="J1750" s="11" t="str">
        <f aca="false">IF(B1750="","",IFERROR(INDEX('Hộ gia đình'!$B$2:$B$2000,MATCH(B1750,'Hộ gia đình'!$A$2:$A$2000,0)),"Mã hộ không tồn tại"))</f>
        <v/>
      </c>
      <c r="K1750" s="14"/>
      <c r="L1750" s="14"/>
      <c r="M1750" s="6"/>
      <c r="N1750" s="6"/>
      <c r="O1750" s="6"/>
      <c r="P1750" s="6"/>
      <c r="Q1750" s="6"/>
      <c r="R1750" s="12"/>
    </row>
    <row r="1751" customFormat="false" ht="15" hidden="false" customHeight="true" outlineLevel="0" collapsed="false">
      <c r="A1751" s="6"/>
      <c r="B1751" s="6"/>
      <c r="C1751" s="6"/>
      <c r="D1751" s="6"/>
      <c r="E1751" s="13"/>
      <c r="F1751" s="6"/>
      <c r="G1751" s="11" t="str">
        <f aca="true">IF(F1751="","",YEAR(TODAY())-F1751)</f>
        <v/>
      </c>
      <c r="H1751" s="11" t="str">
        <f aca="false">IF(C1751="","",IF(G1751="","Thiếu thông tin",IF(G1751&lt;6,"Trẻ em",IF(G1751&lt;23,"Học sinh / Sinh viên",IF(G1751&lt;60,"Đang đi làm","Nghỉ hưu")))))</f>
        <v/>
      </c>
      <c r="I1751" s="6"/>
      <c r="J1751" s="11" t="str">
        <f aca="false">IF(B1751="","",IFERROR(INDEX('Hộ gia đình'!$B$2:$B$2000,MATCH(B1751,'Hộ gia đình'!$A$2:$A$2000,0)),"Mã hộ không tồn tại"))</f>
        <v/>
      </c>
      <c r="K1751" s="14"/>
      <c r="L1751" s="14"/>
      <c r="M1751" s="6"/>
      <c r="N1751" s="6"/>
      <c r="O1751" s="6"/>
      <c r="P1751" s="6"/>
      <c r="Q1751" s="6"/>
      <c r="R1751" s="12"/>
    </row>
    <row r="1752" customFormat="false" ht="15" hidden="false" customHeight="true" outlineLevel="0" collapsed="false">
      <c r="A1752" s="6"/>
      <c r="B1752" s="6"/>
      <c r="C1752" s="6"/>
      <c r="D1752" s="6"/>
      <c r="E1752" s="13"/>
      <c r="F1752" s="6"/>
      <c r="G1752" s="11" t="str">
        <f aca="true">IF(F1752="","",YEAR(TODAY())-F1752)</f>
        <v/>
      </c>
      <c r="H1752" s="11" t="str">
        <f aca="false">IF(C1752="","",IF(G1752="","Thiếu thông tin",IF(G1752&lt;6,"Trẻ em",IF(G1752&lt;23,"Học sinh / Sinh viên",IF(G1752&lt;60,"Đang đi làm","Nghỉ hưu")))))</f>
        <v/>
      </c>
      <c r="I1752" s="6"/>
      <c r="J1752" s="11" t="str">
        <f aca="false">IF(B1752="","",IFERROR(INDEX('Hộ gia đình'!$B$2:$B$2000,MATCH(B1752,'Hộ gia đình'!$A$2:$A$2000,0)),"Mã hộ không tồn tại"))</f>
        <v/>
      </c>
      <c r="K1752" s="14"/>
      <c r="L1752" s="14"/>
      <c r="M1752" s="6"/>
      <c r="N1752" s="6"/>
      <c r="O1752" s="6"/>
      <c r="P1752" s="6"/>
      <c r="Q1752" s="6"/>
      <c r="R1752" s="12"/>
    </row>
    <row r="1753" customFormat="false" ht="15" hidden="false" customHeight="true" outlineLevel="0" collapsed="false">
      <c r="A1753" s="6"/>
      <c r="B1753" s="6"/>
      <c r="C1753" s="6"/>
      <c r="D1753" s="6"/>
      <c r="E1753" s="13"/>
      <c r="F1753" s="6"/>
      <c r="G1753" s="11" t="str">
        <f aca="true">IF(F1753="","",YEAR(TODAY())-F1753)</f>
        <v/>
      </c>
      <c r="H1753" s="11" t="str">
        <f aca="false">IF(C1753="","",IF(G1753="","Thiếu thông tin",IF(G1753&lt;6,"Trẻ em",IF(G1753&lt;23,"Học sinh / Sinh viên",IF(G1753&lt;60,"Đang đi làm","Nghỉ hưu")))))</f>
        <v/>
      </c>
      <c r="I1753" s="6"/>
      <c r="J1753" s="11" t="str">
        <f aca="false">IF(B1753="","",IFERROR(INDEX('Hộ gia đình'!$B$2:$B$2000,MATCH(B1753,'Hộ gia đình'!$A$2:$A$2000,0)),"Mã hộ không tồn tại"))</f>
        <v/>
      </c>
      <c r="K1753" s="14"/>
      <c r="L1753" s="14"/>
      <c r="M1753" s="6"/>
      <c r="N1753" s="6"/>
      <c r="O1753" s="6"/>
      <c r="P1753" s="6"/>
      <c r="Q1753" s="6"/>
      <c r="R1753" s="12"/>
    </row>
    <row r="1754" customFormat="false" ht="15" hidden="false" customHeight="true" outlineLevel="0" collapsed="false">
      <c r="A1754" s="6"/>
      <c r="B1754" s="6"/>
      <c r="C1754" s="6"/>
      <c r="D1754" s="6"/>
      <c r="E1754" s="13"/>
      <c r="F1754" s="6"/>
      <c r="G1754" s="11" t="str">
        <f aca="true">IF(F1754="","",YEAR(TODAY())-F1754)</f>
        <v/>
      </c>
      <c r="H1754" s="11" t="str">
        <f aca="false">IF(C1754="","",IF(G1754="","Thiếu thông tin",IF(G1754&lt;6,"Trẻ em",IF(G1754&lt;23,"Học sinh / Sinh viên",IF(G1754&lt;60,"Đang đi làm","Nghỉ hưu")))))</f>
        <v/>
      </c>
      <c r="I1754" s="6"/>
      <c r="J1754" s="11" t="str">
        <f aca="false">IF(B1754="","",IFERROR(INDEX('Hộ gia đình'!$B$2:$B$2000,MATCH(B1754,'Hộ gia đình'!$A$2:$A$2000,0)),"Mã hộ không tồn tại"))</f>
        <v/>
      </c>
      <c r="K1754" s="14"/>
      <c r="L1754" s="14"/>
      <c r="M1754" s="6"/>
      <c r="N1754" s="6"/>
      <c r="O1754" s="6"/>
      <c r="P1754" s="6"/>
      <c r="Q1754" s="6"/>
      <c r="R1754" s="12"/>
    </row>
    <row r="1755" customFormat="false" ht="15" hidden="false" customHeight="true" outlineLevel="0" collapsed="false">
      <c r="A1755" s="6"/>
      <c r="B1755" s="6"/>
      <c r="C1755" s="6"/>
      <c r="D1755" s="6"/>
      <c r="E1755" s="13"/>
      <c r="F1755" s="6"/>
      <c r="G1755" s="11" t="str">
        <f aca="true">IF(F1755="","",YEAR(TODAY())-F1755)</f>
        <v/>
      </c>
      <c r="H1755" s="11" t="str">
        <f aca="false">IF(C1755="","",IF(G1755="","Thiếu thông tin",IF(G1755&lt;6,"Trẻ em",IF(G1755&lt;23,"Học sinh / Sinh viên",IF(G1755&lt;60,"Đang đi làm","Nghỉ hưu")))))</f>
        <v/>
      </c>
      <c r="I1755" s="6"/>
      <c r="J1755" s="11" t="str">
        <f aca="false">IF(B1755="","",IFERROR(INDEX('Hộ gia đình'!$B$2:$B$2000,MATCH(B1755,'Hộ gia đình'!$A$2:$A$2000,0)),"Mã hộ không tồn tại"))</f>
        <v/>
      </c>
      <c r="K1755" s="14"/>
      <c r="L1755" s="14"/>
      <c r="M1755" s="6"/>
      <c r="N1755" s="6"/>
      <c r="O1755" s="6"/>
      <c r="P1755" s="6"/>
      <c r="Q1755" s="6"/>
      <c r="R1755" s="12"/>
    </row>
    <row r="1756" customFormat="false" ht="15" hidden="false" customHeight="true" outlineLevel="0" collapsed="false">
      <c r="A1756" s="6"/>
      <c r="B1756" s="6"/>
      <c r="C1756" s="6"/>
      <c r="D1756" s="6"/>
      <c r="E1756" s="13"/>
      <c r="F1756" s="6"/>
      <c r="G1756" s="11" t="str">
        <f aca="true">IF(F1756="","",YEAR(TODAY())-F1756)</f>
        <v/>
      </c>
      <c r="H1756" s="11" t="str">
        <f aca="false">IF(C1756="","",IF(G1756="","Thiếu thông tin",IF(G1756&lt;6,"Trẻ em",IF(G1756&lt;23,"Học sinh / Sinh viên",IF(G1756&lt;60,"Đang đi làm","Nghỉ hưu")))))</f>
        <v/>
      </c>
      <c r="I1756" s="6"/>
      <c r="J1756" s="11" t="str">
        <f aca="false">IF(B1756="","",IFERROR(INDEX('Hộ gia đình'!$B$2:$B$2000,MATCH(B1756,'Hộ gia đình'!$A$2:$A$2000,0)),"Mã hộ không tồn tại"))</f>
        <v/>
      </c>
      <c r="K1756" s="14"/>
      <c r="L1756" s="14"/>
      <c r="M1756" s="6"/>
      <c r="N1756" s="6"/>
      <c r="O1756" s="6"/>
      <c r="P1756" s="6"/>
      <c r="Q1756" s="6"/>
      <c r="R1756" s="12"/>
    </row>
    <row r="1757" customFormat="false" ht="15" hidden="false" customHeight="true" outlineLevel="0" collapsed="false">
      <c r="A1757" s="6"/>
      <c r="B1757" s="6"/>
      <c r="C1757" s="6"/>
      <c r="D1757" s="6"/>
      <c r="E1757" s="13"/>
      <c r="F1757" s="6"/>
      <c r="G1757" s="11" t="str">
        <f aca="true">IF(F1757="","",YEAR(TODAY())-F1757)</f>
        <v/>
      </c>
      <c r="H1757" s="11" t="str">
        <f aca="false">IF(C1757="","",IF(G1757="","Thiếu thông tin",IF(G1757&lt;6,"Trẻ em",IF(G1757&lt;23,"Học sinh / Sinh viên",IF(G1757&lt;60,"Đang đi làm","Nghỉ hưu")))))</f>
        <v/>
      </c>
      <c r="I1757" s="6"/>
      <c r="J1757" s="11" t="str">
        <f aca="false">IF(B1757="","",IFERROR(INDEX('Hộ gia đình'!$B$2:$B$2000,MATCH(B1757,'Hộ gia đình'!$A$2:$A$2000,0)),"Mã hộ không tồn tại"))</f>
        <v/>
      </c>
      <c r="K1757" s="14"/>
      <c r="L1757" s="14"/>
      <c r="M1757" s="6"/>
      <c r="N1757" s="6"/>
      <c r="O1757" s="6"/>
      <c r="P1757" s="6"/>
      <c r="Q1757" s="6"/>
      <c r="R1757" s="12"/>
    </row>
    <row r="1758" customFormat="false" ht="15" hidden="false" customHeight="true" outlineLevel="0" collapsed="false">
      <c r="A1758" s="6"/>
      <c r="B1758" s="6"/>
      <c r="C1758" s="6"/>
      <c r="D1758" s="6"/>
      <c r="E1758" s="13"/>
      <c r="F1758" s="6"/>
      <c r="G1758" s="11" t="str">
        <f aca="true">IF(F1758="","",YEAR(TODAY())-F1758)</f>
        <v/>
      </c>
      <c r="H1758" s="11" t="str">
        <f aca="false">IF(C1758="","",IF(G1758="","Thiếu thông tin",IF(G1758&lt;6,"Trẻ em",IF(G1758&lt;23,"Học sinh / Sinh viên",IF(G1758&lt;60,"Đang đi làm","Nghỉ hưu")))))</f>
        <v/>
      </c>
      <c r="I1758" s="6"/>
      <c r="J1758" s="11" t="str">
        <f aca="false">IF(B1758="","",IFERROR(INDEX('Hộ gia đình'!$B$2:$B$2000,MATCH(B1758,'Hộ gia đình'!$A$2:$A$2000,0)),"Mã hộ không tồn tại"))</f>
        <v/>
      </c>
      <c r="K1758" s="14"/>
      <c r="L1758" s="14"/>
      <c r="M1758" s="6"/>
      <c r="N1758" s="6"/>
      <c r="O1758" s="6"/>
      <c r="P1758" s="6"/>
      <c r="Q1758" s="6"/>
      <c r="R1758" s="12"/>
    </row>
    <row r="1759" customFormat="false" ht="15" hidden="false" customHeight="true" outlineLevel="0" collapsed="false">
      <c r="A1759" s="6"/>
      <c r="B1759" s="6"/>
      <c r="C1759" s="6"/>
      <c r="D1759" s="6"/>
      <c r="E1759" s="13"/>
      <c r="F1759" s="6"/>
      <c r="G1759" s="11" t="str">
        <f aca="true">IF(F1759="","",YEAR(TODAY())-F1759)</f>
        <v/>
      </c>
      <c r="H1759" s="11" t="str">
        <f aca="false">IF(C1759="","",IF(G1759="","Thiếu thông tin",IF(G1759&lt;6,"Trẻ em",IF(G1759&lt;23,"Học sinh / Sinh viên",IF(G1759&lt;60,"Đang đi làm","Nghỉ hưu")))))</f>
        <v/>
      </c>
      <c r="I1759" s="6"/>
      <c r="J1759" s="11" t="str">
        <f aca="false">IF(B1759="","",IFERROR(INDEX('Hộ gia đình'!$B$2:$B$2000,MATCH(B1759,'Hộ gia đình'!$A$2:$A$2000,0)),"Mã hộ không tồn tại"))</f>
        <v/>
      </c>
      <c r="K1759" s="14"/>
      <c r="L1759" s="14"/>
      <c r="M1759" s="6"/>
      <c r="N1759" s="6"/>
      <c r="O1759" s="6"/>
      <c r="P1759" s="6"/>
      <c r="Q1759" s="6"/>
      <c r="R1759" s="12"/>
    </row>
    <row r="1760" customFormat="false" ht="15" hidden="false" customHeight="true" outlineLevel="0" collapsed="false">
      <c r="A1760" s="6"/>
      <c r="B1760" s="6"/>
      <c r="C1760" s="6"/>
      <c r="D1760" s="6"/>
      <c r="E1760" s="13"/>
      <c r="F1760" s="6"/>
      <c r="G1760" s="11" t="str">
        <f aca="true">IF(F1760="","",YEAR(TODAY())-F1760)</f>
        <v/>
      </c>
      <c r="H1760" s="11" t="str">
        <f aca="false">IF(C1760="","",IF(G1760="","Thiếu thông tin",IF(G1760&lt;6,"Trẻ em",IF(G1760&lt;23,"Học sinh / Sinh viên",IF(G1760&lt;60,"Đang đi làm","Nghỉ hưu")))))</f>
        <v/>
      </c>
      <c r="I1760" s="6"/>
      <c r="J1760" s="11" t="str">
        <f aca="false">IF(B1760="","",IFERROR(INDEX('Hộ gia đình'!$B$2:$B$2000,MATCH(B1760,'Hộ gia đình'!$A$2:$A$2000,0)),"Mã hộ không tồn tại"))</f>
        <v/>
      </c>
      <c r="K1760" s="14"/>
      <c r="L1760" s="14"/>
      <c r="M1760" s="6"/>
      <c r="N1760" s="6"/>
      <c r="O1760" s="6"/>
      <c r="P1760" s="6"/>
      <c r="Q1760" s="6"/>
      <c r="R1760" s="12"/>
    </row>
    <row r="1761" customFormat="false" ht="15" hidden="false" customHeight="true" outlineLevel="0" collapsed="false">
      <c r="A1761" s="6"/>
      <c r="B1761" s="6"/>
      <c r="C1761" s="6"/>
      <c r="D1761" s="6"/>
      <c r="E1761" s="13"/>
      <c r="F1761" s="6"/>
      <c r="G1761" s="11" t="str">
        <f aca="true">IF(F1761="","",YEAR(TODAY())-F1761)</f>
        <v/>
      </c>
      <c r="H1761" s="11" t="str">
        <f aca="false">IF(C1761="","",IF(G1761="","Thiếu thông tin",IF(G1761&lt;6,"Trẻ em",IF(G1761&lt;23,"Học sinh / Sinh viên",IF(G1761&lt;60,"Đang đi làm","Nghỉ hưu")))))</f>
        <v/>
      </c>
      <c r="I1761" s="6"/>
      <c r="J1761" s="11" t="str">
        <f aca="false">IF(B1761="","",IFERROR(INDEX('Hộ gia đình'!$B$2:$B$2000,MATCH(B1761,'Hộ gia đình'!$A$2:$A$2000,0)),"Mã hộ không tồn tại"))</f>
        <v/>
      </c>
      <c r="K1761" s="14"/>
      <c r="L1761" s="14"/>
      <c r="M1761" s="6"/>
      <c r="N1761" s="6"/>
      <c r="O1761" s="6"/>
      <c r="P1761" s="6"/>
      <c r="Q1761" s="6"/>
      <c r="R1761" s="12"/>
    </row>
    <row r="1762" customFormat="false" ht="15" hidden="false" customHeight="true" outlineLevel="0" collapsed="false">
      <c r="A1762" s="6"/>
      <c r="B1762" s="6"/>
      <c r="C1762" s="6"/>
      <c r="D1762" s="6"/>
      <c r="E1762" s="13"/>
      <c r="F1762" s="6"/>
      <c r="G1762" s="11" t="str">
        <f aca="true">IF(F1762="","",YEAR(TODAY())-F1762)</f>
        <v/>
      </c>
      <c r="H1762" s="11" t="str">
        <f aca="false">IF(C1762="","",IF(G1762="","Thiếu thông tin",IF(G1762&lt;6,"Trẻ em",IF(G1762&lt;23,"Học sinh / Sinh viên",IF(G1762&lt;60,"Đang đi làm","Nghỉ hưu")))))</f>
        <v/>
      </c>
      <c r="I1762" s="6"/>
      <c r="J1762" s="11" t="str">
        <f aca="false">IF(B1762="","",IFERROR(INDEX('Hộ gia đình'!$B$2:$B$2000,MATCH(B1762,'Hộ gia đình'!$A$2:$A$2000,0)),"Mã hộ không tồn tại"))</f>
        <v/>
      </c>
      <c r="K1762" s="14"/>
      <c r="L1762" s="14"/>
      <c r="M1762" s="6"/>
      <c r="N1762" s="6"/>
      <c r="O1762" s="6"/>
      <c r="P1762" s="6"/>
      <c r="Q1762" s="6"/>
      <c r="R1762" s="12"/>
    </row>
    <row r="1763" customFormat="false" ht="15" hidden="false" customHeight="true" outlineLevel="0" collapsed="false">
      <c r="A1763" s="6"/>
      <c r="B1763" s="6"/>
      <c r="C1763" s="6"/>
      <c r="D1763" s="6"/>
      <c r="E1763" s="13"/>
      <c r="F1763" s="6"/>
      <c r="G1763" s="11" t="str">
        <f aca="true">IF(F1763="","",YEAR(TODAY())-F1763)</f>
        <v/>
      </c>
      <c r="H1763" s="11" t="str">
        <f aca="false">IF(C1763="","",IF(G1763="","Thiếu thông tin",IF(G1763&lt;6,"Trẻ em",IF(G1763&lt;23,"Học sinh / Sinh viên",IF(G1763&lt;60,"Đang đi làm","Nghỉ hưu")))))</f>
        <v/>
      </c>
      <c r="I1763" s="6"/>
      <c r="J1763" s="11" t="str">
        <f aca="false">IF(B1763="","",IFERROR(INDEX('Hộ gia đình'!$B$2:$B$2000,MATCH(B1763,'Hộ gia đình'!$A$2:$A$2000,0)),"Mã hộ không tồn tại"))</f>
        <v/>
      </c>
      <c r="K1763" s="14"/>
      <c r="L1763" s="14"/>
      <c r="M1763" s="6"/>
      <c r="N1763" s="6"/>
      <c r="O1763" s="6"/>
      <c r="P1763" s="6"/>
      <c r="Q1763" s="6"/>
      <c r="R1763" s="12"/>
    </row>
    <row r="1764" customFormat="false" ht="15" hidden="false" customHeight="true" outlineLevel="0" collapsed="false">
      <c r="A1764" s="6"/>
      <c r="B1764" s="6"/>
      <c r="C1764" s="6"/>
      <c r="D1764" s="6"/>
      <c r="E1764" s="13"/>
      <c r="F1764" s="6"/>
      <c r="G1764" s="11" t="str">
        <f aca="true">IF(F1764="","",YEAR(TODAY())-F1764)</f>
        <v/>
      </c>
      <c r="H1764" s="11" t="str">
        <f aca="false">IF(C1764="","",IF(G1764="","Thiếu thông tin",IF(G1764&lt;6,"Trẻ em",IF(G1764&lt;23,"Học sinh / Sinh viên",IF(G1764&lt;60,"Đang đi làm","Nghỉ hưu")))))</f>
        <v/>
      </c>
      <c r="I1764" s="6"/>
      <c r="J1764" s="11" t="str">
        <f aca="false">IF(B1764="","",IFERROR(INDEX('Hộ gia đình'!$B$2:$B$2000,MATCH(B1764,'Hộ gia đình'!$A$2:$A$2000,0)),"Mã hộ không tồn tại"))</f>
        <v/>
      </c>
      <c r="K1764" s="14"/>
      <c r="L1764" s="14"/>
      <c r="M1764" s="6"/>
      <c r="N1764" s="6"/>
      <c r="O1764" s="6"/>
      <c r="P1764" s="6"/>
      <c r="Q1764" s="6"/>
      <c r="R1764" s="12"/>
    </row>
    <row r="1765" customFormat="false" ht="15" hidden="false" customHeight="true" outlineLevel="0" collapsed="false">
      <c r="A1765" s="6"/>
      <c r="B1765" s="6"/>
      <c r="C1765" s="6"/>
      <c r="D1765" s="6"/>
      <c r="E1765" s="13"/>
      <c r="F1765" s="6"/>
      <c r="G1765" s="11" t="str">
        <f aca="true">IF(F1765="","",YEAR(TODAY())-F1765)</f>
        <v/>
      </c>
      <c r="H1765" s="11" t="str">
        <f aca="false">IF(C1765="","",IF(G1765="","Thiếu thông tin",IF(G1765&lt;6,"Trẻ em",IF(G1765&lt;23,"Học sinh / Sinh viên",IF(G1765&lt;60,"Đang đi làm","Nghỉ hưu")))))</f>
        <v/>
      </c>
      <c r="I1765" s="6"/>
      <c r="J1765" s="11" t="str">
        <f aca="false">IF(B1765="","",IFERROR(INDEX('Hộ gia đình'!$B$2:$B$2000,MATCH(B1765,'Hộ gia đình'!$A$2:$A$2000,0)),"Mã hộ không tồn tại"))</f>
        <v/>
      </c>
      <c r="K1765" s="14"/>
      <c r="L1765" s="14"/>
      <c r="M1765" s="6"/>
      <c r="N1765" s="6"/>
      <c r="O1765" s="6"/>
      <c r="P1765" s="6"/>
      <c r="Q1765" s="6"/>
      <c r="R1765" s="12"/>
    </row>
    <row r="1766" customFormat="false" ht="15" hidden="false" customHeight="true" outlineLevel="0" collapsed="false">
      <c r="A1766" s="6"/>
      <c r="B1766" s="6"/>
      <c r="C1766" s="6"/>
      <c r="D1766" s="6"/>
      <c r="E1766" s="13"/>
      <c r="F1766" s="6"/>
      <c r="G1766" s="11" t="str">
        <f aca="true">IF(F1766="","",YEAR(TODAY())-F1766)</f>
        <v/>
      </c>
      <c r="H1766" s="11" t="str">
        <f aca="false">IF(C1766="","",IF(G1766="","Thiếu thông tin",IF(G1766&lt;6,"Trẻ em",IF(G1766&lt;23,"Học sinh / Sinh viên",IF(G1766&lt;60,"Đang đi làm","Nghỉ hưu")))))</f>
        <v/>
      </c>
      <c r="I1766" s="6"/>
      <c r="J1766" s="11" t="str">
        <f aca="false">IF(B1766="","",IFERROR(INDEX('Hộ gia đình'!$B$2:$B$2000,MATCH(B1766,'Hộ gia đình'!$A$2:$A$2000,0)),"Mã hộ không tồn tại"))</f>
        <v/>
      </c>
      <c r="K1766" s="14"/>
      <c r="L1766" s="14"/>
      <c r="M1766" s="6"/>
      <c r="N1766" s="6"/>
      <c r="O1766" s="6"/>
      <c r="P1766" s="6"/>
      <c r="Q1766" s="6"/>
      <c r="R1766" s="12"/>
    </row>
    <row r="1767" customFormat="false" ht="15" hidden="false" customHeight="true" outlineLevel="0" collapsed="false">
      <c r="A1767" s="6"/>
      <c r="B1767" s="6"/>
      <c r="C1767" s="6"/>
      <c r="D1767" s="6"/>
      <c r="E1767" s="13"/>
      <c r="F1767" s="6"/>
      <c r="G1767" s="11" t="str">
        <f aca="true">IF(F1767="","",YEAR(TODAY())-F1767)</f>
        <v/>
      </c>
      <c r="H1767" s="11" t="str">
        <f aca="false">IF(C1767="","",IF(G1767="","Thiếu thông tin",IF(G1767&lt;6,"Trẻ em",IF(G1767&lt;23,"Học sinh / Sinh viên",IF(G1767&lt;60,"Đang đi làm","Nghỉ hưu")))))</f>
        <v/>
      </c>
      <c r="I1767" s="6"/>
      <c r="J1767" s="11" t="str">
        <f aca="false">IF(B1767="","",IFERROR(INDEX('Hộ gia đình'!$B$2:$B$2000,MATCH(B1767,'Hộ gia đình'!$A$2:$A$2000,0)),"Mã hộ không tồn tại"))</f>
        <v/>
      </c>
      <c r="K1767" s="14"/>
      <c r="L1767" s="14"/>
      <c r="M1767" s="6"/>
      <c r="N1767" s="6"/>
      <c r="O1767" s="6"/>
      <c r="P1767" s="6"/>
      <c r="Q1767" s="6"/>
      <c r="R1767" s="12"/>
    </row>
    <row r="1768" customFormat="false" ht="15" hidden="false" customHeight="true" outlineLevel="0" collapsed="false">
      <c r="A1768" s="6"/>
      <c r="B1768" s="6"/>
      <c r="C1768" s="6"/>
      <c r="D1768" s="6"/>
      <c r="E1768" s="13"/>
      <c r="F1768" s="6"/>
      <c r="G1768" s="11" t="str">
        <f aca="true">IF(F1768="","",YEAR(TODAY())-F1768)</f>
        <v/>
      </c>
      <c r="H1768" s="11" t="str">
        <f aca="false">IF(C1768="","",IF(G1768="","Thiếu thông tin",IF(G1768&lt;6,"Trẻ em",IF(G1768&lt;23,"Học sinh / Sinh viên",IF(G1768&lt;60,"Đang đi làm","Nghỉ hưu")))))</f>
        <v/>
      </c>
      <c r="I1768" s="6"/>
      <c r="J1768" s="11" t="str">
        <f aca="false">IF(B1768="","",IFERROR(INDEX('Hộ gia đình'!$B$2:$B$2000,MATCH(B1768,'Hộ gia đình'!$A$2:$A$2000,0)),"Mã hộ không tồn tại"))</f>
        <v/>
      </c>
      <c r="K1768" s="14"/>
      <c r="L1768" s="14"/>
      <c r="M1768" s="6"/>
      <c r="N1768" s="6"/>
      <c r="O1768" s="6"/>
      <c r="P1768" s="6"/>
      <c r="Q1768" s="6"/>
      <c r="R1768" s="12"/>
    </row>
    <row r="1769" customFormat="false" ht="15" hidden="false" customHeight="true" outlineLevel="0" collapsed="false">
      <c r="A1769" s="6"/>
      <c r="B1769" s="6"/>
      <c r="C1769" s="6"/>
      <c r="D1769" s="6"/>
      <c r="E1769" s="13"/>
      <c r="F1769" s="6"/>
      <c r="G1769" s="11" t="str">
        <f aca="true">IF(F1769="","",YEAR(TODAY())-F1769)</f>
        <v/>
      </c>
      <c r="H1769" s="11" t="str">
        <f aca="false">IF(C1769="","",IF(G1769="","Thiếu thông tin",IF(G1769&lt;6,"Trẻ em",IF(G1769&lt;23,"Học sinh / Sinh viên",IF(G1769&lt;60,"Đang đi làm","Nghỉ hưu")))))</f>
        <v/>
      </c>
      <c r="I1769" s="6"/>
      <c r="J1769" s="11" t="str">
        <f aca="false">IF(B1769="","",IFERROR(INDEX('Hộ gia đình'!$B$2:$B$2000,MATCH(B1769,'Hộ gia đình'!$A$2:$A$2000,0)),"Mã hộ không tồn tại"))</f>
        <v/>
      </c>
      <c r="K1769" s="14"/>
      <c r="L1769" s="14"/>
      <c r="M1769" s="6"/>
      <c r="N1769" s="6"/>
      <c r="O1769" s="6"/>
      <c r="P1769" s="6"/>
      <c r="Q1769" s="6"/>
      <c r="R1769" s="12"/>
    </row>
    <row r="1770" customFormat="false" ht="15" hidden="false" customHeight="true" outlineLevel="0" collapsed="false">
      <c r="A1770" s="6"/>
      <c r="B1770" s="6"/>
      <c r="C1770" s="6"/>
      <c r="D1770" s="6"/>
      <c r="E1770" s="13"/>
      <c r="F1770" s="6"/>
      <c r="G1770" s="11" t="str">
        <f aca="true">IF(F1770="","",YEAR(TODAY())-F1770)</f>
        <v/>
      </c>
      <c r="H1770" s="11" t="str">
        <f aca="false">IF(C1770="","",IF(G1770="","Thiếu thông tin",IF(G1770&lt;6,"Trẻ em",IF(G1770&lt;23,"Học sinh / Sinh viên",IF(G1770&lt;60,"Đang đi làm","Nghỉ hưu")))))</f>
        <v/>
      </c>
      <c r="I1770" s="6"/>
      <c r="J1770" s="11" t="str">
        <f aca="false">IF(B1770="","",IFERROR(INDEX('Hộ gia đình'!$B$2:$B$2000,MATCH(B1770,'Hộ gia đình'!$A$2:$A$2000,0)),"Mã hộ không tồn tại"))</f>
        <v/>
      </c>
      <c r="K1770" s="14"/>
      <c r="L1770" s="14"/>
      <c r="M1770" s="6"/>
      <c r="N1770" s="6"/>
      <c r="O1770" s="6"/>
      <c r="P1770" s="6"/>
      <c r="Q1770" s="6"/>
      <c r="R1770" s="12"/>
    </row>
    <row r="1771" customFormat="false" ht="15" hidden="false" customHeight="true" outlineLevel="0" collapsed="false">
      <c r="A1771" s="6"/>
      <c r="B1771" s="6"/>
      <c r="C1771" s="6"/>
      <c r="D1771" s="6"/>
      <c r="E1771" s="13"/>
      <c r="F1771" s="6"/>
      <c r="G1771" s="11" t="str">
        <f aca="true">IF(F1771="","",YEAR(TODAY())-F1771)</f>
        <v/>
      </c>
      <c r="H1771" s="11" t="str">
        <f aca="false">IF(C1771="","",IF(G1771="","Thiếu thông tin",IF(G1771&lt;6,"Trẻ em",IF(G1771&lt;23,"Học sinh / Sinh viên",IF(G1771&lt;60,"Đang đi làm","Nghỉ hưu")))))</f>
        <v/>
      </c>
      <c r="I1771" s="6"/>
      <c r="J1771" s="11" t="str">
        <f aca="false">IF(B1771="","",IFERROR(INDEX('Hộ gia đình'!$B$2:$B$2000,MATCH(B1771,'Hộ gia đình'!$A$2:$A$2000,0)),"Mã hộ không tồn tại"))</f>
        <v/>
      </c>
      <c r="K1771" s="14"/>
      <c r="L1771" s="14"/>
      <c r="M1771" s="6"/>
      <c r="N1771" s="6"/>
      <c r="O1771" s="6"/>
      <c r="P1771" s="6"/>
      <c r="Q1771" s="6"/>
      <c r="R1771" s="12"/>
    </row>
    <row r="1772" customFormat="false" ht="15" hidden="false" customHeight="true" outlineLevel="0" collapsed="false">
      <c r="A1772" s="6"/>
      <c r="B1772" s="6"/>
      <c r="C1772" s="6"/>
      <c r="D1772" s="6"/>
      <c r="E1772" s="13"/>
      <c r="F1772" s="6"/>
      <c r="G1772" s="11" t="str">
        <f aca="true">IF(F1772="","",YEAR(TODAY())-F1772)</f>
        <v/>
      </c>
      <c r="H1772" s="11" t="str">
        <f aca="false">IF(C1772="","",IF(G1772="","Thiếu thông tin",IF(G1772&lt;6,"Trẻ em",IF(G1772&lt;23,"Học sinh / Sinh viên",IF(G1772&lt;60,"Đang đi làm","Nghỉ hưu")))))</f>
        <v/>
      </c>
      <c r="I1772" s="6"/>
      <c r="J1772" s="11" t="str">
        <f aca="false">IF(B1772="","",IFERROR(INDEX('Hộ gia đình'!$B$2:$B$2000,MATCH(B1772,'Hộ gia đình'!$A$2:$A$2000,0)),"Mã hộ không tồn tại"))</f>
        <v/>
      </c>
      <c r="K1772" s="14"/>
      <c r="L1772" s="14"/>
      <c r="M1772" s="6"/>
      <c r="N1772" s="6"/>
      <c r="O1772" s="6"/>
      <c r="P1772" s="6"/>
      <c r="Q1772" s="6"/>
      <c r="R1772" s="12"/>
    </row>
    <row r="1773" customFormat="false" ht="15" hidden="false" customHeight="true" outlineLevel="0" collapsed="false">
      <c r="A1773" s="6"/>
      <c r="B1773" s="6"/>
      <c r="C1773" s="6"/>
      <c r="D1773" s="6"/>
      <c r="E1773" s="13"/>
      <c r="F1773" s="6"/>
      <c r="G1773" s="11" t="str">
        <f aca="true">IF(F1773="","",YEAR(TODAY())-F1773)</f>
        <v/>
      </c>
      <c r="H1773" s="11" t="str">
        <f aca="false">IF(C1773="","",IF(G1773="","Thiếu thông tin",IF(G1773&lt;6,"Trẻ em",IF(G1773&lt;23,"Học sinh / Sinh viên",IF(G1773&lt;60,"Đang đi làm","Nghỉ hưu")))))</f>
        <v/>
      </c>
      <c r="I1773" s="6"/>
      <c r="J1773" s="11" t="str">
        <f aca="false">IF(B1773="","",IFERROR(INDEX('Hộ gia đình'!$B$2:$B$2000,MATCH(B1773,'Hộ gia đình'!$A$2:$A$2000,0)),"Mã hộ không tồn tại"))</f>
        <v/>
      </c>
      <c r="K1773" s="14"/>
      <c r="L1773" s="14"/>
      <c r="M1773" s="6"/>
      <c r="N1773" s="6"/>
      <c r="O1773" s="6"/>
      <c r="P1773" s="6"/>
      <c r="Q1773" s="6"/>
      <c r="R1773" s="12"/>
    </row>
    <row r="1774" customFormat="false" ht="15" hidden="false" customHeight="true" outlineLevel="0" collapsed="false">
      <c r="A1774" s="6"/>
      <c r="B1774" s="6"/>
      <c r="C1774" s="6"/>
      <c r="D1774" s="6"/>
      <c r="E1774" s="13"/>
      <c r="F1774" s="6"/>
      <c r="G1774" s="11" t="str">
        <f aca="true">IF(F1774="","",YEAR(TODAY())-F1774)</f>
        <v/>
      </c>
      <c r="H1774" s="11" t="str">
        <f aca="false">IF(C1774="","",IF(G1774="","Thiếu thông tin",IF(G1774&lt;6,"Trẻ em",IF(G1774&lt;23,"Học sinh / Sinh viên",IF(G1774&lt;60,"Đang đi làm","Nghỉ hưu")))))</f>
        <v/>
      </c>
      <c r="I1774" s="6"/>
      <c r="J1774" s="11" t="str">
        <f aca="false">IF(B1774="","",IFERROR(INDEX('Hộ gia đình'!$B$2:$B$2000,MATCH(B1774,'Hộ gia đình'!$A$2:$A$2000,0)),"Mã hộ không tồn tại"))</f>
        <v/>
      </c>
      <c r="K1774" s="14"/>
      <c r="L1774" s="14"/>
      <c r="M1774" s="6"/>
      <c r="N1774" s="6"/>
      <c r="O1774" s="6"/>
      <c r="P1774" s="6"/>
      <c r="Q1774" s="6"/>
      <c r="R1774" s="12"/>
    </row>
    <row r="1775" customFormat="false" ht="15" hidden="false" customHeight="true" outlineLevel="0" collapsed="false">
      <c r="A1775" s="6"/>
      <c r="B1775" s="6"/>
      <c r="C1775" s="6"/>
      <c r="D1775" s="6"/>
      <c r="E1775" s="13"/>
      <c r="F1775" s="6"/>
      <c r="G1775" s="11" t="str">
        <f aca="true">IF(F1775="","",YEAR(TODAY())-F1775)</f>
        <v/>
      </c>
      <c r="H1775" s="11" t="str">
        <f aca="false">IF(C1775="","",IF(G1775="","Thiếu thông tin",IF(G1775&lt;6,"Trẻ em",IF(G1775&lt;23,"Học sinh / Sinh viên",IF(G1775&lt;60,"Đang đi làm","Nghỉ hưu")))))</f>
        <v/>
      </c>
      <c r="I1775" s="6"/>
      <c r="J1775" s="11" t="str">
        <f aca="false">IF(B1775="","",IFERROR(INDEX('Hộ gia đình'!$B$2:$B$2000,MATCH(B1775,'Hộ gia đình'!$A$2:$A$2000,0)),"Mã hộ không tồn tại"))</f>
        <v/>
      </c>
      <c r="K1775" s="14"/>
      <c r="L1775" s="14"/>
      <c r="M1775" s="6"/>
      <c r="N1775" s="6"/>
      <c r="O1775" s="6"/>
      <c r="P1775" s="6"/>
      <c r="Q1775" s="6"/>
      <c r="R1775" s="12"/>
    </row>
    <row r="1776" customFormat="false" ht="15" hidden="false" customHeight="true" outlineLevel="0" collapsed="false">
      <c r="A1776" s="6"/>
      <c r="B1776" s="6"/>
      <c r="C1776" s="6"/>
      <c r="D1776" s="6"/>
      <c r="E1776" s="13"/>
      <c r="F1776" s="6"/>
      <c r="G1776" s="11" t="str">
        <f aca="true">IF(F1776="","",YEAR(TODAY())-F1776)</f>
        <v/>
      </c>
      <c r="H1776" s="11" t="str">
        <f aca="false">IF(C1776="","",IF(G1776="","Thiếu thông tin",IF(G1776&lt;6,"Trẻ em",IF(G1776&lt;23,"Học sinh / Sinh viên",IF(G1776&lt;60,"Đang đi làm","Nghỉ hưu")))))</f>
        <v/>
      </c>
      <c r="I1776" s="6"/>
      <c r="J1776" s="11" t="str">
        <f aca="false">IF(B1776="","",IFERROR(INDEX('Hộ gia đình'!$B$2:$B$2000,MATCH(B1776,'Hộ gia đình'!$A$2:$A$2000,0)),"Mã hộ không tồn tại"))</f>
        <v/>
      </c>
      <c r="K1776" s="14"/>
      <c r="L1776" s="14"/>
      <c r="M1776" s="6"/>
      <c r="N1776" s="6"/>
      <c r="O1776" s="6"/>
      <c r="P1776" s="6"/>
      <c r="Q1776" s="6"/>
      <c r="R1776" s="12"/>
    </row>
    <row r="1777" customFormat="false" ht="15" hidden="false" customHeight="true" outlineLevel="0" collapsed="false">
      <c r="A1777" s="6"/>
      <c r="B1777" s="6"/>
      <c r="C1777" s="6"/>
      <c r="D1777" s="6"/>
      <c r="E1777" s="13"/>
      <c r="F1777" s="6"/>
      <c r="G1777" s="11" t="str">
        <f aca="true">IF(F1777="","",YEAR(TODAY())-F1777)</f>
        <v/>
      </c>
      <c r="H1777" s="11" t="str">
        <f aca="false">IF(C1777="","",IF(G1777="","Thiếu thông tin",IF(G1777&lt;6,"Trẻ em",IF(G1777&lt;23,"Học sinh / Sinh viên",IF(G1777&lt;60,"Đang đi làm","Nghỉ hưu")))))</f>
        <v/>
      </c>
      <c r="I1777" s="6"/>
      <c r="J1777" s="11" t="str">
        <f aca="false">IF(B1777="","",IFERROR(INDEX('Hộ gia đình'!$B$2:$B$2000,MATCH(B1777,'Hộ gia đình'!$A$2:$A$2000,0)),"Mã hộ không tồn tại"))</f>
        <v/>
      </c>
      <c r="K1777" s="14"/>
      <c r="L1777" s="14"/>
      <c r="M1777" s="6"/>
      <c r="N1777" s="6"/>
      <c r="O1777" s="6"/>
      <c r="P1777" s="6"/>
      <c r="Q1777" s="6"/>
      <c r="R1777" s="12"/>
    </row>
    <row r="1778" customFormat="false" ht="15" hidden="false" customHeight="true" outlineLevel="0" collapsed="false">
      <c r="A1778" s="6"/>
      <c r="B1778" s="6"/>
      <c r="C1778" s="6"/>
      <c r="D1778" s="6"/>
      <c r="E1778" s="13"/>
      <c r="F1778" s="6"/>
      <c r="G1778" s="11" t="str">
        <f aca="true">IF(F1778="","",YEAR(TODAY())-F1778)</f>
        <v/>
      </c>
      <c r="H1778" s="11" t="str">
        <f aca="false">IF(C1778="","",IF(G1778="","Thiếu thông tin",IF(G1778&lt;6,"Trẻ em",IF(G1778&lt;23,"Học sinh / Sinh viên",IF(G1778&lt;60,"Đang đi làm","Nghỉ hưu")))))</f>
        <v/>
      </c>
      <c r="I1778" s="6"/>
      <c r="J1778" s="11" t="str">
        <f aca="false">IF(B1778="","",IFERROR(INDEX('Hộ gia đình'!$B$2:$B$2000,MATCH(B1778,'Hộ gia đình'!$A$2:$A$2000,0)),"Mã hộ không tồn tại"))</f>
        <v/>
      </c>
      <c r="K1778" s="14"/>
      <c r="L1778" s="14"/>
      <c r="M1778" s="6"/>
      <c r="N1778" s="6"/>
      <c r="O1778" s="6"/>
      <c r="P1778" s="6"/>
      <c r="Q1778" s="6"/>
      <c r="R1778" s="12"/>
    </row>
    <row r="1779" customFormat="false" ht="15" hidden="false" customHeight="true" outlineLevel="0" collapsed="false">
      <c r="A1779" s="6"/>
      <c r="B1779" s="6"/>
      <c r="C1779" s="6"/>
      <c r="D1779" s="6"/>
      <c r="E1779" s="13"/>
      <c r="F1779" s="6"/>
      <c r="G1779" s="11" t="str">
        <f aca="true">IF(F1779="","",YEAR(TODAY())-F1779)</f>
        <v/>
      </c>
      <c r="H1779" s="11" t="str">
        <f aca="false">IF(C1779="","",IF(G1779="","Thiếu thông tin",IF(G1779&lt;6,"Trẻ em",IF(G1779&lt;23,"Học sinh / Sinh viên",IF(G1779&lt;60,"Đang đi làm","Nghỉ hưu")))))</f>
        <v/>
      </c>
      <c r="I1779" s="6"/>
      <c r="J1779" s="11" t="str">
        <f aca="false">IF(B1779="","",IFERROR(INDEX('Hộ gia đình'!$B$2:$B$2000,MATCH(B1779,'Hộ gia đình'!$A$2:$A$2000,0)),"Mã hộ không tồn tại"))</f>
        <v/>
      </c>
      <c r="K1779" s="14"/>
      <c r="L1779" s="14"/>
      <c r="M1779" s="6"/>
      <c r="N1779" s="6"/>
      <c r="O1779" s="6"/>
      <c r="P1779" s="6"/>
      <c r="Q1779" s="6"/>
      <c r="R1779" s="12"/>
    </row>
    <row r="1780" customFormat="false" ht="15" hidden="false" customHeight="true" outlineLevel="0" collapsed="false">
      <c r="A1780" s="6"/>
      <c r="B1780" s="6"/>
      <c r="C1780" s="6"/>
      <c r="D1780" s="6"/>
      <c r="E1780" s="13"/>
      <c r="F1780" s="6"/>
      <c r="G1780" s="11" t="str">
        <f aca="true">IF(F1780="","",YEAR(TODAY())-F1780)</f>
        <v/>
      </c>
      <c r="H1780" s="11" t="str">
        <f aca="false">IF(C1780="","",IF(G1780="","Thiếu thông tin",IF(G1780&lt;6,"Trẻ em",IF(G1780&lt;23,"Học sinh / Sinh viên",IF(G1780&lt;60,"Đang đi làm","Nghỉ hưu")))))</f>
        <v/>
      </c>
      <c r="I1780" s="6"/>
      <c r="J1780" s="11" t="str">
        <f aca="false">IF(B1780="","",IFERROR(INDEX('Hộ gia đình'!$B$2:$B$2000,MATCH(B1780,'Hộ gia đình'!$A$2:$A$2000,0)),"Mã hộ không tồn tại"))</f>
        <v/>
      </c>
      <c r="K1780" s="14"/>
      <c r="L1780" s="14"/>
      <c r="M1780" s="6"/>
      <c r="N1780" s="6"/>
      <c r="O1780" s="6"/>
      <c r="P1780" s="6"/>
      <c r="Q1780" s="6"/>
      <c r="R1780" s="12"/>
    </row>
    <row r="1781" customFormat="false" ht="15" hidden="false" customHeight="true" outlineLevel="0" collapsed="false">
      <c r="A1781" s="6"/>
      <c r="B1781" s="6"/>
      <c r="C1781" s="6"/>
      <c r="D1781" s="6"/>
      <c r="E1781" s="13"/>
      <c r="F1781" s="6"/>
      <c r="G1781" s="11" t="str">
        <f aca="true">IF(F1781="","",YEAR(TODAY())-F1781)</f>
        <v/>
      </c>
      <c r="H1781" s="11" t="str">
        <f aca="false">IF(C1781="","",IF(G1781="","Thiếu thông tin",IF(G1781&lt;6,"Trẻ em",IF(G1781&lt;23,"Học sinh / Sinh viên",IF(G1781&lt;60,"Đang đi làm","Nghỉ hưu")))))</f>
        <v/>
      </c>
      <c r="I1781" s="6"/>
      <c r="J1781" s="11" t="str">
        <f aca="false">IF(B1781="","",IFERROR(INDEX('Hộ gia đình'!$B$2:$B$2000,MATCH(B1781,'Hộ gia đình'!$A$2:$A$2000,0)),"Mã hộ không tồn tại"))</f>
        <v/>
      </c>
      <c r="K1781" s="14"/>
      <c r="L1781" s="14"/>
      <c r="M1781" s="6"/>
      <c r="N1781" s="6"/>
      <c r="O1781" s="6"/>
      <c r="P1781" s="6"/>
      <c r="Q1781" s="6"/>
      <c r="R1781" s="12"/>
    </row>
    <row r="1782" customFormat="false" ht="15" hidden="false" customHeight="true" outlineLevel="0" collapsed="false">
      <c r="A1782" s="6"/>
      <c r="B1782" s="6"/>
      <c r="C1782" s="6"/>
      <c r="D1782" s="6"/>
      <c r="E1782" s="13"/>
      <c r="F1782" s="6"/>
      <c r="G1782" s="11" t="str">
        <f aca="true">IF(F1782="","",YEAR(TODAY())-F1782)</f>
        <v/>
      </c>
      <c r="H1782" s="11" t="str">
        <f aca="false">IF(C1782="","",IF(G1782="","Thiếu thông tin",IF(G1782&lt;6,"Trẻ em",IF(G1782&lt;23,"Học sinh / Sinh viên",IF(G1782&lt;60,"Đang đi làm","Nghỉ hưu")))))</f>
        <v/>
      </c>
      <c r="I1782" s="6"/>
      <c r="J1782" s="11" t="str">
        <f aca="false">IF(B1782="","",IFERROR(INDEX('Hộ gia đình'!$B$2:$B$2000,MATCH(B1782,'Hộ gia đình'!$A$2:$A$2000,0)),"Mã hộ không tồn tại"))</f>
        <v/>
      </c>
      <c r="K1782" s="14"/>
      <c r="L1782" s="14"/>
      <c r="M1782" s="6"/>
      <c r="N1782" s="6"/>
      <c r="O1782" s="6"/>
      <c r="P1782" s="6"/>
      <c r="Q1782" s="6"/>
      <c r="R1782" s="12"/>
    </row>
    <row r="1783" customFormat="false" ht="15" hidden="false" customHeight="true" outlineLevel="0" collapsed="false">
      <c r="A1783" s="6"/>
      <c r="B1783" s="6"/>
      <c r="C1783" s="6"/>
      <c r="D1783" s="6"/>
      <c r="E1783" s="13"/>
      <c r="F1783" s="6"/>
      <c r="G1783" s="11" t="str">
        <f aca="true">IF(F1783="","",YEAR(TODAY())-F1783)</f>
        <v/>
      </c>
      <c r="H1783" s="11" t="str">
        <f aca="false">IF(C1783="","",IF(G1783="","Thiếu thông tin",IF(G1783&lt;6,"Trẻ em",IF(G1783&lt;23,"Học sinh / Sinh viên",IF(G1783&lt;60,"Đang đi làm","Nghỉ hưu")))))</f>
        <v/>
      </c>
      <c r="I1783" s="6"/>
      <c r="J1783" s="11" t="str">
        <f aca="false">IF(B1783="","",IFERROR(INDEX('Hộ gia đình'!$B$2:$B$2000,MATCH(B1783,'Hộ gia đình'!$A$2:$A$2000,0)),"Mã hộ không tồn tại"))</f>
        <v/>
      </c>
      <c r="K1783" s="14"/>
      <c r="L1783" s="14"/>
      <c r="M1783" s="6"/>
      <c r="N1783" s="6"/>
      <c r="O1783" s="6"/>
      <c r="P1783" s="6"/>
      <c r="Q1783" s="6"/>
      <c r="R1783" s="12"/>
    </row>
    <row r="1784" customFormat="false" ht="15" hidden="false" customHeight="true" outlineLevel="0" collapsed="false">
      <c r="A1784" s="6"/>
      <c r="B1784" s="6"/>
      <c r="C1784" s="6"/>
      <c r="D1784" s="6"/>
      <c r="E1784" s="13"/>
      <c r="F1784" s="6"/>
      <c r="G1784" s="11" t="str">
        <f aca="true">IF(F1784="","",YEAR(TODAY())-F1784)</f>
        <v/>
      </c>
      <c r="H1784" s="11" t="str">
        <f aca="false">IF(C1784="","",IF(G1784="","Thiếu thông tin",IF(G1784&lt;6,"Trẻ em",IF(G1784&lt;23,"Học sinh / Sinh viên",IF(G1784&lt;60,"Đang đi làm","Nghỉ hưu")))))</f>
        <v/>
      </c>
      <c r="I1784" s="6"/>
      <c r="J1784" s="11" t="str">
        <f aca="false">IF(B1784="","",IFERROR(INDEX('Hộ gia đình'!$B$2:$B$2000,MATCH(B1784,'Hộ gia đình'!$A$2:$A$2000,0)),"Mã hộ không tồn tại"))</f>
        <v/>
      </c>
      <c r="K1784" s="14"/>
      <c r="L1784" s="14"/>
      <c r="M1784" s="6"/>
      <c r="N1784" s="6"/>
      <c r="O1784" s="6"/>
      <c r="P1784" s="6"/>
      <c r="Q1784" s="6"/>
      <c r="R1784" s="12"/>
    </row>
    <row r="1785" customFormat="false" ht="15" hidden="false" customHeight="true" outlineLevel="0" collapsed="false">
      <c r="A1785" s="6"/>
      <c r="B1785" s="6"/>
      <c r="C1785" s="6"/>
      <c r="D1785" s="6"/>
      <c r="E1785" s="13"/>
      <c r="F1785" s="6"/>
      <c r="G1785" s="11" t="str">
        <f aca="true">IF(F1785="","",YEAR(TODAY())-F1785)</f>
        <v/>
      </c>
      <c r="H1785" s="11" t="str">
        <f aca="false">IF(C1785="","",IF(G1785="","Thiếu thông tin",IF(G1785&lt;6,"Trẻ em",IF(G1785&lt;23,"Học sinh / Sinh viên",IF(G1785&lt;60,"Đang đi làm","Nghỉ hưu")))))</f>
        <v/>
      </c>
      <c r="I1785" s="6"/>
      <c r="J1785" s="11" t="str">
        <f aca="false">IF(B1785="","",IFERROR(INDEX('Hộ gia đình'!$B$2:$B$2000,MATCH(B1785,'Hộ gia đình'!$A$2:$A$2000,0)),"Mã hộ không tồn tại"))</f>
        <v/>
      </c>
      <c r="K1785" s="14"/>
      <c r="L1785" s="14"/>
      <c r="M1785" s="6"/>
      <c r="N1785" s="6"/>
      <c r="O1785" s="6"/>
      <c r="P1785" s="6"/>
      <c r="Q1785" s="6"/>
      <c r="R1785" s="12"/>
    </row>
    <row r="1786" customFormat="false" ht="15" hidden="false" customHeight="true" outlineLevel="0" collapsed="false">
      <c r="A1786" s="6"/>
      <c r="B1786" s="6"/>
      <c r="C1786" s="6"/>
      <c r="D1786" s="6"/>
      <c r="E1786" s="13"/>
      <c r="F1786" s="6"/>
      <c r="G1786" s="11" t="str">
        <f aca="true">IF(F1786="","",YEAR(TODAY())-F1786)</f>
        <v/>
      </c>
      <c r="H1786" s="11" t="str">
        <f aca="false">IF(C1786="","",IF(G1786="","Thiếu thông tin",IF(G1786&lt;6,"Trẻ em",IF(G1786&lt;23,"Học sinh / Sinh viên",IF(G1786&lt;60,"Đang đi làm","Nghỉ hưu")))))</f>
        <v/>
      </c>
      <c r="I1786" s="6"/>
      <c r="J1786" s="11" t="str">
        <f aca="false">IF(B1786="","",IFERROR(INDEX('Hộ gia đình'!$B$2:$B$2000,MATCH(B1786,'Hộ gia đình'!$A$2:$A$2000,0)),"Mã hộ không tồn tại"))</f>
        <v/>
      </c>
      <c r="K1786" s="14"/>
      <c r="L1786" s="14"/>
      <c r="M1786" s="6"/>
      <c r="N1786" s="6"/>
      <c r="O1786" s="6"/>
      <c r="P1786" s="6"/>
      <c r="Q1786" s="6"/>
      <c r="R1786" s="12"/>
    </row>
    <row r="1787" customFormat="false" ht="15" hidden="false" customHeight="true" outlineLevel="0" collapsed="false">
      <c r="A1787" s="6"/>
      <c r="B1787" s="6"/>
      <c r="C1787" s="6"/>
      <c r="D1787" s="6"/>
      <c r="E1787" s="13"/>
      <c r="F1787" s="6"/>
      <c r="G1787" s="11" t="str">
        <f aca="true">IF(F1787="","",YEAR(TODAY())-F1787)</f>
        <v/>
      </c>
      <c r="H1787" s="11" t="str">
        <f aca="false">IF(C1787="","",IF(G1787="","Thiếu thông tin",IF(G1787&lt;6,"Trẻ em",IF(G1787&lt;23,"Học sinh / Sinh viên",IF(G1787&lt;60,"Đang đi làm","Nghỉ hưu")))))</f>
        <v/>
      </c>
      <c r="I1787" s="6"/>
      <c r="J1787" s="11" t="str">
        <f aca="false">IF(B1787="","",IFERROR(INDEX('Hộ gia đình'!$B$2:$B$2000,MATCH(B1787,'Hộ gia đình'!$A$2:$A$2000,0)),"Mã hộ không tồn tại"))</f>
        <v/>
      </c>
      <c r="K1787" s="14"/>
      <c r="L1787" s="14"/>
      <c r="M1787" s="6"/>
      <c r="N1787" s="6"/>
      <c r="O1787" s="6"/>
      <c r="P1787" s="6"/>
      <c r="Q1787" s="6"/>
      <c r="R1787" s="12"/>
    </row>
    <row r="1788" customFormat="false" ht="15" hidden="false" customHeight="true" outlineLevel="0" collapsed="false">
      <c r="A1788" s="6"/>
      <c r="B1788" s="6"/>
      <c r="C1788" s="6"/>
      <c r="D1788" s="6"/>
      <c r="E1788" s="13"/>
      <c r="F1788" s="6"/>
      <c r="G1788" s="11" t="str">
        <f aca="true">IF(F1788="","",YEAR(TODAY())-F1788)</f>
        <v/>
      </c>
      <c r="H1788" s="11" t="str">
        <f aca="false">IF(C1788="","",IF(G1788="","Thiếu thông tin",IF(G1788&lt;6,"Trẻ em",IF(G1788&lt;23,"Học sinh / Sinh viên",IF(G1788&lt;60,"Đang đi làm","Nghỉ hưu")))))</f>
        <v/>
      </c>
      <c r="I1788" s="6"/>
      <c r="J1788" s="11" t="str">
        <f aca="false">IF(B1788="","",IFERROR(INDEX('Hộ gia đình'!$B$2:$B$2000,MATCH(B1788,'Hộ gia đình'!$A$2:$A$2000,0)),"Mã hộ không tồn tại"))</f>
        <v/>
      </c>
      <c r="K1788" s="14"/>
      <c r="L1788" s="14"/>
      <c r="M1788" s="6"/>
      <c r="N1788" s="6"/>
      <c r="O1788" s="6"/>
      <c r="P1788" s="6"/>
      <c r="Q1788" s="6"/>
      <c r="R1788" s="12"/>
    </row>
    <row r="1789" customFormat="false" ht="15" hidden="false" customHeight="true" outlineLevel="0" collapsed="false">
      <c r="A1789" s="6"/>
      <c r="B1789" s="6"/>
      <c r="C1789" s="6"/>
      <c r="D1789" s="6"/>
      <c r="E1789" s="13"/>
      <c r="F1789" s="6"/>
      <c r="G1789" s="11" t="str">
        <f aca="true">IF(F1789="","",YEAR(TODAY())-F1789)</f>
        <v/>
      </c>
      <c r="H1789" s="11" t="str">
        <f aca="false">IF(C1789="","",IF(G1789="","Thiếu thông tin",IF(G1789&lt;6,"Trẻ em",IF(G1789&lt;23,"Học sinh / Sinh viên",IF(G1789&lt;60,"Đang đi làm","Nghỉ hưu")))))</f>
        <v/>
      </c>
      <c r="I1789" s="6"/>
      <c r="J1789" s="11" t="str">
        <f aca="false">IF(B1789="","",IFERROR(INDEX('Hộ gia đình'!$B$2:$B$2000,MATCH(B1789,'Hộ gia đình'!$A$2:$A$2000,0)),"Mã hộ không tồn tại"))</f>
        <v/>
      </c>
      <c r="K1789" s="14"/>
      <c r="L1789" s="14"/>
      <c r="M1789" s="6"/>
      <c r="N1789" s="6"/>
      <c r="O1789" s="6"/>
      <c r="P1789" s="6"/>
      <c r="Q1789" s="6"/>
      <c r="R1789" s="12"/>
    </row>
    <row r="1790" customFormat="false" ht="15" hidden="false" customHeight="true" outlineLevel="0" collapsed="false">
      <c r="A1790" s="6"/>
      <c r="B1790" s="6"/>
      <c r="C1790" s="6"/>
      <c r="D1790" s="6"/>
      <c r="E1790" s="13"/>
      <c r="F1790" s="6"/>
      <c r="G1790" s="11" t="str">
        <f aca="true">IF(F1790="","",YEAR(TODAY())-F1790)</f>
        <v/>
      </c>
      <c r="H1790" s="11" t="str">
        <f aca="false">IF(C1790="","",IF(G1790="","Thiếu thông tin",IF(G1790&lt;6,"Trẻ em",IF(G1790&lt;23,"Học sinh / Sinh viên",IF(G1790&lt;60,"Đang đi làm","Nghỉ hưu")))))</f>
        <v/>
      </c>
      <c r="I1790" s="6"/>
      <c r="J1790" s="11" t="str">
        <f aca="false">IF(B1790="","",IFERROR(INDEX('Hộ gia đình'!$B$2:$B$2000,MATCH(B1790,'Hộ gia đình'!$A$2:$A$2000,0)),"Mã hộ không tồn tại"))</f>
        <v/>
      </c>
      <c r="K1790" s="14"/>
      <c r="L1790" s="14"/>
      <c r="M1790" s="6"/>
      <c r="N1790" s="6"/>
      <c r="O1790" s="6"/>
      <c r="P1790" s="6"/>
      <c r="Q1790" s="6"/>
      <c r="R1790" s="12"/>
    </row>
    <row r="1791" customFormat="false" ht="15" hidden="false" customHeight="true" outlineLevel="0" collapsed="false">
      <c r="A1791" s="6"/>
      <c r="B1791" s="6"/>
      <c r="C1791" s="6"/>
      <c r="D1791" s="6"/>
      <c r="E1791" s="13"/>
      <c r="F1791" s="6"/>
      <c r="G1791" s="11" t="str">
        <f aca="true">IF(F1791="","",YEAR(TODAY())-F1791)</f>
        <v/>
      </c>
      <c r="H1791" s="11" t="str">
        <f aca="false">IF(C1791="","",IF(G1791="","Thiếu thông tin",IF(G1791&lt;6,"Trẻ em",IF(G1791&lt;23,"Học sinh / Sinh viên",IF(G1791&lt;60,"Đang đi làm","Nghỉ hưu")))))</f>
        <v/>
      </c>
      <c r="I1791" s="6"/>
      <c r="J1791" s="11" t="str">
        <f aca="false">IF(B1791="","",IFERROR(INDEX('Hộ gia đình'!$B$2:$B$2000,MATCH(B1791,'Hộ gia đình'!$A$2:$A$2000,0)),"Mã hộ không tồn tại"))</f>
        <v/>
      </c>
      <c r="K1791" s="14"/>
      <c r="L1791" s="14"/>
      <c r="M1791" s="6"/>
      <c r="N1791" s="6"/>
      <c r="O1791" s="6"/>
      <c r="P1791" s="6"/>
      <c r="Q1791" s="6"/>
      <c r="R1791" s="12"/>
    </row>
    <row r="1792" customFormat="false" ht="15" hidden="false" customHeight="true" outlineLevel="0" collapsed="false">
      <c r="A1792" s="6"/>
      <c r="B1792" s="6"/>
      <c r="C1792" s="6"/>
      <c r="D1792" s="6"/>
      <c r="E1792" s="13"/>
      <c r="F1792" s="6"/>
      <c r="G1792" s="11" t="str">
        <f aca="true">IF(F1792="","",YEAR(TODAY())-F1792)</f>
        <v/>
      </c>
      <c r="H1792" s="11" t="str">
        <f aca="false">IF(C1792="","",IF(G1792="","Thiếu thông tin",IF(G1792&lt;6,"Trẻ em",IF(G1792&lt;23,"Học sinh / Sinh viên",IF(G1792&lt;60,"Đang đi làm","Nghỉ hưu")))))</f>
        <v/>
      </c>
      <c r="I1792" s="6"/>
      <c r="J1792" s="11" t="str">
        <f aca="false">IF(B1792="","",IFERROR(INDEX('Hộ gia đình'!$B$2:$B$2000,MATCH(B1792,'Hộ gia đình'!$A$2:$A$2000,0)),"Mã hộ không tồn tại"))</f>
        <v/>
      </c>
      <c r="K1792" s="14"/>
      <c r="L1792" s="14"/>
      <c r="M1792" s="6"/>
      <c r="N1792" s="6"/>
      <c r="O1792" s="6"/>
      <c r="P1792" s="6"/>
      <c r="Q1792" s="6"/>
      <c r="R1792" s="12"/>
    </row>
    <row r="1793" customFormat="false" ht="15" hidden="false" customHeight="true" outlineLevel="0" collapsed="false">
      <c r="A1793" s="6"/>
      <c r="B1793" s="6"/>
      <c r="C1793" s="6"/>
      <c r="D1793" s="6"/>
      <c r="E1793" s="13"/>
      <c r="F1793" s="6"/>
      <c r="G1793" s="11" t="str">
        <f aca="true">IF(F1793="","",YEAR(TODAY())-F1793)</f>
        <v/>
      </c>
      <c r="H1793" s="11" t="str">
        <f aca="false">IF(C1793="","",IF(G1793="","Thiếu thông tin",IF(G1793&lt;6,"Trẻ em",IF(G1793&lt;23,"Học sinh / Sinh viên",IF(G1793&lt;60,"Đang đi làm","Nghỉ hưu")))))</f>
        <v/>
      </c>
      <c r="I1793" s="6"/>
      <c r="J1793" s="11" t="str">
        <f aca="false">IF(B1793="","",IFERROR(INDEX('Hộ gia đình'!$B$2:$B$2000,MATCH(B1793,'Hộ gia đình'!$A$2:$A$2000,0)),"Mã hộ không tồn tại"))</f>
        <v/>
      </c>
      <c r="K1793" s="14"/>
      <c r="L1793" s="14"/>
      <c r="M1793" s="6"/>
      <c r="N1793" s="6"/>
      <c r="O1793" s="6"/>
      <c r="P1793" s="6"/>
      <c r="Q1793" s="6"/>
      <c r="R1793" s="12"/>
    </row>
    <row r="1794" customFormat="false" ht="15" hidden="false" customHeight="true" outlineLevel="0" collapsed="false">
      <c r="A1794" s="6"/>
      <c r="B1794" s="6"/>
      <c r="C1794" s="6"/>
      <c r="D1794" s="6"/>
      <c r="E1794" s="13"/>
      <c r="F1794" s="6"/>
      <c r="G1794" s="11" t="str">
        <f aca="true">IF(F1794="","",YEAR(TODAY())-F1794)</f>
        <v/>
      </c>
      <c r="H1794" s="11" t="str">
        <f aca="false">IF(C1794="","",IF(G1794="","Thiếu thông tin",IF(G1794&lt;6,"Trẻ em",IF(G1794&lt;23,"Học sinh / Sinh viên",IF(G1794&lt;60,"Đang đi làm","Nghỉ hưu")))))</f>
        <v/>
      </c>
      <c r="I1794" s="6"/>
      <c r="J1794" s="11" t="str">
        <f aca="false">IF(B1794="","",IFERROR(INDEX('Hộ gia đình'!$B$2:$B$2000,MATCH(B1794,'Hộ gia đình'!$A$2:$A$2000,0)),"Mã hộ không tồn tại"))</f>
        <v/>
      </c>
      <c r="K1794" s="14"/>
      <c r="L1794" s="14"/>
      <c r="M1794" s="6"/>
      <c r="N1794" s="6"/>
      <c r="O1794" s="6"/>
      <c r="P1794" s="6"/>
      <c r="Q1794" s="6"/>
      <c r="R1794" s="12"/>
    </row>
    <row r="1795" customFormat="false" ht="15" hidden="false" customHeight="true" outlineLevel="0" collapsed="false">
      <c r="A1795" s="6"/>
      <c r="B1795" s="6"/>
      <c r="C1795" s="6"/>
      <c r="D1795" s="6"/>
      <c r="E1795" s="13"/>
      <c r="F1795" s="6"/>
      <c r="G1795" s="11" t="str">
        <f aca="true">IF(F1795="","",YEAR(TODAY())-F1795)</f>
        <v/>
      </c>
      <c r="H1795" s="11" t="str">
        <f aca="false">IF(C1795="","",IF(G1795="","Thiếu thông tin",IF(G1795&lt;6,"Trẻ em",IF(G1795&lt;23,"Học sinh / Sinh viên",IF(G1795&lt;60,"Đang đi làm","Nghỉ hưu")))))</f>
        <v/>
      </c>
      <c r="I1795" s="6"/>
      <c r="J1795" s="11" t="str">
        <f aca="false">IF(B1795="","",IFERROR(INDEX('Hộ gia đình'!$B$2:$B$2000,MATCH(B1795,'Hộ gia đình'!$A$2:$A$2000,0)),"Mã hộ không tồn tại"))</f>
        <v/>
      </c>
      <c r="K1795" s="14"/>
      <c r="L1795" s="14"/>
      <c r="M1795" s="6"/>
      <c r="N1795" s="6"/>
      <c r="O1795" s="6"/>
      <c r="P1795" s="6"/>
      <c r="Q1795" s="6"/>
      <c r="R1795" s="12"/>
    </row>
    <row r="1796" customFormat="false" ht="15" hidden="false" customHeight="true" outlineLevel="0" collapsed="false">
      <c r="A1796" s="6"/>
      <c r="B1796" s="6"/>
      <c r="C1796" s="6"/>
      <c r="D1796" s="6"/>
      <c r="E1796" s="13"/>
      <c r="F1796" s="6"/>
      <c r="G1796" s="11" t="str">
        <f aca="true">IF(F1796="","",YEAR(TODAY())-F1796)</f>
        <v/>
      </c>
      <c r="H1796" s="11" t="str">
        <f aca="false">IF(C1796="","",IF(G1796="","Thiếu thông tin",IF(G1796&lt;6,"Trẻ em",IF(G1796&lt;23,"Học sinh / Sinh viên",IF(G1796&lt;60,"Đang đi làm","Nghỉ hưu")))))</f>
        <v/>
      </c>
      <c r="I1796" s="6"/>
      <c r="J1796" s="11" t="str">
        <f aca="false">IF(B1796="","",IFERROR(INDEX('Hộ gia đình'!$B$2:$B$2000,MATCH(B1796,'Hộ gia đình'!$A$2:$A$2000,0)),"Mã hộ không tồn tại"))</f>
        <v/>
      </c>
      <c r="K1796" s="14"/>
      <c r="L1796" s="14"/>
      <c r="M1796" s="6"/>
      <c r="N1796" s="6"/>
      <c r="O1796" s="6"/>
      <c r="P1796" s="6"/>
      <c r="Q1796" s="6"/>
      <c r="R1796" s="12"/>
    </row>
    <row r="1797" customFormat="false" ht="15" hidden="false" customHeight="true" outlineLevel="0" collapsed="false">
      <c r="A1797" s="6"/>
      <c r="B1797" s="6"/>
      <c r="C1797" s="6"/>
      <c r="D1797" s="6"/>
      <c r="E1797" s="13"/>
      <c r="F1797" s="6"/>
      <c r="G1797" s="11" t="str">
        <f aca="true">IF(F1797="","",YEAR(TODAY())-F1797)</f>
        <v/>
      </c>
      <c r="H1797" s="11" t="str">
        <f aca="false">IF(C1797="","",IF(G1797="","Thiếu thông tin",IF(G1797&lt;6,"Trẻ em",IF(G1797&lt;23,"Học sinh / Sinh viên",IF(G1797&lt;60,"Đang đi làm","Nghỉ hưu")))))</f>
        <v/>
      </c>
      <c r="I1797" s="6"/>
      <c r="J1797" s="11" t="str">
        <f aca="false">IF(B1797="","",IFERROR(INDEX('Hộ gia đình'!$B$2:$B$2000,MATCH(B1797,'Hộ gia đình'!$A$2:$A$2000,0)),"Mã hộ không tồn tại"))</f>
        <v/>
      </c>
      <c r="K1797" s="14"/>
      <c r="L1797" s="14"/>
      <c r="M1797" s="6"/>
      <c r="N1797" s="6"/>
      <c r="O1797" s="6"/>
      <c r="P1797" s="6"/>
      <c r="Q1797" s="6"/>
      <c r="R1797" s="12"/>
    </row>
    <row r="1798" customFormat="false" ht="15" hidden="false" customHeight="true" outlineLevel="0" collapsed="false">
      <c r="A1798" s="6"/>
      <c r="B1798" s="6"/>
      <c r="C1798" s="6"/>
      <c r="D1798" s="6"/>
      <c r="E1798" s="13"/>
      <c r="F1798" s="6"/>
      <c r="G1798" s="11" t="str">
        <f aca="true">IF(F1798="","",YEAR(TODAY())-F1798)</f>
        <v/>
      </c>
      <c r="H1798" s="11" t="str">
        <f aca="false">IF(C1798="","",IF(G1798="","Thiếu thông tin",IF(G1798&lt;6,"Trẻ em",IF(G1798&lt;23,"Học sinh / Sinh viên",IF(G1798&lt;60,"Đang đi làm","Nghỉ hưu")))))</f>
        <v/>
      </c>
      <c r="I1798" s="6"/>
      <c r="J1798" s="11" t="str">
        <f aca="false">IF(B1798="","",IFERROR(INDEX('Hộ gia đình'!$B$2:$B$2000,MATCH(B1798,'Hộ gia đình'!$A$2:$A$2000,0)),"Mã hộ không tồn tại"))</f>
        <v/>
      </c>
      <c r="K1798" s="14"/>
      <c r="L1798" s="14"/>
      <c r="M1798" s="6"/>
      <c r="N1798" s="6"/>
      <c r="O1798" s="6"/>
      <c r="P1798" s="6"/>
      <c r="Q1798" s="6"/>
      <c r="R1798" s="12"/>
    </row>
    <row r="1799" customFormat="false" ht="15" hidden="false" customHeight="true" outlineLevel="0" collapsed="false">
      <c r="A1799" s="6"/>
      <c r="B1799" s="6"/>
      <c r="C1799" s="6"/>
      <c r="D1799" s="6"/>
      <c r="E1799" s="13"/>
      <c r="F1799" s="6"/>
      <c r="G1799" s="11" t="str">
        <f aca="true">IF(F1799="","",YEAR(TODAY())-F1799)</f>
        <v/>
      </c>
      <c r="H1799" s="11" t="str">
        <f aca="false">IF(C1799="","",IF(G1799="","Thiếu thông tin",IF(G1799&lt;6,"Trẻ em",IF(G1799&lt;23,"Học sinh / Sinh viên",IF(G1799&lt;60,"Đang đi làm","Nghỉ hưu")))))</f>
        <v/>
      </c>
      <c r="I1799" s="6"/>
      <c r="J1799" s="11" t="str">
        <f aca="false">IF(B1799="","",IFERROR(INDEX('Hộ gia đình'!$B$2:$B$2000,MATCH(B1799,'Hộ gia đình'!$A$2:$A$2000,0)),"Mã hộ không tồn tại"))</f>
        <v/>
      </c>
      <c r="K1799" s="14"/>
      <c r="L1799" s="14"/>
      <c r="M1799" s="6"/>
      <c r="N1799" s="6"/>
      <c r="O1799" s="6"/>
      <c r="P1799" s="6"/>
      <c r="Q1799" s="6"/>
      <c r="R1799" s="12"/>
    </row>
    <row r="1800" customFormat="false" ht="15" hidden="false" customHeight="true" outlineLevel="0" collapsed="false">
      <c r="A1800" s="6"/>
      <c r="B1800" s="6"/>
      <c r="C1800" s="6"/>
      <c r="D1800" s="6"/>
      <c r="E1800" s="13"/>
      <c r="F1800" s="6"/>
      <c r="G1800" s="11" t="str">
        <f aca="true">IF(F1800="","",YEAR(TODAY())-F1800)</f>
        <v/>
      </c>
      <c r="H1800" s="11" t="str">
        <f aca="false">IF(C1800="","",IF(G1800="","Thiếu thông tin",IF(G1800&lt;6,"Trẻ em",IF(G1800&lt;23,"Học sinh / Sinh viên",IF(G1800&lt;60,"Đang đi làm","Nghỉ hưu")))))</f>
        <v/>
      </c>
      <c r="I1800" s="6"/>
      <c r="J1800" s="11" t="str">
        <f aca="false">IF(B1800="","",IFERROR(INDEX('Hộ gia đình'!$B$2:$B$2000,MATCH(B1800,'Hộ gia đình'!$A$2:$A$2000,0)),"Mã hộ không tồn tại"))</f>
        <v/>
      </c>
      <c r="K1800" s="14"/>
      <c r="L1800" s="14"/>
      <c r="M1800" s="6"/>
      <c r="N1800" s="6"/>
      <c r="O1800" s="6"/>
      <c r="P1800" s="6"/>
      <c r="Q1800" s="6"/>
      <c r="R1800" s="12"/>
    </row>
    <row r="1801" customFormat="false" ht="15" hidden="false" customHeight="true" outlineLevel="0" collapsed="false">
      <c r="A1801" s="6"/>
      <c r="B1801" s="6"/>
      <c r="C1801" s="6"/>
      <c r="D1801" s="6"/>
      <c r="E1801" s="13"/>
      <c r="F1801" s="6"/>
      <c r="G1801" s="11" t="str">
        <f aca="true">IF(F1801="","",YEAR(TODAY())-F1801)</f>
        <v/>
      </c>
      <c r="H1801" s="11" t="str">
        <f aca="false">IF(C1801="","",IF(G1801="","Thiếu thông tin",IF(G1801&lt;6,"Trẻ em",IF(G1801&lt;23,"Học sinh / Sinh viên",IF(G1801&lt;60,"Đang đi làm","Nghỉ hưu")))))</f>
        <v/>
      </c>
      <c r="I1801" s="6"/>
      <c r="J1801" s="11" t="str">
        <f aca="false">IF(B1801="","",IFERROR(INDEX('Hộ gia đình'!$B$2:$B$2000,MATCH(B1801,'Hộ gia đình'!$A$2:$A$2000,0)),"Mã hộ không tồn tại"))</f>
        <v/>
      </c>
      <c r="K1801" s="14"/>
      <c r="L1801" s="14"/>
      <c r="M1801" s="6"/>
      <c r="N1801" s="6"/>
      <c r="O1801" s="6"/>
      <c r="P1801" s="6"/>
      <c r="Q1801" s="6"/>
      <c r="R1801" s="12"/>
    </row>
    <row r="1802" customFormat="false" ht="15" hidden="false" customHeight="true" outlineLevel="0" collapsed="false">
      <c r="A1802" s="6"/>
      <c r="B1802" s="6"/>
      <c r="C1802" s="6"/>
      <c r="D1802" s="6"/>
      <c r="E1802" s="13"/>
      <c r="F1802" s="6"/>
      <c r="G1802" s="11" t="str">
        <f aca="true">IF(F1802="","",YEAR(TODAY())-F1802)</f>
        <v/>
      </c>
      <c r="H1802" s="11" t="str">
        <f aca="false">IF(C1802="","",IF(G1802="","Thiếu thông tin",IF(G1802&lt;6,"Trẻ em",IF(G1802&lt;23,"Học sinh / Sinh viên",IF(G1802&lt;60,"Đang đi làm","Nghỉ hưu")))))</f>
        <v/>
      </c>
      <c r="I1802" s="6"/>
      <c r="J1802" s="11" t="str">
        <f aca="false">IF(B1802="","",IFERROR(INDEX('Hộ gia đình'!$B$2:$B$2000,MATCH(B1802,'Hộ gia đình'!$A$2:$A$2000,0)),"Mã hộ không tồn tại"))</f>
        <v/>
      </c>
      <c r="K1802" s="14"/>
      <c r="L1802" s="14"/>
      <c r="M1802" s="6"/>
      <c r="N1802" s="6"/>
      <c r="O1802" s="6"/>
      <c r="P1802" s="6"/>
      <c r="Q1802" s="6"/>
      <c r="R1802" s="12"/>
    </row>
    <row r="1803" customFormat="false" ht="15" hidden="false" customHeight="true" outlineLevel="0" collapsed="false">
      <c r="A1803" s="6"/>
      <c r="B1803" s="6"/>
      <c r="C1803" s="6"/>
      <c r="D1803" s="6"/>
      <c r="E1803" s="13"/>
      <c r="F1803" s="6"/>
      <c r="G1803" s="11" t="str">
        <f aca="true">IF(F1803="","",YEAR(TODAY())-F1803)</f>
        <v/>
      </c>
      <c r="H1803" s="11" t="str">
        <f aca="false">IF(C1803="","",IF(G1803="","Thiếu thông tin",IF(G1803&lt;6,"Trẻ em",IF(G1803&lt;23,"Học sinh / Sinh viên",IF(G1803&lt;60,"Đang đi làm","Nghỉ hưu")))))</f>
        <v/>
      </c>
      <c r="I1803" s="6"/>
      <c r="J1803" s="11" t="str">
        <f aca="false">IF(B1803="","",IFERROR(INDEX('Hộ gia đình'!$B$2:$B$2000,MATCH(B1803,'Hộ gia đình'!$A$2:$A$2000,0)),"Mã hộ không tồn tại"))</f>
        <v/>
      </c>
      <c r="K1803" s="14"/>
      <c r="L1803" s="14"/>
      <c r="M1803" s="6"/>
      <c r="N1803" s="6"/>
      <c r="O1803" s="6"/>
      <c r="P1803" s="6"/>
      <c r="Q1803" s="6"/>
      <c r="R1803" s="12"/>
    </row>
    <row r="1804" customFormat="false" ht="15" hidden="false" customHeight="true" outlineLevel="0" collapsed="false">
      <c r="A1804" s="6"/>
      <c r="B1804" s="6"/>
      <c r="C1804" s="6"/>
      <c r="D1804" s="6"/>
      <c r="E1804" s="13"/>
      <c r="F1804" s="6"/>
      <c r="G1804" s="11" t="str">
        <f aca="true">IF(F1804="","",YEAR(TODAY())-F1804)</f>
        <v/>
      </c>
      <c r="H1804" s="11" t="str">
        <f aca="false">IF(C1804="","",IF(G1804="","Thiếu thông tin",IF(G1804&lt;6,"Trẻ em",IF(G1804&lt;23,"Học sinh / Sinh viên",IF(G1804&lt;60,"Đang đi làm","Nghỉ hưu")))))</f>
        <v/>
      </c>
      <c r="I1804" s="6"/>
      <c r="J1804" s="11" t="str">
        <f aca="false">IF(B1804="","",IFERROR(INDEX('Hộ gia đình'!$B$2:$B$2000,MATCH(B1804,'Hộ gia đình'!$A$2:$A$2000,0)),"Mã hộ không tồn tại"))</f>
        <v/>
      </c>
      <c r="K1804" s="14"/>
      <c r="L1804" s="14"/>
      <c r="M1804" s="6"/>
      <c r="N1804" s="6"/>
      <c r="O1804" s="6"/>
      <c r="P1804" s="6"/>
      <c r="Q1804" s="6"/>
      <c r="R1804" s="12"/>
    </row>
    <row r="1805" customFormat="false" ht="15" hidden="false" customHeight="true" outlineLevel="0" collapsed="false">
      <c r="A1805" s="6"/>
      <c r="B1805" s="6"/>
      <c r="C1805" s="6"/>
      <c r="D1805" s="6"/>
      <c r="E1805" s="13"/>
      <c r="F1805" s="6"/>
      <c r="G1805" s="11" t="str">
        <f aca="true">IF(F1805="","",YEAR(TODAY())-F1805)</f>
        <v/>
      </c>
      <c r="H1805" s="11" t="str">
        <f aca="false">IF(C1805="","",IF(G1805="","Thiếu thông tin",IF(G1805&lt;6,"Trẻ em",IF(G1805&lt;23,"Học sinh / Sinh viên",IF(G1805&lt;60,"Đang đi làm","Nghỉ hưu")))))</f>
        <v/>
      </c>
      <c r="I1805" s="6"/>
      <c r="J1805" s="11" t="str">
        <f aca="false">IF(B1805="","",IFERROR(INDEX('Hộ gia đình'!$B$2:$B$2000,MATCH(B1805,'Hộ gia đình'!$A$2:$A$2000,0)),"Mã hộ không tồn tại"))</f>
        <v/>
      </c>
      <c r="K1805" s="14"/>
      <c r="L1805" s="14"/>
      <c r="M1805" s="6"/>
      <c r="N1805" s="6"/>
      <c r="O1805" s="6"/>
      <c r="P1805" s="6"/>
      <c r="Q1805" s="6"/>
      <c r="R1805" s="12"/>
    </row>
    <row r="1806" customFormat="false" ht="15" hidden="false" customHeight="true" outlineLevel="0" collapsed="false">
      <c r="A1806" s="6"/>
      <c r="B1806" s="6"/>
      <c r="C1806" s="6"/>
      <c r="D1806" s="6"/>
      <c r="E1806" s="13"/>
      <c r="F1806" s="6"/>
      <c r="G1806" s="11" t="str">
        <f aca="true">IF(F1806="","",YEAR(TODAY())-F1806)</f>
        <v/>
      </c>
      <c r="H1806" s="11" t="str">
        <f aca="false">IF(C1806="","",IF(G1806="","Thiếu thông tin",IF(G1806&lt;6,"Trẻ em",IF(G1806&lt;23,"Học sinh / Sinh viên",IF(G1806&lt;60,"Đang đi làm","Nghỉ hưu")))))</f>
        <v/>
      </c>
      <c r="I1806" s="6"/>
      <c r="J1806" s="11" t="str">
        <f aca="false">IF(B1806="","",IFERROR(INDEX('Hộ gia đình'!$B$2:$B$2000,MATCH(B1806,'Hộ gia đình'!$A$2:$A$2000,0)),"Mã hộ không tồn tại"))</f>
        <v/>
      </c>
      <c r="K1806" s="14"/>
      <c r="L1806" s="14"/>
      <c r="M1806" s="6"/>
      <c r="N1806" s="6"/>
      <c r="O1806" s="6"/>
      <c r="P1806" s="6"/>
      <c r="Q1806" s="6"/>
      <c r="R1806" s="12"/>
    </row>
    <row r="1807" customFormat="false" ht="15" hidden="false" customHeight="true" outlineLevel="0" collapsed="false">
      <c r="A1807" s="6"/>
      <c r="B1807" s="6"/>
      <c r="C1807" s="6"/>
      <c r="D1807" s="6"/>
      <c r="E1807" s="13"/>
      <c r="F1807" s="6"/>
      <c r="G1807" s="11" t="str">
        <f aca="true">IF(F1807="","",YEAR(TODAY())-F1807)</f>
        <v/>
      </c>
      <c r="H1807" s="11" t="str">
        <f aca="false">IF(C1807="","",IF(G1807="","Thiếu thông tin",IF(G1807&lt;6,"Trẻ em",IF(G1807&lt;23,"Học sinh / Sinh viên",IF(G1807&lt;60,"Đang đi làm","Nghỉ hưu")))))</f>
        <v/>
      </c>
      <c r="I1807" s="6"/>
      <c r="J1807" s="11" t="str">
        <f aca="false">IF(B1807="","",IFERROR(INDEX('Hộ gia đình'!$B$2:$B$2000,MATCH(B1807,'Hộ gia đình'!$A$2:$A$2000,0)),"Mã hộ không tồn tại"))</f>
        <v/>
      </c>
      <c r="K1807" s="14"/>
      <c r="L1807" s="14"/>
      <c r="M1807" s="6"/>
      <c r="N1807" s="6"/>
      <c r="O1807" s="6"/>
      <c r="P1807" s="6"/>
      <c r="Q1807" s="6"/>
      <c r="R1807" s="12"/>
    </row>
    <row r="1808" customFormat="false" ht="15" hidden="false" customHeight="true" outlineLevel="0" collapsed="false">
      <c r="A1808" s="6"/>
      <c r="B1808" s="6"/>
      <c r="C1808" s="6"/>
      <c r="D1808" s="6"/>
      <c r="E1808" s="13"/>
      <c r="F1808" s="6"/>
      <c r="G1808" s="11" t="str">
        <f aca="true">IF(F1808="","",YEAR(TODAY())-F1808)</f>
        <v/>
      </c>
      <c r="H1808" s="11" t="str">
        <f aca="false">IF(C1808="","",IF(G1808="","Thiếu thông tin",IF(G1808&lt;6,"Trẻ em",IF(G1808&lt;23,"Học sinh / Sinh viên",IF(G1808&lt;60,"Đang đi làm","Nghỉ hưu")))))</f>
        <v/>
      </c>
      <c r="I1808" s="6"/>
      <c r="J1808" s="11" t="str">
        <f aca="false">IF(B1808="","",IFERROR(INDEX('Hộ gia đình'!$B$2:$B$2000,MATCH(B1808,'Hộ gia đình'!$A$2:$A$2000,0)),"Mã hộ không tồn tại"))</f>
        <v/>
      </c>
      <c r="K1808" s="14"/>
      <c r="L1808" s="14"/>
      <c r="M1808" s="6"/>
      <c r="N1808" s="6"/>
      <c r="O1808" s="6"/>
      <c r="P1808" s="6"/>
      <c r="Q1808" s="6"/>
      <c r="R1808" s="12"/>
    </row>
    <row r="1809" customFormat="false" ht="15" hidden="false" customHeight="true" outlineLevel="0" collapsed="false">
      <c r="A1809" s="6"/>
      <c r="B1809" s="6"/>
      <c r="C1809" s="6"/>
      <c r="D1809" s="6"/>
      <c r="E1809" s="13"/>
      <c r="F1809" s="6"/>
      <c r="G1809" s="11" t="str">
        <f aca="true">IF(F1809="","",YEAR(TODAY())-F1809)</f>
        <v/>
      </c>
      <c r="H1809" s="11" t="str">
        <f aca="false">IF(C1809="","",IF(G1809="","Thiếu thông tin",IF(G1809&lt;6,"Trẻ em",IF(G1809&lt;23,"Học sinh / Sinh viên",IF(G1809&lt;60,"Đang đi làm","Nghỉ hưu")))))</f>
        <v/>
      </c>
      <c r="I1809" s="6"/>
      <c r="J1809" s="11" t="str">
        <f aca="false">IF(B1809="","",IFERROR(INDEX('Hộ gia đình'!$B$2:$B$2000,MATCH(B1809,'Hộ gia đình'!$A$2:$A$2000,0)),"Mã hộ không tồn tại"))</f>
        <v/>
      </c>
      <c r="K1809" s="14"/>
      <c r="L1809" s="14"/>
      <c r="M1809" s="6"/>
      <c r="N1809" s="6"/>
      <c r="O1809" s="6"/>
      <c r="P1809" s="6"/>
      <c r="Q1809" s="6"/>
      <c r="R1809" s="12"/>
    </row>
    <row r="1810" customFormat="false" ht="15" hidden="false" customHeight="true" outlineLevel="0" collapsed="false">
      <c r="A1810" s="6"/>
      <c r="B1810" s="6"/>
      <c r="C1810" s="6"/>
      <c r="D1810" s="6"/>
      <c r="E1810" s="13"/>
      <c r="F1810" s="6"/>
      <c r="G1810" s="11" t="str">
        <f aca="true">IF(F1810="","",YEAR(TODAY())-F1810)</f>
        <v/>
      </c>
      <c r="H1810" s="11" t="str">
        <f aca="false">IF(C1810="","",IF(G1810="","Thiếu thông tin",IF(G1810&lt;6,"Trẻ em",IF(G1810&lt;23,"Học sinh / Sinh viên",IF(G1810&lt;60,"Đang đi làm","Nghỉ hưu")))))</f>
        <v/>
      </c>
      <c r="I1810" s="6"/>
      <c r="J1810" s="11" t="str">
        <f aca="false">IF(B1810="","",IFERROR(INDEX('Hộ gia đình'!$B$2:$B$2000,MATCH(B1810,'Hộ gia đình'!$A$2:$A$2000,0)),"Mã hộ không tồn tại"))</f>
        <v/>
      </c>
      <c r="K1810" s="14"/>
      <c r="L1810" s="14"/>
      <c r="M1810" s="6"/>
      <c r="N1810" s="6"/>
      <c r="O1810" s="6"/>
      <c r="P1810" s="6"/>
      <c r="Q1810" s="6"/>
      <c r="R1810" s="12"/>
    </row>
    <row r="1811" customFormat="false" ht="15" hidden="false" customHeight="true" outlineLevel="0" collapsed="false">
      <c r="A1811" s="6"/>
      <c r="B1811" s="6"/>
      <c r="C1811" s="6"/>
      <c r="D1811" s="6"/>
      <c r="E1811" s="13"/>
      <c r="F1811" s="6"/>
      <c r="G1811" s="11" t="str">
        <f aca="true">IF(F1811="","",YEAR(TODAY())-F1811)</f>
        <v/>
      </c>
      <c r="H1811" s="11" t="str">
        <f aca="false">IF(C1811="","",IF(G1811="","Thiếu thông tin",IF(G1811&lt;6,"Trẻ em",IF(G1811&lt;23,"Học sinh / Sinh viên",IF(G1811&lt;60,"Đang đi làm","Nghỉ hưu")))))</f>
        <v/>
      </c>
      <c r="I1811" s="6"/>
      <c r="J1811" s="11" t="str">
        <f aca="false">IF(B1811="","",IFERROR(INDEX('Hộ gia đình'!$B$2:$B$2000,MATCH(B1811,'Hộ gia đình'!$A$2:$A$2000,0)),"Mã hộ không tồn tại"))</f>
        <v/>
      </c>
      <c r="K1811" s="14"/>
      <c r="L1811" s="14"/>
      <c r="M1811" s="6"/>
      <c r="N1811" s="6"/>
      <c r="O1811" s="6"/>
      <c r="P1811" s="6"/>
      <c r="Q1811" s="6"/>
      <c r="R1811" s="12"/>
    </row>
    <row r="1812" customFormat="false" ht="15" hidden="false" customHeight="true" outlineLevel="0" collapsed="false">
      <c r="A1812" s="6"/>
      <c r="B1812" s="6"/>
      <c r="C1812" s="6"/>
      <c r="D1812" s="6"/>
      <c r="E1812" s="13"/>
      <c r="F1812" s="6"/>
      <c r="G1812" s="11" t="str">
        <f aca="true">IF(F1812="","",YEAR(TODAY())-F1812)</f>
        <v/>
      </c>
      <c r="H1812" s="11" t="str">
        <f aca="false">IF(C1812="","",IF(G1812="","Thiếu thông tin",IF(G1812&lt;6,"Trẻ em",IF(G1812&lt;23,"Học sinh / Sinh viên",IF(G1812&lt;60,"Đang đi làm","Nghỉ hưu")))))</f>
        <v/>
      </c>
      <c r="I1812" s="6"/>
      <c r="J1812" s="11" t="str">
        <f aca="false">IF(B1812="","",IFERROR(INDEX('Hộ gia đình'!$B$2:$B$2000,MATCH(B1812,'Hộ gia đình'!$A$2:$A$2000,0)),"Mã hộ không tồn tại"))</f>
        <v/>
      </c>
      <c r="K1812" s="14"/>
      <c r="L1812" s="14"/>
      <c r="M1812" s="6"/>
      <c r="N1812" s="6"/>
      <c r="O1812" s="6"/>
      <c r="P1812" s="6"/>
      <c r="Q1812" s="6"/>
      <c r="R1812" s="12"/>
    </row>
    <row r="1813" customFormat="false" ht="15" hidden="false" customHeight="true" outlineLevel="0" collapsed="false">
      <c r="A1813" s="6"/>
      <c r="B1813" s="6"/>
      <c r="C1813" s="6"/>
      <c r="D1813" s="6"/>
      <c r="E1813" s="13"/>
      <c r="F1813" s="6"/>
      <c r="G1813" s="11" t="str">
        <f aca="true">IF(F1813="","",YEAR(TODAY())-F1813)</f>
        <v/>
      </c>
      <c r="H1813" s="11" t="str">
        <f aca="false">IF(C1813="","",IF(G1813="","Thiếu thông tin",IF(G1813&lt;6,"Trẻ em",IF(G1813&lt;23,"Học sinh / Sinh viên",IF(G1813&lt;60,"Đang đi làm","Nghỉ hưu")))))</f>
        <v/>
      </c>
      <c r="I1813" s="6"/>
      <c r="J1813" s="11" t="str">
        <f aca="false">IF(B1813="","",IFERROR(INDEX('Hộ gia đình'!$B$2:$B$2000,MATCH(B1813,'Hộ gia đình'!$A$2:$A$2000,0)),"Mã hộ không tồn tại"))</f>
        <v/>
      </c>
      <c r="K1813" s="14"/>
      <c r="L1813" s="14"/>
      <c r="M1813" s="6"/>
      <c r="N1813" s="6"/>
      <c r="O1813" s="6"/>
      <c r="P1813" s="6"/>
      <c r="Q1813" s="6"/>
      <c r="R1813" s="12"/>
    </row>
    <row r="1814" customFormat="false" ht="15" hidden="false" customHeight="true" outlineLevel="0" collapsed="false">
      <c r="A1814" s="6"/>
      <c r="B1814" s="6"/>
      <c r="C1814" s="6"/>
      <c r="D1814" s="6"/>
      <c r="E1814" s="13"/>
      <c r="F1814" s="6"/>
      <c r="G1814" s="11" t="str">
        <f aca="true">IF(F1814="","",YEAR(TODAY())-F1814)</f>
        <v/>
      </c>
      <c r="H1814" s="11" t="str">
        <f aca="false">IF(C1814="","",IF(G1814="","Thiếu thông tin",IF(G1814&lt;6,"Trẻ em",IF(G1814&lt;23,"Học sinh / Sinh viên",IF(G1814&lt;60,"Đang đi làm","Nghỉ hưu")))))</f>
        <v/>
      </c>
      <c r="I1814" s="6"/>
      <c r="J1814" s="11" t="str">
        <f aca="false">IF(B1814="","",IFERROR(INDEX('Hộ gia đình'!$B$2:$B$2000,MATCH(B1814,'Hộ gia đình'!$A$2:$A$2000,0)),"Mã hộ không tồn tại"))</f>
        <v/>
      </c>
      <c r="K1814" s="14"/>
      <c r="L1814" s="14"/>
      <c r="M1814" s="6"/>
      <c r="N1814" s="6"/>
      <c r="O1814" s="6"/>
      <c r="P1814" s="6"/>
      <c r="Q1814" s="6"/>
      <c r="R1814" s="12"/>
    </row>
    <row r="1815" customFormat="false" ht="15" hidden="false" customHeight="true" outlineLevel="0" collapsed="false">
      <c r="A1815" s="6"/>
      <c r="B1815" s="6"/>
      <c r="C1815" s="6"/>
      <c r="D1815" s="6"/>
      <c r="E1815" s="13"/>
      <c r="F1815" s="6"/>
      <c r="G1815" s="11" t="str">
        <f aca="true">IF(F1815="","",YEAR(TODAY())-F1815)</f>
        <v/>
      </c>
      <c r="H1815" s="11" t="str">
        <f aca="false">IF(C1815="","",IF(G1815="","Thiếu thông tin",IF(G1815&lt;6,"Trẻ em",IF(G1815&lt;23,"Học sinh / Sinh viên",IF(G1815&lt;60,"Đang đi làm","Nghỉ hưu")))))</f>
        <v/>
      </c>
      <c r="I1815" s="6"/>
      <c r="J1815" s="11" t="str">
        <f aca="false">IF(B1815="","",IFERROR(INDEX('Hộ gia đình'!$B$2:$B$2000,MATCH(B1815,'Hộ gia đình'!$A$2:$A$2000,0)),"Mã hộ không tồn tại"))</f>
        <v/>
      </c>
      <c r="K1815" s="14"/>
      <c r="L1815" s="14"/>
      <c r="M1815" s="6"/>
      <c r="N1815" s="6"/>
      <c r="O1815" s="6"/>
      <c r="P1815" s="6"/>
      <c r="Q1815" s="6"/>
      <c r="R1815" s="12"/>
    </row>
    <row r="1816" customFormat="false" ht="15" hidden="false" customHeight="true" outlineLevel="0" collapsed="false">
      <c r="A1816" s="6"/>
      <c r="B1816" s="6"/>
      <c r="C1816" s="6"/>
      <c r="D1816" s="6"/>
      <c r="E1816" s="13"/>
      <c r="F1816" s="6"/>
      <c r="G1816" s="11" t="str">
        <f aca="true">IF(F1816="","",YEAR(TODAY())-F1816)</f>
        <v/>
      </c>
      <c r="H1816" s="11" t="str">
        <f aca="false">IF(C1816="","",IF(G1816="","Thiếu thông tin",IF(G1816&lt;6,"Trẻ em",IF(G1816&lt;23,"Học sinh / Sinh viên",IF(G1816&lt;60,"Đang đi làm","Nghỉ hưu")))))</f>
        <v/>
      </c>
      <c r="I1816" s="6"/>
      <c r="J1816" s="11" t="str">
        <f aca="false">IF(B1816="","",IFERROR(INDEX('Hộ gia đình'!$B$2:$B$2000,MATCH(B1816,'Hộ gia đình'!$A$2:$A$2000,0)),"Mã hộ không tồn tại"))</f>
        <v/>
      </c>
      <c r="K1816" s="14"/>
      <c r="L1816" s="14"/>
      <c r="M1816" s="6"/>
      <c r="N1816" s="6"/>
      <c r="O1816" s="6"/>
      <c r="P1816" s="6"/>
      <c r="Q1816" s="6"/>
      <c r="R1816" s="12"/>
    </row>
    <row r="1817" customFormat="false" ht="15" hidden="false" customHeight="true" outlineLevel="0" collapsed="false">
      <c r="A1817" s="6"/>
      <c r="B1817" s="6"/>
      <c r="C1817" s="6"/>
      <c r="D1817" s="6"/>
      <c r="E1817" s="13"/>
      <c r="F1817" s="6"/>
      <c r="G1817" s="11" t="str">
        <f aca="true">IF(F1817="","",YEAR(TODAY())-F1817)</f>
        <v/>
      </c>
      <c r="H1817" s="11" t="str">
        <f aca="false">IF(C1817="","",IF(G1817="","Thiếu thông tin",IF(G1817&lt;6,"Trẻ em",IF(G1817&lt;23,"Học sinh / Sinh viên",IF(G1817&lt;60,"Đang đi làm","Nghỉ hưu")))))</f>
        <v/>
      </c>
      <c r="I1817" s="6"/>
      <c r="J1817" s="11" t="str">
        <f aca="false">IF(B1817="","",IFERROR(INDEX('Hộ gia đình'!$B$2:$B$2000,MATCH(B1817,'Hộ gia đình'!$A$2:$A$2000,0)),"Mã hộ không tồn tại"))</f>
        <v/>
      </c>
      <c r="K1817" s="14"/>
      <c r="L1817" s="14"/>
      <c r="M1817" s="6"/>
      <c r="N1817" s="6"/>
      <c r="O1817" s="6"/>
      <c r="P1817" s="6"/>
      <c r="Q1817" s="6"/>
      <c r="R1817" s="12"/>
    </row>
    <row r="1818" customFormat="false" ht="15" hidden="false" customHeight="true" outlineLevel="0" collapsed="false">
      <c r="A1818" s="6"/>
      <c r="B1818" s="6"/>
      <c r="C1818" s="6"/>
      <c r="D1818" s="6"/>
      <c r="E1818" s="13"/>
      <c r="F1818" s="6"/>
      <c r="G1818" s="11" t="str">
        <f aca="true">IF(F1818="","",YEAR(TODAY())-F1818)</f>
        <v/>
      </c>
      <c r="H1818" s="11" t="str">
        <f aca="false">IF(C1818="","",IF(G1818="","Thiếu thông tin",IF(G1818&lt;6,"Trẻ em",IF(G1818&lt;23,"Học sinh / Sinh viên",IF(G1818&lt;60,"Đang đi làm","Nghỉ hưu")))))</f>
        <v/>
      </c>
      <c r="I1818" s="6"/>
      <c r="J1818" s="11" t="str">
        <f aca="false">IF(B1818="","",IFERROR(INDEX('Hộ gia đình'!$B$2:$B$2000,MATCH(B1818,'Hộ gia đình'!$A$2:$A$2000,0)),"Mã hộ không tồn tại"))</f>
        <v/>
      </c>
      <c r="K1818" s="14"/>
      <c r="L1818" s="14"/>
      <c r="M1818" s="6"/>
      <c r="N1818" s="6"/>
      <c r="O1818" s="6"/>
      <c r="P1818" s="6"/>
      <c r="Q1818" s="6"/>
      <c r="R1818" s="12"/>
    </row>
    <row r="1819" customFormat="false" ht="15" hidden="false" customHeight="true" outlineLevel="0" collapsed="false">
      <c r="A1819" s="6"/>
      <c r="B1819" s="6"/>
      <c r="C1819" s="6"/>
      <c r="D1819" s="6"/>
      <c r="E1819" s="13"/>
      <c r="F1819" s="6"/>
      <c r="G1819" s="11" t="str">
        <f aca="true">IF(F1819="","",YEAR(TODAY())-F1819)</f>
        <v/>
      </c>
      <c r="H1819" s="11" t="str">
        <f aca="false">IF(C1819="","",IF(G1819="","Thiếu thông tin",IF(G1819&lt;6,"Trẻ em",IF(G1819&lt;23,"Học sinh / Sinh viên",IF(G1819&lt;60,"Đang đi làm","Nghỉ hưu")))))</f>
        <v/>
      </c>
      <c r="I1819" s="6"/>
      <c r="J1819" s="11" t="str">
        <f aca="false">IF(B1819="","",IFERROR(INDEX('Hộ gia đình'!$B$2:$B$2000,MATCH(B1819,'Hộ gia đình'!$A$2:$A$2000,0)),"Mã hộ không tồn tại"))</f>
        <v/>
      </c>
      <c r="K1819" s="14"/>
      <c r="L1819" s="14"/>
      <c r="M1819" s="6"/>
      <c r="N1819" s="6"/>
      <c r="O1819" s="6"/>
      <c r="P1819" s="6"/>
      <c r="Q1819" s="6"/>
      <c r="R1819" s="12"/>
    </row>
    <row r="1820" customFormat="false" ht="15" hidden="false" customHeight="true" outlineLevel="0" collapsed="false">
      <c r="A1820" s="6"/>
      <c r="B1820" s="6"/>
      <c r="C1820" s="6"/>
      <c r="D1820" s="6"/>
      <c r="E1820" s="13"/>
      <c r="F1820" s="6"/>
      <c r="G1820" s="11" t="str">
        <f aca="true">IF(F1820="","",YEAR(TODAY())-F1820)</f>
        <v/>
      </c>
      <c r="H1820" s="11" t="str">
        <f aca="false">IF(C1820="","",IF(G1820="","Thiếu thông tin",IF(G1820&lt;6,"Trẻ em",IF(G1820&lt;23,"Học sinh / Sinh viên",IF(G1820&lt;60,"Đang đi làm","Nghỉ hưu")))))</f>
        <v/>
      </c>
      <c r="I1820" s="6"/>
      <c r="J1820" s="11" t="str">
        <f aca="false">IF(B1820="","",IFERROR(INDEX('Hộ gia đình'!$B$2:$B$2000,MATCH(B1820,'Hộ gia đình'!$A$2:$A$2000,0)),"Mã hộ không tồn tại"))</f>
        <v/>
      </c>
      <c r="K1820" s="14"/>
      <c r="L1820" s="14"/>
      <c r="M1820" s="6"/>
      <c r="N1820" s="6"/>
      <c r="O1820" s="6"/>
      <c r="P1820" s="6"/>
      <c r="Q1820" s="6"/>
      <c r="R1820" s="12"/>
    </row>
    <row r="1821" customFormat="false" ht="15" hidden="false" customHeight="true" outlineLevel="0" collapsed="false">
      <c r="A1821" s="6"/>
      <c r="B1821" s="6"/>
      <c r="C1821" s="6"/>
      <c r="D1821" s="6"/>
      <c r="E1821" s="13"/>
      <c r="F1821" s="6"/>
      <c r="G1821" s="11" t="str">
        <f aca="true">IF(F1821="","",YEAR(TODAY())-F1821)</f>
        <v/>
      </c>
      <c r="H1821" s="11" t="str">
        <f aca="false">IF(C1821="","",IF(G1821="","Thiếu thông tin",IF(G1821&lt;6,"Trẻ em",IF(G1821&lt;23,"Học sinh / Sinh viên",IF(G1821&lt;60,"Đang đi làm","Nghỉ hưu")))))</f>
        <v/>
      </c>
      <c r="I1821" s="6"/>
      <c r="J1821" s="11" t="str">
        <f aca="false">IF(B1821="","",IFERROR(INDEX('Hộ gia đình'!$B$2:$B$2000,MATCH(B1821,'Hộ gia đình'!$A$2:$A$2000,0)),"Mã hộ không tồn tại"))</f>
        <v/>
      </c>
      <c r="K1821" s="14"/>
      <c r="L1821" s="14"/>
      <c r="M1821" s="6"/>
      <c r="N1821" s="6"/>
      <c r="O1821" s="6"/>
      <c r="P1821" s="6"/>
      <c r="Q1821" s="6"/>
      <c r="R1821" s="12"/>
    </row>
    <row r="1822" customFormat="false" ht="15" hidden="false" customHeight="true" outlineLevel="0" collapsed="false">
      <c r="A1822" s="6"/>
      <c r="B1822" s="6"/>
      <c r="C1822" s="6"/>
      <c r="D1822" s="6"/>
      <c r="E1822" s="13"/>
      <c r="F1822" s="6"/>
      <c r="G1822" s="11" t="str">
        <f aca="true">IF(F1822="","",YEAR(TODAY())-F1822)</f>
        <v/>
      </c>
      <c r="H1822" s="11" t="str">
        <f aca="false">IF(C1822="","",IF(G1822="","Thiếu thông tin",IF(G1822&lt;6,"Trẻ em",IF(G1822&lt;23,"Học sinh / Sinh viên",IF(G1822&lt;60,"Đang đi làm","Nghỉ hưu")))))</f>
        <v/>
      </c>
      <c r="I1822" s="6"/>
      <c r="J1822" s="11" t="str">
        <f aca="false">IF(B1822="","",IFERROR(INDEX('Hộ gia đình'!$B$2:$B$2000,MATCH(B1822,'Hộ gia đình'!$A$2:$A$2000,0)),"Mã hộ không tồn tại"))</f>
        <v/>
      </c>
      <c r="K1822" s="14"/>
      <c r="L1822" s="14"/>
      <c r="M1822" s="6"/>
      <c r="N1822" s="6"/>
      <c r="O1822" s="6"/>
      <c r="P1822" s="6"/>
      <c r="Q1822" s="6"/>
      <c r="R1822" s="12"/>
    </row>
    <row r="1823" customFormat="false" ht="15" hidden="false" customHeight="true" outlineLevel="0" collapsed="false">
      <c r="A1823" s="6"/>
      <c r="B1823" s="6"/>
      <c r="C1823" s="6"/>
      <c r="D1823" s="6"/>
      <c r="E1823" s="13"/>
      <c r="F1823" s="6"/>
      <c r="G1823" s="11" t="str">
        <f aca="true">IF(F1823="","",YEAR(TODAY())-F1823)</f>
        <v/>
      </c>
      <c r="H1823" s="11" t="str">
        <f aca="false">IF(C1823="","",IF(G1823="","Thiếu thông tin",IF(G1823&lt;6,"Trẻ em",IF(G1823&lt;23,"Học sinh / Sinh viên",IF(G1823&lt;60,"Đang đi làm","Nghỉ hưu")))))</f>
        <v/>
      </c>
      <c r="I1823" s="6"/>
      <c r="J1823" s="11" t="str">
        <f aca="false">IF(B1823="","",IFERROR(INDEX('Hộ gia đình'!$B$2:$B$2000,MATCH(B1823,'Hộ gia đình'!$A$2:$A$2000,0)),"Mã hộ không tồn tại"))</f>
        <v/>
      </c>
      <c r="K1823" s="14"/>
      <c r="L1823" s="14"/>
      <c r="M1823" s="6"/>
      <c r="N1823" s="6"/>
      <c r="O1823" s="6"/>
      <c r="P1823" s="6"/>
      <c r="Q1823" s="6"/>
      <c r="R1823" s="12"/>
    </row>
    <row r="1824" customFormat="false" ht="15" hidden="false" customHeight="true" outlineLevel="0" collapsed="false">
      <c r="A1824" s="6"/>
      <c r="B1824" s="6"/>
      <c r="C1824" s="6"/>
      <c r="D1824" s="6"/>
      <c r="E1824" s="13"/>
      <c r="F1824" s="6"/>
      <c r="G1824" s="11" t="str">
        <f aca="true">IF(F1824="","",YEAR(TODAY())-F1824)</f>
        <v/>
      </c>
      <c r="H1824" s="11" t="str">
        <f aca="false">IF(C1824="","",IF(G1824="","Thiếu thông tin",IF(G1824&lt;6,"Trẻ em",IF(G1824&lt;23,"Học sinh / Sinh viên",IF(G1824&lt;60,"Đang đi làm","Nghỉ hưu")))))</f>
        <v/>
      </c>
      <c r="I1824" s="6"/>
      <c r="J1824" s="11" t="str">
        <f aca="false">IF(B1824="","",IFERROR(INDEX('Hộ gia đình'!$B$2:$B$2000,MATCH(B1824,'Hộ gia đình'!$A$2:$A$2000,0)),"Mã hộ không tồn tại"))</f>
        <v/>
      </c>
      <c r="K1824" s="14"/>
      <c r="L1824" s="14"/>
      <c r="M1824" s="6"/>
      <c r="N1824" s="6"/>
      <c r="O1824" s="6"/>
      <c r="P1824" s="6"/>
      <c r="Q1824" s="6"/>
      <c r="R1824" s="12"/>
    </row>
    <row r="1825" customFormat="false" ht="15" hidden="false" customHeight="true" outlineLevel="0" collapsed="false">
      <c r="A1825" s="6"/>
      <c r="B1825" s="6"/>
      <c r="C1825" s="6"/>
      <c r="D1825" s="6"/>
      <c r="E1825" s="13"/>
      <c r="F1825" s="6"/>
      <c r="G1825" s="11" t="str">
        <f aca="true">IF(F1825="","",YEAR(TODAY())-F1825)</f>
        <v/>
      </c>
      <c r="H1825" s="11" t="str">
        <f aca="false">IF(C1825="","",IF(G1825="","Thiếu thông tin",IF(G1825&lt;6,"Trẻ em",IF(G1825&lt;23,"Học sinh / Sinh viên",IF(G1825&lt;60,"Đang đi làm","Nghỉ hưu")))))</f>
        <v/>
      </c>
      <c r="I1825" s="6"/>
      <c r="J1825" s="11" t="str">
        <f aca="false">IF(B1825="","",IFERROR(INDEX('Hộ gia đình'!$B$2:$B$2000,MATCH(B1825,'Hộ gia đình'!$A$2:$A$2000,0)),"Mã hộ không tồn tại"))</f>
        <v/>
      </c>
      <c r="K1825" s="14"/>
      <c r="L1825" s="14"/>
      <c r="M1825" s="6"/>
      <c r="N1825" s="6"/>
      <c r="O1825" s="6"/>
      <c r="P1825" s="6"/>
      <c r="Q1825" s="6"/>
      <c r="R1825" s="12"/>
    </row>
    <row r="1826" customFormat="false" ht="15" hidden="false" customHeight="true" outlineLevel="0" collapsed="false">
      <c r="A1826" s="6"/>
      <c r="B1826" s="6"/>
      <c r="C1826" s="6"/>
      <c r="D1826" s="6"/>
      <c r="E1826" s="13"/>
      <c r="F1826" s="6"/>
      <c r="G1826" s="11" t="str">
        <f aca="true">IF(F1826="","",YEAR(TODAY())-F1826)</f>
        <v/>
      </c>
      <c r="H1826" s="11" t="str">
        <f aca="false">IF(C1826="","",IF(G1826="","Thiếu thông tin",IF(G1826&lt;6,"Trẻ em",IF(G1826&lt;23,"Học sinh / Sinh viên",IF(G1826&lt;60,"Đang đi làm","Nghỉ hưu")))))</f>
        <v/>
      </c>
      <c r="I1826" s="6"/>
      <c r="J1826" s="11" t="str">
        <f aca="false">IF(B1826="","",IFERROR(INDEX('Hộ gia đình'!$B$2:$B$2000,MATCH(B1826,'Hộ gia đình'!$A$2:$A$2000,0)),"Mã hộ không tồn tại"))</f>
        <v/>
      </c>
      <c r="K1826" s="14"/>
      <c r="L1826" s="14"/>
      <c r="M1826" s="6"/>
      <c r="N1826" s="6"/>
      <c r="O1826" s="6"/>
      <c r="P1826" s="6"/>
      <c r="Q1826" s="6"/>
      <c r="R1826" s="12"/>
    </row>
    <row r="1827" customFormat="false" ht="15" hidden="false" customHeight="true" outlineLevel="0" collapsed="false">
      <c r="A1827" s="6"/>
      <c r="B1827" s="6"/>
      <c r="C1827" s="6"/>
      <c r="D1827" s="6"/>
      <c r="E1827" s="13"/>
      <c r="F1827" s="6"/>
      <c r="G1827" s="11" t="str">
        <f aca="true">IF(F1827="","",YEAR(TODAY())-F1827)</f>
        <v/>
      </c>
      <c r="H1827" s="11" t="str">
        <f aca="false">IF(C1827="","",IF(G1827="","Thiếu thông tin",IF(G1827&lt;6,"Trẻ em",IF(G1827&lt;23,"Học sinh / Sinh viên",IF(G1827&lt;60,"Đang đi làm","Nghỉ hưu")))))</f>
        <v/>
      </c>
      <c r="I1827" s="6"/>
      <c r="J1827" s="11" t="str">
        <f aca="false">IF(B1827="","",IFERROR(INDEX('Hộ gia đình'!$B$2:$B$2000,MATCH(B1827,'Hộ gia đình'!$A$2:$A$2000,0)),"Mã hộ không tồn tại"))</f>
        <v/>
      </c>
      <c r="K1827" s="14"/>
      <c r="L1827" s="14"/>
      <c r="M1827" s="6"/>
      <c r="N1827" s="6"/>
      <c r="O1827" s="6"/>
      <c r="P1827" s="6"/>
      <c r="Q1827" s="6"/>
      <c r="R1827" s="12"/>
    </row>
    <row r="1828" customFormat="false" ht="15" hidden="false" customHeight="true" outlineLevel="0" collapsed="false">
      <c r="A1828" s="6"/>
      <c r="B1828" s="6"/>
      <c r="C1828" s="6"/>
      <c r="D1828" s="6"/>
      <c r="E1828" s="13"/>
      <c r="F1828" s="6"/>
      <c r="G1828" s="11" t="str">
        <f aca="true">IF(F1828="","",YEAR(TODAY())-F1828)</f>
        <v/>
      </c>
      <c r="H1828" s="11" t="str">
        <f aca="false">IF(C1828="","",IF(G1828="","Thiếu thông tin",IF(G1828&lt;6,"Trẻ em",IF(G1828&lt;23,"Học sinh / Sinh viên",IF(G1828&lt;60,"Đang đi làm","Nghỉ hưu")))))</f>
        <v/>
      </c>
      <c r="I1828" s="6"/>
      <c r="J1828" s="11" t="str">
        <f aca="false">IF(B1828="","",IFERROR(INDEX('Hộ gia đình'!$B$2:$B$2000,MATCH(B1828,'Hộ gia đình'!$A$2:$A$2000,0)),"Mã hộ không tồn tại"))</f>
        <v/>
      </c>
      <c r="K1828" s="14"/>
      <c r="L1828" s="14"/>
      <c r="M1828" s="6"/>
      <c r="N1828" s="6"/>
      <c r="O1828" s="6"/>
      <c r="P1828" s="6"/>
      <c r="Q1828" s="6"/>
      <c r="R1828" s="12"/>
    </row>
    <row r="1829" customFormat="false" ht="15" hidden="false" customHeight="true" outlineLevel="0" collapsed="false">
      <c r="A1829" s="6"/>
      <c r="B1829" s="6"/>
      <c r="C1829" s="6"/>
      <c r="D1829" s="6"/>
      <c r="E1829" s="13"/>
      <c r="F1829" s="6"/>
      <c r="G1829" s="11" t="str">
        <f aca="true">IF(F1829="","",YEAR(TODAY())-F1829)</f>
        <v/>
      </c>
      <c r="H1829" s="11" t="str">
        <f aca="false">IF(C1829="","",IF(G1829="","Thiếu thông tin",IF(G1829&lt;6,"Trẻ em",IF(G1829&lt;23,"Học sinh / Sinh viên",IF(G1829&lt;60,"Đang đi làm","Nghỉ hưu")))))</f>
        <v/>
      </c>
      <c r="I1829" s="6"/>
      <c r="J1829" s="11" t="str">
        <f aca="false">IF(B1829="","",IFERROR(INDEX('Hộ gia đình'!$B$2:$B$2000,MATCH(B1829,'Hộ gia đình'!$A$2:$A$2000,0)),"Mã hộ không tồn tại"))</f>
        <v/>
      </c>
      <c r="K1829" s="14"/>
      <c r="L1829" s="14"/>
      <c r="M1829" s="6"/>
      <c r="N1829" s="6"/>
      <c r="O1829" s="6"/>
      <c r="P1829" s="6"/>
      <c r="Q1829" s="6"/>
      <c r="R1829" s="12"/>
    </row>
    <row r="1830" customFormat="false" ht="15" hidden="false" customHeight="true" outlineLevel="0" collapsed="false">
      <c r="A1830" s="6"/>
      <c r="B1830" s="6"/>
      <c r="C1830" s="6"/>
      <c r="D1830" s="6"/>
      <c r="E1830" s="13"/>
      <c r="F1830" s="6"/>
      <c r="G1830" s="11" t="str">
        <f aca="true">IF(F1830="","",YEAR(TODAY())-F1830)</f>
        <v/>
      </c>
      <c r="H1830" s="11" t="str">
        <f aca="false">IF(C1830="","",IF(G1830="","Thiếu thông tin",IF(G1830&lt;6,"Trẻ em",IF(G1830&lt;23,"Học sinh / Sinh viên",IF(G1830&lt;60,"Đang đi làm","Nghỉ hưu")))))</f>
        <v/>
      </c>
      <c r="I1830" s="6"/>
      <c r="J1830" s="11" t="str">
        <f aca="false">IF(B1830="","",IFERROR(INDEX('Hộ gia đình'!$B$2:$B$2000,MATCH(B1830,'Hộ gia đình'!$A$2:$A$2000,0)),"Mã hộ không tồn tại"))</f>
        <v/>
      </c>
      <c r="K1830" s="14"/>
      <c r="L1830" s="14"/>
      <c r="M1830" s="6"/>
      <c r="N1830" s="6"/>
      <c r="O1830" s="6"/>
      <c r="P1830" s="6"/>
      <c r="Q1830" s="6"/>
      <c r="R1830" s="12"/>
    </row>
    <row r="1831" customFormat="false" ht="15" hidden="false" customHeight="true" outlineLevel="0" collapsed="false">
      <c r="A1831" s="6"/>
      <c r="B1831" s="6"/>
      <c r="C1831" s="6"/>
      <c r="D1831" s="6"/>
      <c r="E1831" s="13"/>
      <c r="F1831" s="6"/>
      <c r="G1831" s="11" t="str">
        <f aca="true">IF(F1831="","",YEAR(TODAY())-F1831)</f>
        <v/>
      </c>
      <c r="H1831" s="11" t="str">
        <f aca="false">IF(C1831="","",IF(G1831="","Thiếu thông tin",IF(G1831&lt;6,"Trẻ em",IF(G1831&lt;23,"Học sinh / Sinh viên",IF(G1831&lt;60,"Đang đi làm","Nghỉ hưu")))))</f>
        <v/>
      </c>
      <c r="I1831" s="6"/>
      <c r="J1831" s="11" t="str">
        <f aca="false">IF(B1831="","",IFERROR(INDEX('Hộ gia đình'!$B$2:$B$2000,MATCH(B1831,'Hộ gia đình'!$A$2:$A$2000,0)),"Mã hộ không tồn tại"))</f>
        <v/>
      </c>
      <c r="K1831" s="14"/>
      <c r="L1831" s="14"/>
      <c r="M1831" s="6"/>
      <c r="N1831" s="6"/>
      <c r="O1831" s="6"/>
      <c r="P1831" s="6"/>
      <c r="Q1831" s="6"/>
      <c r="R1831" s="12"/>
    </row>
    <row r="1832" customFormat="false" ht="15" hidden="false" customHeight="true" outlineLevel="0" collapsed="false">
      <c r="A1832" s="6"/>
      <c r="B1832" s="6"/>
      <c r="C1832" s="6"/>
      <c r="D1832" s="6"/>
      <c r="E1832" s="13"/>
      <c r="F1832" s="6"/>
      <c r="G1832" s="11" t="str">
        <f aca="true">IF(F1832="","",YEAR(TODAY())-F1832)</f>
        <v/>
      </c>
      <c r="H1832" s="11" t="str">
        <f aca="false">IF(C1832="","",IF(G1832="","Thiếu thông tin",IF(G1832&lt;6,"Trẻ em",IF(G1832&lt;23,"Học sinh / Sinh viên",IF(G1832&lt;60,"Đang đi làm","Nghỉ hưu")))))</f>
        <v/>
      </c>
      <c r="I1832" s="6"/>
      <c r="J1832" s="11" t="str">
        <f aca="false">IF(B1832="","",IFERROR(INDEX('Hộ gia đình'!$B$2:$B$2000,MATCH(B1832,'Hộ gia đình'!$A$2:$A$2000,0)),"Mã hộ không tồn tại"))</f>
        <v/>
      </c>
      <c r="K1832" s="14"/>
      <c r="L1832" s="14"/>
      <c r="M1832" s="6"/>
      <c r="N1832" s="6"/>
      <c r="O1832" s="6"/>
      <c r="P1832" s="6"/>
      <c r="Q1832" s="6"/>
      <c r="R1832" s="12"/>
    </row>
    <row r="1833" customFormat="false" ht="15" hidden="false" customHeight="true" outlineLevel="0" collapsed="false">
      <c r="A1833" s="6"/>
      <c r="B1833" s="6"/>
      <c r="C1833" s="6"/>
      <c r="D1833" s="6"/>
      <c r="E1833" s="13"/>
      <c r="F1833" s="6"/>
      <c r="G1833" s="11" t="str">
        <f aca="true">IF(F1833="","",YEAR(TODAY())-F1833)</f>
        <v/>
      </c>
      <c r="H1833" s="11" t="str">
        <f aca="false">IF(C1833="","",IF(G1833="","Thiếu thông tin",IF(G1833&lt;6,"Trẻ em",IF(G1833&lt;23,"Học sinh / Sinh viên",IF(G1833&lt;60,"Đang đi làm","Nghỉ hưu")))))</f>
        <v/>
      </c>
      <c r="I1833" s="6"/>
      <c r="J1833" s="11" t="str">
        <f aca="false">IF(B1833="","",IFERROR(INDEX('Hộ gia đình'!$B$2:$B$2000,MATCH(B1833,'Hộ gia đình'!$A$2:$A$2000,0)),"Mã hộ không tồn tại"))</f>
        <v/>
      </c>
      <c r="K1833" s="14"/>
      <c r="L1833" s="14"/>
      <c r="M1833" s="6"/>
      <c r="N1833" s="6"/>
      <c r="O1833" s="6"/>
      <c r="P1833" s="6"/>
      <c r="Q1833" s="6"/>
      <c r="R1833" s="12"/>
    </row>
    <row r="1834" customFormat="false" ht="15" hidden="false" customHeight="true" outlineLevel="0" collapsed="false">
      <c r="A1834" s="6"/>
      <c r="B1834" s="6"/>
      <c r="C1834" s="6"/>
      <c r="D1834" s="6"/>
      <c r="E1834" s="13"/>
      <c r="F1834" s="6"/>
      <c r="G1834" s="11" t="str">
        <f aca="true">IF(F1834="","",YEAR(TODAY())-F1834)</f>
        <v/>
      </c>
      <c r="H1834" s="11" t="str">
        <f aca="false">IF(C1834="","",IF(G1834="","Thiếu thông tin",IF(G1834&lt;6,"Trẻ em",IF(G1834&lt;23,"Học sinh / Sinh viên",IF(G1834&lt;60,"Đang đi làm","Nghỉ hưu")))))</f>
        <v/>
      </c>
      <c r="I1834" s="6"/>
      <c r="J1834" s="11" t="str">
        <f aca="false">IF(B1834="","",IFERROR(INDEX('Hộ gia đình'!$B$2:$B$2000,MATCH(B1834,'Hộ gia đình'!$A$2:$A$2000,0)),"Mã hộ không tồn tại"))</f>
        <v/>
      </c>
      <c r="K1834" s="14"/>
      <c r="L1834" s="14"/>
      <c r="M1834" s="6"/>
      <c r="N1834" s="6"/>
      <c r="O1834" s="6"/>
      <c r="P1834" s="6"/>
      <c r="Q1834" s="6"/>
      <c r="R1834" s="12"/>
    </row>
    <row r="1835" customFormat="false" ht="15" hidden="false" customHeight="true" outlineLevel="0" collapsed="false">
      <c r="A1835" s="6"/>
      <c r="B1835" s="6"/>
      <c r="C1835" s="6"/>
      <c r="D1835" s="6"/>
      <c r="E1835" s="13"/>
      <c r="F1835" s="6"/>
      <c r="G1835" s="11" t="str">
        <f aca="true">IF(F1835="","",YEAR(TODAY())-F1835)</f>
        <v/>
      </c>
      <c r="H1835" s="11" t="str">
        <f aca="false">IF(C1835="","",IF(G1835="","Thiếu thông tin",IF(G1835&lt;6,"Trẻ em",IF(G1835&lt;23,"Học sinh / Sinh viên",IF(G1835&lt;60,"Đang đi làm","Nghỉ hưu")))))</f>
        <v/>
      </c>
      <c r="I1835" s="6"/>
      <c r="J1835" s="11" t="str">
        <f aca="false">IF(B1835="","",IFERROR(INDEX('Hộ gia đình'!$B$2:$B$2000,MATCH(B1835,'Hộ gia đình'!$A$2:$A$2000,0)),"Mã hộ không tồn tại"))</f>
        <v/>
      </c>
      <c r="K1835" s="14"/>
      <c r="L1835" s="14"/>
      <c r="M1835" s="6"/>
      <c r="N1835" s="6"/>
      <c r="O1835" s="6"/>
      <c r="P1835" s="6"/>
      <c r="Q1835" s="6"/>
      <c r="R1835" s="12"/>
    </row>
    <row r="1836" customFormat="false" ht="15" hidden="false" customHeight="true" outlineLevel="0" collapsed="false">
      <c r="A1836" s="6"/>
      <c r="B1836" s="6"/>
      <c r="C1836" s="6"/>
      <c r="D1836" s="6"/>
      <c r="E1836" s="13"/>
      <c r="F1836" s="6"/>
      <c r="G1836" s="11" t="str">
        <f aca="true">IF(F1836="","",YEAR(TODAY())-F1836)</f>
        <v/>
      </c>
      <c r="H1836" s="11" t="str">
        <f aca="false">IF(C1836="","",IF(G1836="","Thiếu thông tin",IF(G1836&lt;6,"Trẻ em",IF(G1836&lt;23,"Học sinh / Sinh viên",IF(G1836&lt;60,"Đang đi làm","Nghỉ hưu")))))</f>
        <v/>
      </c>
      <c r="I1836" s="6"/>
      <c r="J1836" s="11" t="str">
        <f aca="false">IF(B1836="","",IFERROR(INDEX('Hộ gia đình'!$B$2:$B$2000,MATCH(B1836,'Hộ gia đình'!$A$2:$A$2000,0)),"Mã hộ không tồn tại"))</f>
        <v/>
      </c>
      <c r="K1836" s="14"/>
      <c r="L1836" s="14"/>
      <c r="M1836" s="6"/>
      <c r="N1836" s="6"/>
      <c r="O1836" s="6"/>
      <c r="P1836" s="6"/>
      <c r="Q1836" s="6"/>
      <c r="R1836" s="12"/>
    </row>
    <row r="1837" customFormat="false" ht="15" hidden="false" customHeight="true" outlineLevel="0" collapsed="false">
      <c r="A1837" s="6"/>
      <c r="B1837" s="6"/>
      <c r="C1837" s="6"/>
      <c r="D1837" s="6"/>
      <c r="E1837" s="13"/>
      <c r="F1837" s="6"/>
      <c r="G1837" s="11" t="str">
        <f aca="true">IF(F1837="","",YEAR(TODAY())-F1837)</f>
        <v/>
      </c>
      <c r="H1837" s="11" t="str">
        <f aca="false">IF(C1837="","",IF(G1837="","Thiếu thông tin",IF(G1837&lt;6,"Trẻ em",IF(G1837&lt;23,"Học sinh / Sinh viên",IF(G1837&lt;60,"Đang đi làm","Nghỉ hưu")))))</f>
        <v/>
      </c>
      <c r="I1837" s="6"/>
      <c r="J1837" s="11" t="str">
        <f aca="false">IF(B1837="","",IFERROR(INDEX('Hộ gia đình'!$B$2:$B$2000,MATCH(B1837,'Hộ gia đình'!$A$2:$A$2000,0)),"Mã hộ không tồn tại"))</f>
        <v/>
      </c>
      <c r="K1837" s="14"/>
      <c r="L1837" s="14"/>
      <c r="M1837" s="6"/>
      <c r="N1837" s="6"/>
      <c r="O1837" s="6"/>
      <c r="P1837" s="6"/>
      <c r="Q1837" s="6"/>
      <c r="R1837" s="12"/>
    </row>
    <row r="1838" customFormat="false" ht="15" hidden="false" customHeight="true" outlineLevel="0" collapsed="false">
      <c r="A1838" s="6"/>
      <c r="B1838" s="6"/>
      <c r="C1838" s="6"/>
      <c r="D1838" s="6"/>
      <c r="E1838" s="13"/>
      <c r="F1838" s="6"/>
      <c r="G1838" s="11" t="str">
        <f aca="true">IF(F1838="","",YEAR(TODAY())-F1838)</f>
        <v/>
      </c>
      <c r="H1838" s="11" t="str">
        <f aca="false">IF(C1838="","",IF(G1838="","Thiếu thông tin",IF(G1838&lt;6,"Trẻ em",IF(G1838&lt;23,"Học sinh / Sinh viên",IF(G1838&lt;60,"Đang đi làm","Nghỉ hưu")))))</f>
        <v/>
      </c>
      <c r="I1838" s="6"/>
      <c r="J1838" s="11" t="str">
        <f aca="false">IF(B1838="","",IFERROR(INDEX('Hộ gia đình'!$B$2:$B$2000,MATCH(B1838,'Hộ gia đình'!$A$2:$A$2000,0)),"Mã hộ không tồn tại"))</f>
        <v/>
      </c>
      <c r="K1838" s="14"/>
      <c r="L1838" s="14"/>
      <c r="M1838" s="6"/>
      <c r="N1838" s="6"/>
      <c r="O1838" s="6"/>
      <c r="P1838" s="6"/>
      <c r="Q1838" s="6"/>
      <c r="R1838" s="12"/>
    </row>
    <row r="1839" customFormat="false" ht="15" hidden="false" customHeight="true" outlineLevel="0" collapsed="false">
      <c r="A1839" s="6"/>
      <c r="B1839" s="6"/>
      <c r="C1839" s="6"/>
      <c r="D1839" s="6"/>
      <c r="E1839" s="13"/>
      <c r="F1839" s="6"/>
      <c r="G1839" s="11" t="str">
        <f aca="true">IF(F1839="","",YEAR(TODAY())-F1839)</f>
        <v/>
      </c>
      <c r="H1839" s="11" t="str">
        <f aca="false">IF(C1839="","",IF(G1839="","Thiếu thông tin",IF(G1839&lt;6,"Trẻ em",IF(G1839&lt;23,"Học sinh / Sinh viên",IF(G1839&lt;60,"Đang đi làm","Nghỉ hưu")))))</f>
        <v/>
      </c>
      <c r="I1839" s="6"/>
      <c r="J1839" s="11" t="str">
        <f aca="false">IF(B1839="","",IFERROR(INDEX('Hộ gia đình'!$B$2:$B$2000,MATCH(B1839,'Hộ gia đình'!$A$2:$A$2000,0)),"Mã hộ không tồn tại"))</f>
        <v/>
      </c>
      <c r="K1839" s="14"/>
      <c r="L1839" s="14"/>
      <c r="M1839" s="6"/>
      <c r="N1839" s="6"/>
      <c r="O1839" s="6"/>
      <c r="P1839" s="6"/>
      <c r="Q1839" s="6"/>
      <c r="R1839" s="12"/>
    </row>
    <row r="1840" customFormat="false" ht="15" hidden="false" customHeight="true" outlineLevel="0" collapsed="false">
      <c r="A1840" s="6"/>
      <c r="B1840" s="6"/>
      <c r="C1840" s="6"/>
      <c r="D1840" s="6"/>
      <c r="E1840" s="13"/>
      <c r="F1840" s="6"/>
      <c r="G1840" s="11" t="str">
        <f aca="true">IF(F1840="","",YEAR(TODAY())-F1840)</f>
        <v/>
      </c>
      <c r="H1840" s="11" t="str">
        <f aca="false">IF(C1840="","",IF(G1840="","Thiếu thông tin",IF(G1840&lt;6,"Trẻ em",IF(G1840&lt;23,"Học sinh / Sinh viên",IF(G1840&lt;60,"Đang đi làm","Nghỉ hưu")))))</f>
        <v/>
      </c>
      <c r="I1840" s="6"/>
      <c r="J1840" s="11" t="str">
        <f aca="false">IF(B1840="","",IFERROR(INDEX('Hộ gia đình'!$B$2:$B$2000,MATCH(B1840,'Hộ gia đình'!$A$2:$A$2000,0)),"Mã hộ không tồn tại"))</f>
        <v/>
      </c>
      <c r="K1840" s="14"/>
      <c r="L1840" s="14"/>
      <c r="M1840" s="6"/>
      <c r="N1840" s="6"/>
      <c r="O1840" s="6"/>
      <c r="P1840" s="6"/>
      <c r="Q1840" s="6"/>
      <c r="R1840" s="12"/>
    </row>
    <row r="1841" customFormat="false" ht="15" hidden="false" customHeight="true" outlineLevel="0" collapsed="false">
      <c r="A1841" s="6"/>
      <c r="B1841" s="6"/>
      <c r="C1841" s="6"/>
      <c r="D1841" s="6"/>
      <c r="E1841" s="13"/>
      <c r="F1841" s="6"/>
      <c r="G1841" s="11" t="str">
        <f aca="true">IF(F1841="","",YEAR(TODAY())-F1841)</f>
        <v/>
      </c>
      <c r="H1841" s="11" t="str">
        <f aca="false">IF(C1841="","",IF(G1841="","Thiếu thông tin",IF(G1841&lt;6,"Trẻ em",IF(G1841&lt;23,"Học sinh / Sinh viên",IF(G1841&lt;60,"Đang đi làm","Nghỉ hưu")))))</f>
        <v/>
      </c>
      <c r="I1841" s="6"/>
      <c r="J1841" s="11" t="str">
        <f aca="false">IF(B1841="","",IFERROR(INDEX('Hộ gia đình'!$B$2:$B$2000,MATCH(B1841,'Hộ gia đình'!$A$2:$A$2000,0)),"Mã hộ không tồn tại"))</f>
        <v/>
      </c>
      <c r="K1841" s="14"/>
      <c r="L1841" s="14"/>
      <c r="M1841" s="6"/>
      <c r="N1841" s="6"/>
      <c r="O1841" s="6"/>
      <c r="P1841" s="6"/>
      <c r="Q1841" s="6"/>
      <c r="R1841" s="12"/>
    </row>
    <row r="1842" customFormat="false" ht="15" hidden="false" customHeight="true" outlineLevel="0" collapsed="false">
      <c r="A1842" s="6"/>
      <c r="B1842" s="6"/>
      <c r="C1842" s="6"/>
      <c r="D1842" s="6"/>
      <c r="E1842" s="13"/>
      <c r="F1842" s="6"/>
      <c r="G1842" s="11" t="str">
        <f aca="true">IF(F1842="","",YEAR(TODAY())-F1842)</f>
        <v/>
      </c>
      <c r="H1842" s="11" t="str">
        <f aca="false">IF(C1842="","",IF(G1842="","Thiếu thông tin",IF(G1842&lt;6,"Trẻ em",IF(G1842&lt;23,"Học sinh / Sinh viên",IF(G1842&lt;60,"Đang đi làm","Nghỉ hưu")))))</f>
        <v/>
      </c>
      <c r="I1842" s="6"/>
      <c r="J1842" s="11" t="str">
        <f aca="false">IF(B1842="","",IFERROR(INDEX('Hộ gia đình'!$B$2:$B$2000,MATCH(B1842,'Hộ gia đình'!$A$2:$A$2000,0)),"Mã hộ không tồn tại"))</f>
        <v/>
      </c>
      <c r="K1842" s="14"/>
      <c r="L1842" s="14"/>
      <c r="M1842" s="6"/>
      <c r="N1842" s="6"/>
      <c r="O1842" s="6"/>
      <c r="P1842" s="6"/>
      <c r="Q1842" s="6"/>
      <c r="R1842" s="12"/>
    </row>
    <row r="1843" customFormat="false" ht="15" hidden="false" customHeight="true" outlineLevel="0" collapsed="false">
      <c r="A1843" s="6"/>
      <c r="B1843" s="6"/>
      <c r="C1843" s="6"/>
      <c r="D1843" s="6"/>
      <c r="E1843" s="13"/>
      <c r="F1843" s="6"/>
      <c r="G1843" s="11" t="str">
        <f aca="true">IF(F1843="","",YEAR(TODAY())-F1843)</f>
        <v/>
      </c>
      <c r="H1843" s="11" t="str">
        <f aca="false">IF(C1843="","",IF(G1843="","Thiếu thông tin",IF(G1843&lt;6,"Trẻ em",IF(G1843&lt;23,"Học sinh / Sinh viên",IF(G1843&lt;60,"Đang đi làm","Nghỉ hưu")))))</f>
        <v/>
      </c>
      <c r="I1843" s="6"/>
      <c r="J1843" s="11" t="str">
        <f aca="false">IF(B1843="","",IFERROR(INDEX('Hộ gia đình'!$B$2:$B$2000,MATCH(B1843,'Hộ gia đình'!$A$2:$A$2000,0)),"Mã hộ không tồn tại"))</f>
        <v/>
      </c>
      <c r="K1843" s="14"/>
      <c r="L1843" s="14"/>
      <c r="M1843" s="6"/>
      <c r="N1843" s="6"/>
      <c r="O1843" s="6"/>
      <c r="P1843" s="6"/>
      <c r="Q1843" s="6"/>
      <c r="R1843" s="12"/>
    </row>
    <row r="1844" customFormat="false" ht="15" hidden="false" customHeight="true" outlineLevel="0" collapsed="false">
      <c r="A1844" s="6"/>
      <c r="B1844" s="6"/>
      <c r="C1844" s="6"/>
      <c r="D1844" s="6"/>
      <c r="E1844" s="13"/>
      <c r="F1844" s="6"/>
      <c r="G1844" s="11" t="str">
        <f aca="true">IF(F1844="","",YEAR(TODAY())-F1844)</f>
        <v/>
      </c>
      <c r="H1844" s="11" t="str">
        <f aca="false">IF(C1844="","",IF(G1844="","Thiếu thông tin",IF(G1844&lt;6,"Trẻ em",IF(G1844&lt;23,"Học sinh / Sinh viên",IF(G1844&lt;60,"Đang đi làm","Nghỉ hưu")))))</f>
        <v/>
      </c>
      <c r="I1844" s="6"/>
      <c r="J1844" s="11" t="str">
        <f aca="false">IF(B1844="","",IFERROR(INDEX('Hộ gia đình'!$B$2:$B$2000,MATCH(B1844,'Hộ gia đình'!$A$2:$A$2000,0)),"Mã hộ không tồn tại"))</f>
        <v/>
      </c>
      <c r="K1844" s="14"/>
      <c r="L1844" s="14"/>
      <c r="M1844" s="6"/>
      <c r="N1844" s="6"/>
      <c r="O1844" s="6"/>
      <c r="P1844" s="6"/>
      <c r="Q1844" s="6"/>
      <c r="R1844" s="12"/>
    </row>
    <row r="1845" customFormat="false" ht="15" hidden="false" customHeight="true" outlineLevel="0" collapsed="false">
      <c r="A1845" s="6"/>
      <c r="B1845" s="6"/>
      <c r="C1845" s="6"/>
      <c r="D1845" s="6"/>
      <c r="E1845" s="13"/>
      <c r="F1845" s="6"/>
      <c r="G1845" s="11" t="str">
        <f aca="true">IF(F1845="","",YEAR(TODAY())-F1845)</f>
        <v/>
      </c>
      <c r="H1845" s="11" t="str">
        <f aca="false">IF(C1845="","",IF(G1845="","Thiếu thông tin",IF(G1845&lt;6,"Trẻ em",IF(G1845&lt;23,"Học sinh / Sinh viên",IF(G1845&lt;60,"Đang đi làm","Nghỉ hưu")))))</f>
        <v/>
      </c>
      <c r="I1845" s="6"/>
      <c r="J1845" s="11" t="str">
        <f aca="false">IF(B1845="","",IFERROR(INDEX('Hộ gia đình'!$B$2:$B$2000,MATCH(B1845,'Hộ gia đình'!$A$2:$A$2000,0)),"Mã hộ không tồn tại"))</f>
        <v/>
      </c>
      <c r="K1845" s="14"/>
      <c r="L1845" s="14"/>
      <c r="M1845" s="6"/>
      <c r="N1845" s="6"/>
      <c r="O1845" s="6"/>
      <c r="P1845" s="6"/>
      <c r="Q1845" s="6"/>
      <c r="R1845" s="12"/>
    </row>
    <row r="1846" customFormat="false" ht="15" hidden="false" customHeight="true" outlineLevel="0" collapsed="false">
      <c r="A1846" s="6"/>
      <c r="B1846" s="6"/>
      <c r="C1846" s="6"/>
      <c r="D1846" s="6"/>
      <c r="E1846" s="13"/>
      <c r="F1846" s="6"/>
      <c r="G1846" s="11" t="str">
        <f aca="true">IF(F1846="","",YEAR(TODAY())-F1846)</f>
        <v/>
      </c>
      <c r="H1846" s="11" t="str">
        <f aca="false">IF(C1846="","",IF(G1846="","Thiếu thông tin",IF(G1846&lt;6,"Trẻ em",IF(G1846&lt;23,"Học sinh / Sinh viên",IF(G1846&lt;60,"Đang đi làm","Nghỉ hưu")))))</f>
        <v/>
      </c>
      <c r="I1846" s="6"/>
      <c r="J1846" s="11" t="str">
        <f aca="false">IF(B1846="","",IFERROR(INDEX('Hộ gia đình'!$B$2:$B$2000,MATCH(B1846,'Hộ gia đình'!$A$2:$A$2000,0)),"Mã hộ không tồn tại"))</f>
        <v/>
      </c>
      <c r="K1846" s="14"/>
      <c r="L1846" s="14"/>
      <c r="M1846" s="6"/>
      <c r="N1846" s="6"/>
      <c r="O1846" s="6"/>
      <c r="P1846" s="6"/>
      <c r="Q1846" s="6"/>
      <c r="R1846" s="12"/>
    </row>
    <row r="1847" customFormat="false" ht="15" hidden="false" customHeight="true" outlineLevel="0" collapsed="false">
      <c r="A1847" s="6"/>
      <c r="B1847" s="6"/>
      <c r="C1847" s="6"/>
      <c r="D1847" s="6"/>
      <c r="E1847" s="13"/>
      <c r="F1847" s="6"/>
      <c r="G1847" s="11" t="str">
        <f aca="true">IF(F1847="","",YEAR(TODAY())-F1847)</f>
        <v/>
      </c>
      <c r="H1847" s="11" t="str">
        <f aca="false">IF(C1847="","",IF(G1847="","Thiếu thông tin",IF(G1847&lt;6,"Trẻ em",IF(G1847&lt;23,"Học sinh / Sinh viên",IF(G1847&lt;60,"Đang đi làm","Nghỉ hưu")))))</f>
        <v/>
      </c>
      <c r="I1847" s="6"/>
      <c r="J1847" s="11" t="str">
        <f aca="false">IF(B1847="","",IFERROR(INDEX('Hộ gia đình'!$B$2:$B$2000,MATCH(B1847,'Hộ gia đình'!$A$2:$A$2000,0)),"Mã hộ không tồn tại"))</f>
        <v/>
      </c>
      <c r="K1847" s="14"/>
      <c r="L1847" s="14"/>
      <c r="M1847" s="6"/>
      <c r="N1847" s="6"/>
      <c r="O1847" s="6"/>
      <c r="P1847" s="6"/>
      <c r="Q1847" s="6"/>
      <c r="R1847" s="12"/>
    </row>
    <row r="1848" customFormat="false" ht="15" hidden="false" customHeight="true" outlineLevel="0" collapsed="false">
      <c r="A1848" s="6"/>
      <c r="B1848" s="6"/>
      <c r="C1848" s="6"/>
      <c r="D1848" s="6"/>
      <c r="E1848" s="13"/>
      <c r="F1848" s="6"/>
      <c r="G1848" s="11" t="str">
        <f aca="true">IF(F1848="","",YEAR(TODAY())-F1848)</f>
        <v/>
      </c>
      <c r="H1848" s="11" t="str">
        <f aca="false">IF(C1848="","",IF(G1848="","Thiếu thông tin",IF(G1848&lt;6,"Trẻ em",IF(G1848&lt;23,"Học sinh / Sinh viên",IF(G1848&lt;60,"Đang đi làm","Nghỉ hưu")))))</f>
        <v/>
      </c>
      <c r="I1848" s="6"/>
      <c r="J1848" s="11" t="str">
        <f aca="false">IF(B1848="","",IFERROR(INDEX('Hộ gia đình'!$B$2:$B$2000,MATCH(B1848,'Hộ gia đình'!$A$2:$A$2000,0)),"Mã hộ không tồn tại"))</f>
        <v/>
      </c>
      <c r="K1848" s="14"/>
      <c r="L1848" s="14"/>
      <c r="M1848" s="6"/>
      <c r="N1848" s="6"/>
      <c r="O1848" s="6"/>
      <c r="P1848" s="6"/>
      <c r="Q1848" s="6"/>
      <c r="R1848" s="12"/>
    </row>
    <row r="1849" customFormat="false" ht="15" hidden="false" customHeight="true" outlineLevel="0" collapsed="false">
      <c r="A1849" s="6"/>
      <c r="B1849" s="6"/>
      <c r="C1849" s="6"/>
      <c r="D1849" s="6"/>
      <c r="E1849" s="13"/>
      <c r="F1849" s="6"/>
      <c r="G1849" s="11" t="str">
        <f aca="true">IF(F1849="","",YEAR(TODAY())-F1849)</f>
        <v/>
      </c>
      <c r="H1849" s="11" t="str">
        <f aca="false">IF(C1849="","",IF(G1849="","Thiếu thông tin",IF(G1849&lt;6,"Trẻ em",IF(G1849&lt;23,"Học sinh / Sinh viên",IF(G1849&lt;60,"Đang đi làm","Nghỉ hưu")))))</f>
        <v/>
      </c>
      <c r="I1849" s="6"/>
      <c r="J1849" s="11" t="str">
        <f aca="false">IF(B1849="","",IFERROR(INDEX('Hộ gia đình'!$B$2:$B$2000,MATCH(B1849,'Hộ gia đình'!$A$2:$A$2000,0)),"Mã hộ không tồn tại"))</f>
        <v/>
      </c>
      <c r="K1849" s="14"/>
      <c r="L1849" s="14"/>
      <c r="M1849" s="6"/>
      <c r="N1849" s="6"/>
      <c r="O1849" s="6"/>
      <c r="P1849" s="6"/>
      <c r="Q1849" s="6"/>
      <c r="R1849" s="12"/>
    </row>
    <row r="1850" customFormat="false" ht="15" hidden="false" customHeight="true" outlineLevel="0" collapsed="false">
      <c r="A1850" s="6"/>
      <c r="B1850" s="6"/>
      <c r="C1850" s="6"/>
      <c r="D1850" s="6"/>
      <c r="E1850" s="13"/>
      <c r="F1850" s="6"/>
      <c r="G1850" s="11" t="str">
        <f aca="true">IF(F1850="","",YEAR(TODAY())-F1850)</f>
        <v/>
      </c>
      <c r="H1850" s="11" t="str">
        <f aca="false">IF(C1850="","",IF(G1850="","Thiếu thông tin",IF(G1850&lt;6,"Trẻ em",IF(G1850&lt;23,"Học sinh / Sinh viên",IF(G1850&lt;60,"Đang đi làm","Nghỉ hưu")))))</f>
        <v/>
      </c>
      <c r="I1850" s="6"/>
      <c r="J1850" s="11" t="str">
        <f aca="false">IF(B1850="","",IFERROR(INDEX('Hộ gia đình'!$B$2:$B$2000,MATCH(B1850,'Hộ gia đình'!$A$2:$A$2000,0)),"Mã hộ không tồn tại"))</f>
        <v/>
      </c>
      <c r="K1850" s="14"/>
      <c r="L1850" s="14"/>
      <c r="M1850" s="6"/>
      <c r="N1850" s="6"/>
      <c r="O1850" s="6"/>
      <c r="P1850" s="6"/>
      <c r="Q1850" s="6"/>
      <c r="R1850" s="12"/>
    </row>
    <row r="1851" customFormat="false" ht="15" hidden="false" customHeight="true" outlineLevel="0" collapsed="false">
      <c r="A1851" s="6"/>
      <c r="B1851" s="6"/>
      <c r="C1851" s="6"/>
      <c r="D1851" s="6"/>
      <c r="E1851" s="13"/>
      <c r="F1851" s="6"/>
      <c r="G1851" s="11" t="str">
        <f aca="true">IF(F1851="","",YEAR(TODAY())-F1851)</f>
        <v/>
      </c>
      <c r="H1851" s="11" t="str">
        <f aca="false">IF(C1851="","",IF(G1851="","Thiếu thông tin",IF(G1851&lt;6,"Trẻ em",IF(G1851&lt;23,"Học sinh / Sinh viên",IF(G1851&lt;60,"Đang đi làm","Nghỉ hưu")))))</f>
        <v/>
      </c>
      <c r="I1851" s="6"/>
      <c r="J1851" s="11" t="str">
        <f aca="false">IF(B1851="","",IFERROR(INDEX('Hộ gia đình'!$B$2:$B$2000,MATCH(B1851,'Hộ gia đình'!$A$2:$A$2000,0)),"Mã hộ không tồn tại"))</f>
        <v/>
      </c>
      <c r="K1851" s="14"/>
      <c r="L1851" s="14"/>
      <c r="M1851" s="6"/>
      <c r="N1851" s="6"/>
      <c r="O1851" s="6"/>
      <c r="P1851" s="6"/>
      <c r="Q1851" s="6"/>
      <c r="R1851" s="12"/>
    </row>
    <row r="1852" customFormat="false" ht="15" hidden="false" customHeight="true" outlineLevel="0" collapsed="false">
      <c r="A1852" s="6"/>
      <c r="B1852" s="6"/>
      <c r="C1852" s="6"/>
      <c r="D1852" s="6"/>
      <c r="E1852" s="13"/>
      <c r="F1852" s="6"/>
      <c r="G1852" s="11" t="str">
        <f aca="true">IF(F1852="","",YEAR(TODAY())-F1852)</f>
        <v/>
      </c>
      <c r="H1852" s="11" t="str">
        <f aca="false">IF(C1852="","",IF(G1852="","Thiếu thông tin",IF(G1852&lt;6,"Trẻ em",IF(G1852&lt;23,"Học sinh / Sinh viên",IF(G1852&lt;60,"Đang đi làm","Nghỉ hưu")))))</f>
        <v/>
      </c>
      <c r="I1852" s="6"/>
      <c r="J1852" s="11" t="str">
        <f aca="false">IF(B1852="","",IFERROR(INDEX('Hộ gia đình'!$B$2:$B$2000,MATCH(B1852,'Hộ gia đình'!$A$2:$A$2000,0)),"Mã hộ không tồn tại"))</f>
        <v/>
      </c>
      <c r="K1852" s="14"/>
      <c r="L1852" s="14"/>
      <c r="M1852" s="6"/>
      <c r="N1852" s="6"/>
      <c r="O1852" s="6"/>
      <c r="P1852" s="6"/>
      <c r="Q1852" s="6"/>
      <c r="R1852" s="12"/>
    </row>
    <row r="1853" customFormat="false" ht="15" hidden="false" customHeight="true" outlineLevel="0" collapsed="false">
      <c r="A1853" s="6"/>
      <c r="B1853" s="6"/>
      <c r="C1853" s="6"/>
      <c r="D1853" s="6"/>
      <c r="E1853" s="13"/>
      <c r="F1853" s="6"/>
      <c r="G1853" s="11" t="str">
        <f aca="true">IF(F1853="","",YEAR(TODAY())-F1853)</f>
        <v/>
      </c>
      <c r="H1853" s="11" t="str">
        <f aca="false">IF(C1853="","",IF(G1853="","Thiếu thông tin",IF(G1853&lt;6,"Trẻ em",IF(G1853&lt;23,"Học sinh / Sinh viên",IF(G1853&lt;60,"Đang đi làm","Nghỉ hưu")))))</f>
        <v/>
      </c>
      <c r="I1853" s="6"/>
      <c r="J1853" s="11" t="str">
        <f aca="false">IF(B1853="","",IFERROR(INDEX('Hộ gia đình'!$B$2:$B$2000,MATCH(B1853,'Hộ gia đình'!$A$2:$A$2000,0)),"Mã hộ không tồn tại"))</f>
        <v/>
      </c>
      <c r="K1853" s="14"/>
      <c r="L1853" s="14"/>
      <c r="M1853" s="6"/>
      <c r="N1853" s="6"/>
      <c r="O1853" s="6"/>
      <c r="P1853" s="6"/>
      <c r="Q1853" s="6"/>
      <c r="R1853" s="12"/>
    </row>
    <row r="1854" customFormat="false" ht="15" hidden="false" customHeight="true" outlineLevel="0" collapsed="false">
      <c r="A1854" s="6"/>
      <c r="B1854" s="6"/>
      <c r="C1854" s="6"/>
      <c r="D1854" s="6"/>
      <c r="E1854" s="13"/>
      <c r="F1854" s="6"/>
      <c r="G1854" s="11" t="str">
        <f aca="true">IF(F1854="","",YEAR(TODAY())-F1854)</f>
        <v/>
      </c>
      <c r="H1854" s="11" t="str">
        <f aca="false">IF(C1854="","",IF(G1854="","Thiếu thông tin",IF(G1854&lt;6,"Trẻ em",IF(G1854&lt;23,"Học sinh / Sinh viên",IF(G1854&lt;60,"Đang đi làm","Nghỉ hưu")))))</f>
        <v/>
      </c>
      <c r="I1854" s="6"/>
      <c r="J1854" s="11" t="str">
        <f aca="false">IF(B1854="","",IFERROR(INDEX('Hộ gia đình'!$B$2:$B$2000,MATCH(B1854,'Hộ gia đình'!$A$2:$A$2000,0)),"Mã hộ không tồn tại"))</f>
        <v/>
      </c>
      <c r="K1854" s="14"/>
      <c r="L1854" s="14"/>
      <c r="M1854" s="6"/>
      <c r="N1854" s="6"/>
      <c r="O1854" s="6"/>
      <c r="P1854" s="6"/>
      <c r="Q1854" s="6"/>
      <c r="R1854" s="12"/>
    </row>
    <row r="1855" customFormat="false" ht="15" hidden="false" customHeight="true" outlineLevel="0" collapsed="false">
      <c r="A1855" s="6"/>
      <c r="B1855" s="6"/>
      <c r="C1855" s="6"/>
      <c r="D1855" s="6"/>
      <c r="E1855" s="13"/>
      <c r="F1855" s="6"/>
      <c r="G1855" s="11" t="str">
        <f aca="true">IF(F1855="","",YEAR(TODAY())-F1855)</f>
        <v/>
      </c>
      <c r="H1855" s="11" t="str">
        <f aca="false">IF(C1855="","",IF(G1855="","Thiếu thông tin",IF(G1855&lt;6,"Trẻ em",IF(G1855&lt;23,"Học sinh / Sinh viên",IF(G1855&lt;60,"Đang đi làm","Nghỉ hưu")))))</f>
        <v/>
      </c>
      <c r="I1855" s="6"/>
      <c r="J1855" s="11" t="str">
        <f aca="false">IF(B1855="","",IFERROR(INDEX('Hộ gia đình'!$B$2:$B$2000,MATCH(B1855,'Hộ gia đình'!$A$2:$A$2000,0)),"Mã hộ không tồn tại"))</f>
        <v/>
      </c>
      <c r="K1855" s="14"/>
      <c r="L1855" s="14"/>
      <c r="M1855" s="6"/>
      <c r="N1855" s="6"/>
      <c r="O1855" s="6"/>
      <c r="P1855" s="6"/>
      <c r="Q1855" s="6"/>
      <c r="R1855" s="12"/>
    </row>
    <row r="1856" customFormat="false" ht="15" hidden="false" customHeight="true" outlineLevel="0" collapsed="false">
      <c r="A1856" s="6"/>
      <c r="B1856" s="6"/>
      <c r="C1856" s="6"/>
      <c r="D1856" s="6"/>
      <c r="E1856" s="13"/>
      <c r="F1856" s="6"/>
      <c r="G1856" s="11" t="str">
        <f aca="true">IF(F1856="","",YEAR(TODAY())-F1856)</f>
        <v/>
      </c>
      <c r="H1856" s="11" t="str">
        <f aca="false">IF(C1856="","",IF(G1856="","Thiếu thông tin",IF(G1856&lt;6,"Trẻ em",IF(G1856&lt;23,"Học sinh / Sinh viên",IF(G1856&lt;60,"Đang đi làm","Nghỉ hưu")))))</f>
        <v/>
      </c>
      <c r="I1856" s="6"/>
      <c r="J1856" s="11" t="str">
        <f aca="false">IF(B1856="","",IFERROR(INDEX('Hộ gia đình'!$B$2:$B$2000,MATCH(B1856,'Hộ gia đình'!$A$2:$A$2000,0)),"Mã hộ không tồn tại"))</f>
        <v/>
      </c>
      <c r="K1856" s="14"/>
      <c r="L1856" s="14"/>
      <c r="M1856" s="6"/>
      <c r="N1856" s="6"/>
      <c r="O1856" s="6"/>
      <c r="P1856" s="6"/>
      <c r="Q1856" s="6"/>
      <c r="R1856" s="12"/>
    </row>
    <row r="1857" customFormat="false" ht="15" hidden="false" customHeight="true" outlineLevel="0" collapsed="false">
      <c r="A1857" s="6"/>
      <c r="B1857" s="6"/>
      <c r="C1857" s="6"/>
      <c r="D1857" s="6"/>
      <c r="E1857" s="13"/>
      <c r="F1857" s="6"/>
      <c r="G1857" s="11" t="str">
        <f aca="true">IF(F1857="","",YEAR(TODAY())-F1857)</f>
        <v/>
      </c>
      <c r="H1857" s="11" t="str">
        <f aca="false">IF(C1857="","",IF(G1857="","Thiếu thông tin",IF(G1857&lt;6,"Trẻ em",IF(G1857&lt;23,"Học sinh / Sinh viên",IF(G1857&lt;60,"Đang đi làm","Nghỉ hưu")))))</f>
        <v/>
      </c>
      <c r="I1857" s="6"/>
      <c r="J1857" s="11" t="str">
        <f aca="false">IF(B1857="","",IFERROR(INDEX('Hộ gia đình'!$B$2:$B$2000,MATCH(B1857,'Hộ gia đình'!$A$2:$A$2000,0)),"Mã hộ không tồn tại"))</f>
        <v/>
      </c>
      <c r="K1857" s="14"/>
      <c r="L1857" s="14"/>
      <c r="M1857" s="6"/>
      <c r="N1857" s="6"/>
      <c r="O1857" s="6"/>
      <c r="P1857" s="6"/>
      <c r="Q1857" s="6"/>
      <c r="R1857" s="12"/>
    </row>
    <row r="1858" customFormat="false" ht="15" hidden="false" customHeight="true" outlineLevel="0" collapsed="false">
      <c r="A1858" s="6"/>
      <c r="B1858" s="6"/>
      <c r="C1858" s="6"/>
      <c r="D1858" s="6"/>
      <c r="E1858" s="13"/>
      <c r="F1858" s="6"/>
      <c r="G1858" s="11" t="str">
        <f aca="true">IF(F1858="","",YEAR(TODAY())-F1858)</f>
        <v/>
      </c>
      <c r="H1858" s="11" t="str">
        <f aca="false">IF(C1858="","",IF(G1858="","Thiếu thông tin",IF(G1858&lt;6,"Trẻ em",IF(G1858&lt;23,"Học sinh / Sinh viên",IF(G1858&lt;60,"Đang đi làm","Nghỉ hưu")))))</f>
        <v/>
      </c>
      <c r="I1858" s="6"/>
      <c r="J1858" s="11" t="str">
        <f aca="false">IF(B1858="","",IFERROR(INDEX('Hộ gia đình'!$B$2:$B$2000,MATCH(B1858,'Hộ gia đình'!$A$2:$A$2000,0)),"Mã hộ không tồn tại"))</f>
        <v/>
      </c>
      <c r="K1858" s="14"/>
      <c r="L1858" s="14"/>
      <c r="M1858" s="6"/>
      <c r="N1858" s="6"/>
      <c r="O1858" s="6"/>
      <c r="P1858" s="6"/>
      <c r="Q1858" s="6"/>
      <c r="R1858" s="12"/>
    </row>
    <row r="1859" customFormat="false" ht="15" hidden="false" customHeight="true" outlineLevel="0" collapsed="false">
      <c r="A1859" s="6"/>
      <c r="B1859" s="6"/>
      <c r="C1859" s="6"/>
      <c r="D1859" s="6"/>
      <c r="E1859" s="13"/>
      <c r="F1859" s="6"/>
      <c r="G1859" s="11" t="str">
        <f aca="true">IF(F1859="","",YEAR(TODAY())-F1859)</f>
        <v/>
      </c>
      <c r="H1859" s="11" t="str">
        <f aca="false">IF(C1859="","",IF(G1859="","Thiếu thông tin",IF(G1859&lt;6,"Trẻ em",IF(G1859&lt;23,"Học sinh / Sinh viên",IF(G1859&lt;60,"Đang đi làm","Nghỉ hưu")))))</f>
        <v/>
      </c>
      <c r="I1859" s="6"/>
      <c r="J1859" s="11" t="str">
        <f aca="false">IF(B1859="","",IFERROR(INDEX('Hộ gia đình'!$B$2:$B$2000,MATCH(B1859,'Hộ gia đình'!$A$2:$A$2000,0)),"Mã hộ không tồn tại"))</f>
        <v/>
      </c>
      <c r="K1859" s="14"/>
      <c r="L1859" s="14"/>
      <c r="M1859" s="6"/>
      <c r="N1859" s="6"/>
      <c r="O1859" s="6"/>
      <c r="P1859" s="6"/>
      <c r="Q1859" s="6"/>
      <c r="R1859" s="12"/>
    </row>
    <row r="1860" customFormat="false" ht="15" hidden="false" customHeight="true" outlineLevel="0" collapsed="false">
      <c r="A1860" s="6"/>
      <c r="B1860" s="6"/>
      <c r="C1860" s="6"/>
      <c r="D1860" s="6"/>
      <c r="E1860" s="13"/>
      <c r="F1860" s="6"/>
      <c r="G1860" s="11" t="str">
        <f aca="true">IF(F1860="","",YEAR(TODAY())-F1860)</f>
        <v/>
      </c>
      <c r="H1860" s="11" t="str">
        <f aca="false">IF(C1860="","",IF(G1860="","Thiếu thông tin",IF(G1860&lt;6,"Trẻ em",IF(G1860&lt;23,"Học sinh / Sinh viên",IF(G1860&lt;60,"Đang đi làm","Nghỉ hưu")))))</f>
        <v/>
      </c>
      <c r="I1860" s="6"/>
      <c r="J1860" s="11" t="str">
        <f aca="false">IF(B1860="","",IFERROR(INDEX('Hộ gia đình'!$B$2:$B$2000,MATCH(B1860,'Hộ gia đình'!$A$2:$A$2000,0)),"Mã hộ không tồn tại"))</f>
        <v/>
      </c>
      <c r="K1860" s="14"/>
      <c r="L1860" s="14"/>
      <c r="M1860" s="6"/>
      <c r="N1860" s="6"/>
      <c r="O1860" s="6"/>
      <c r="P1860" s="6"/>
      <c r="Q1860" s="6"/>
      <c r="R1860" s="12"/>
    </row>
    <row r="1861" customFormat="false" ht="15" hidden="false" customHeight="true" outlineLevel="0" collapsed="false">
      <c r="A1861" s="6"/>
      <c r="B1861" s="6"/>
      <c r="C1861" s="6"/>
      <c r="D1861" s="6"/>
      <c r="E1861" s="13"/>
      <c r="F1861" s="6"/>
      <c r="G1861" s="11" t="str">
        <f aca="true">IF(F1861="","",YEAR(TODAY())-F1861)</f>
        <v/>
      </c>
      <c r="H1861" s="11" t="str">
        <f aca="false">IF(C1861="","",IF(G1861="","Thiếu thông tin",IF(G1861&lt;6,"Trẻ em",IF(G1861&lt;23,"Học sinh / Sinh viên",IF(G1861&lt;60,"Đang đi làm","Nghỉ hưu")))))</f>
        <v/>
      </c>
      <c r="I1861" s="6"/>
      <c r="J1861" s="11" t="str">
        <f aca="false">IF(B1861="","",IFERROR(INDEX('Hộ gia đình'!$B$2:$B$2000,MATCH(B1861,'Hộ gia đình'!$A$2:$A$2000,0)),"Mã hộ không tồn tại"))</f>
        <v/>
      </c>
      <c r="K1861" s="14"/>
      <c r="L1861" s="14"/>
      <c r="M1861" s="6"/>
      <c r="N1861" s="6"/>
      <c r="O1861" s="6"/>
      <c r="P1861" s="6"/>
      <c r="Q1861" s="6"/>
      <c r="R1861" s="12"/>
    </row>
    <row r="1862" customFormat="false" ht="15" hidden="false" customHeight="true" outlineLevel="0" collapsed="false">
      <c r="A1862" s="6"/>
      <c r="B1862" s="6"/>
      <c r="C1862" s="6"/>
      <c r="D1862" s="6"/>
      <c r="E1862" s="13"/>
      <c r="F1862" s="6"/>
      <c r="G1862" s="11" t="str">
        <f aca="true">IF(F1862="","",YEAR(TODAY())-F1862)</f>
        <v/>
      </c>
      <c r="H1862" s="11" t="str">
        <f aca="false">IF(C1862="","",IF(G1862="","Thiếu thông tin",IF(G1862&lt;6,"Trẻ em",IF(G1862&lt;23,"Học sinh / Sinh viên",IF(G1862&lt;60,"Đang đi làm","Nghỉ hưu")))))</f>
        <v/>
      </c>
      <c r="I1862" s="6"/>
      <c r="J1862" s="11" t="str">
        <f aca="false">IF(B1862="","",IFERROR(INDEX('Hộ gia đình'!$B$2:$B$2000,MATCH(B1862,'Hộ gia đình'!$A$2:$A$2000,0)),"Mã hộ không tồn tại"))</f>
        <v/>
      </c>
      <c r="K1862" s="14"/>
      <c r="L1862" s="14"/>
      <c r="M1862" s="6"/>
      <c r="N1862" s="6"/>
      <c r="O1862" s="6"/>
      <c r="P1862" s="6"/>
      <c r="Q1862" s="6"/>
      <c r="R1862" s="12"/>
    </row>
    <row r="1863" customFormat="false" ht="15" hidden="false" customHeight="true" outlineLevel="0" collapsed="false">
      <c r="A1863" s="6"/>
      <c r="B1863" s="6"/>
      <c r="C1863" s="6"/>
      <c r="D1863" s="6"/>
      <c r="E1863" s="13"/>
      <c r="F1863" s="6"/>
      <c r="G1863" s="11" t="str">
        <f aca="true">IF(F1863="","",YEAR(TODAY())-F1863)</f>
        <v/>
      </c>
      <c r="H1863" s="11" t="str">
        <f aca="false">IF(C1863="","",IF(G1863="","Thiếu thông tin",IF(G1863&lt;6,"Trẻ em",IF(G1863&lt;23,"Học sinh / Sinh viên",IF(G1863&lt;60,"Đang đi làm","Nghỉ hưu")))))</f>
        <v/>
      </c>
      <c r="I1863" s="6"/>
      <c r="J1863" s="11" t="str">
        <f aca="false">IF(B1863="","",IFERROR(INDEX('Hộ gia đình'!$B$2:$B$2000,MATCH(B1863,'Hộ gia đình'!$A$2:$A$2000,0)),"Mã hộ không tồn tại"))</f>
        <v/>
      </c>
      <c r="K1863" s="14"/>
      <c r="L1863" s="14"/>
      <c r="M1863" s="6"/>
      <c r="N1863" s="6"/>
      <c r="O1863" s="6"/>
      <c r="P1863" s="6"/>
      <c r="Q1863" s="6"/>
      <c r="R1863" s="12"/>
    </row>
    <row r="1864" customFormat="false" ht="15" hidden="false" customHeight="true" outlineLevel="0" collapsed="false">
      <c r="A1864" s="6"/>
      <c r="B1864" s="6"/>
      <c r="C1864" s="6"/>
      <c r="D1864" s="6"/>
      <c r="E1864" s="13"/>
      <c r="F1864" s="6"/>
      <c r="G1864" s="11" t="str">
        <f aca="true">IF(F1864="","",YEAR(TODAY())-F1864)</f>
        <v/>
      </c>
      <c r="H1864" s="11" t="str">
        <f aca="false">IF(C1864="","",IF(G1864="","Thiếu thông tin",IF(G1864&lt;6,"Trẻ em",IF(G1864&lt;23,"Học sinh / Sinh viên",IF(G1864&lt;60,"Đang đi làm","Nghỉ hưu")))))</f>
        <v/>
      </c>
      <c r="I1864" s="6"/>
      <c r="J1864" s="11" t="str">
        <f aca="false">IF(B1864="","",IFERROR(INDEX('Hộ gia đình'!$B$2:$B$2000,MATCH(B1864,'Hộ gia đình'!$A$2:$A$2000,0)),"Mã hộ không tồn tại"))</f>
        <v/>
      </c>
      <c r="K1864" s="14"/>
      <c r="L1864" s="14"/>
      <c r="M1864" s="6"/>
      <c r="N1864" s="6"/>
      <c r="O1864" s="6"/>
      <c r="P1864" s="6"/>
      <c r="Q1864" s="6"/>
      <c r="R1864" s="12"/>
    </row>
    <row r="1865" customFormat="false" ht="15" hidden="false" customHeight="true" outlineLevel="0" collapsed="false">
      <c r="A1865" s="6"/>
      <c r="B1865" s="6"/>
      <c r="C1865" s="6"/>
      <c r="D1865" s="6"/>
      <c r="E1865" s="13"/>
      <c r="F1865" s="6"/>
      <c r="G1865" s="11" t="str">
        <f aca="true">IF(F1865="","",YEAR(TODAY())-F1865)</f>
        <v/>
      </c>
      <c r="H1865" s="11" t="str">
        <f aca="false">IF(C1865="","",IF(G1865="","Thiếu thông tin",IF(G1865&lt;6,"Trẻ em",IF(G1865&lt;23,"Học sinh / Sinh viên",IF(G1865&lt;60,"Đang đi làm","Nghỉ hưu")))))</f>
        <v/>
      </c>
      <c r="I1865" s="6"/>
      <c r="J1865" s="11" t="str">
        <f aca="false">IF(B1865="","",IFERROR(INDEX('Hộ gia đình'!$B$2:$B$2000,MATCH(B1865,'Hộ gia đình'!$A$2:$A$2000,0)),"Mã hộ không tồn tại"))</f>
        <v/>
      </c>
      <c r="K1865" s="14"/>
      <c r="L1865" s="14"/>
      <c r="M1865" s="6"/>
      <c r="N1865" s="6"/>
      <c r="O1865" s="6"/>
      <c r="P1865" s="6"/>
      <c r="Q1865" s="6"/>
      <c r="R1865" s="12"/>
    </row>
    <row r="1866" customFormat="false" ht="15" hidden="false" customHeight="true" outlineLevel="0" collapsed="false">
      <c r="A1866" s="6"/>
      <c r="B1866" s="6"/>
      <c r="C1866" s="6"/>
      <c r="D1866" s="6"/>
      <c r="E1866" s="13"/>
      <c r="F1866" s="6"/>
      <c r="G1866" s="11" t="str">
        <f aca="true">IF(F1866="","",YEAR(TODAY())-F1866)</f>
        <v/>
      </c>
      <c r="H1866" s="11" t="str">
        <f aca="false">IF(C1866="","",IF(G1866="","Thiếu thông tin",IF(G1866&lt;6,"Trẻ em",IF(G1866&lt;23,"Học sinh / Sinh viên",IF(G1866&lt;60,"Đang đi làm","Nghỉ hưu")))))</f>
        <v/>
      </c>
      <c r="I1866" s="6"/>
      <c r="J1866" s="11" t="str">
        <f aca="false">IF(B1866="","",IFERROR(INDEX('Hộ gia đình'!$B$2:$B$2000,MATCH(B1866,'Hộ gia đình'!$A$2:$A$2000,0)),"Mã hộ không tồn tại"))</f>
        <v/>
      </c>
      <c r="K1866" s="14"/>
      <c r="L1866" s="14"/>
      <c r="M1866" s="6"/>
      <c r="N1866" s="6"/>
      <c r="O1866" s="6"/>
      <c r="P1866" s="6"/>
      <c r="Q1866" s="6"/>
      <c r="R1866" s="12"/>
    </row>
    <row r="1867" customFormat="false" ht="15" hidden="false" customHeight="true" outlineLevel="0" collapsed="false">
      <c r="A1867" s="6"/>
      <c r="B1867" s="6"/>
      <c r="C1867" s="6"/>
      <c r="D1867" s="6"/>
      <c r="E1867" s="13"/>
      <c r="F1867" s="6"/>
      <c r="G1867" s="11" t="str">
        <f aca="true">IF(F1867="","",YEAR(TODAY())-F1867)</f>
        <v/>
      </c>
      <c r="H1867" s="11" t="str">
        <f aca="false">IF(C1867="","",IF(G1867="","Thiếu thông tin",IF(G1867&lt;6,"Trẻ em",IF(G1867&lt;23,"Học sinh / Sinh viên",IF(G1867&lt;60,"Đang đi làm","Nghỉ hưu")))))</f>
        <v/>
      </c>
      <c r="I1867" s="6"/>
      <c r="J1867" s="11" t="str">
        <f aca="false">IF(B1867="","",IFERROR(INDEX('Hộ gia đình'!$B$2:$B$2000,MATCH(B1867,'Hộ gia đình'!$A$2:$A$2000,0)),"Mã hộ không tồn tại"))</f>
        <v/>
      </c>
      <c r="K1867" s="14"/>
      <c r="L1867" s="14"/>
      <c r="M1867" s="6"/>
      <c r="N1867" s="6"/>
      <c r="O1867" s="6"/>
      <c r="P1867" s="6"/>
      <c r="Q1867" s="6"/>
      <c r="R1867" s="12"/>
    </row>
    <row r="1868" customFormat="false" ht="15" hidden="false" customHeight="true" outlineLevel="0" collapsed="false">
      <c r="A1868" s="6"/>
      <c r="B1868" s="6"/>
      <c r="C1868" s="6"/>
      <c r="D1868" s="6"/>
      <c r="E1868" s="13"/>
      <c r="F1868" s="6"/>
      <c r="G1868" s="11" t="str">
        <f aca="true">IF(F1868="","",YEAR(TODAY())-F1868)</f>
        <v/>
      </c>
      <c r="H1868" s="11" t="str">
        <f aca="false">IF(C1868="","",IF(G1868="","Thiếu thông tin",IF(G1868&lt;6,"Trẻ em",IF(G1868&lt;23,"Học sinh / Sinh viên",IF(G1868&lt;60,"Đang đi làm","Nghỉ hưu")))))</f>
        <v/>
      </c>
      <c r="I1868" s="6"/>
      <c r="J1868" s="11" t="str">
        <f aca="false">IF(B1868="","",IFERROR(INDEX('Hộ gia đình'!$B$2:$B$2000,MATCH(B1868,'Hộ gia đình'!$A$2:$A$2000,0)),"Mã hộ không tồn tại"))</f>
        <v/>
      </c>
      <c r="K1868" s="14"/>
      <c r="L1868" s="14"/>
      <c r="M1868" s="6"/>
      <c r="N1868" s="6"/>
      <c r="O1868" s="6"/>
      <c r="P1868" s="6"/>
      <c r="Q1868" s="6"/>
      <c r="R1868" s="12"/>
    </row>
    <row r="1869" customFormat="false" ht="15" hidden="false" customHeight="true" outlineLevel="0" collapsed="false">
      <c r="A1869" s="6"/>
      <c r="B1869" s="6"/>
      <c r="C1869" s="6"/>
      <c r="D1869" s="6"/>
      <c r="E1869" s="13"/>
      <c r="F1869" s="6"/>
      <c r="G1869" s="11" t="str">
        <f aca="true">IF(F1869="","",YEAR(TODAY())-F1869)</f>
        <v/>
      </c>
      <c r="H1869" s="11" t="str">
        <f aca="false">IF(C1869="","",IF(G1869="","Thiếu thông tin",IF(G1869&lt;6,"Trẻ em",IF(G1869&lt;23,"Học sinh / Sinh viên",IF(G1869&lt;60,"Đang đi làm","Nghỉ hưu")))))</f>
        <v/>
      </c>
      <c r="I1869" s="6"/>
      <c r="J1869" s="11" t="str">
        <f aca="false">IF(B1869="","",IFERROR(INDEX('Hộ gia đình'!$B$2:$B$2000,MATCH(B1869,'Hộ gia đình'!$A$2:$A$2000,0)),"Mã hộ không tồn tại"))</f>
        <v/>
      </c>
      <c r="K1869" s="14"/>
      <c r="L1869" s="14"/>
      <c r="M1869" s="6"/>
      <c r="N1869" s="6"/>
      <c r="O1869" s="6"/>
      <c r="P1869" s="6"/>
      <c r="Q1869" s="6"/>
      <c r="R1869" s="12"/>
    </row>
    <row r="1870" customFormat="false" ht="15" hidden="false" customHeight="true" outlineLevel="0" collapsed="false">
      <c r="A1870" s="6"/>
      <c r="B1870" s="6"/>
      <c r="C1870" s="6"/>
      <c r="D1870" s="6"/>
      <c r="E1870" s="13"/>
      <c r="F1870" s="6"/>
      <c r="G1870" s="11" t="str">
        <f aca="true">IF(F1870="","",YEAR(TODAY())-F1870)</f>
        <v/>
      </c>
      <c r="H1870" s="11" t="str">
        <f aca="false">IF(C1870="","",IF(G1870="","Thiếu thông tin",IF(G1870&lt;6,"Trẻ em",IF(G1870&lt;23,"Học sinh / Sinh viên",IF(G1870&lt;60,"Đang đi làm","Nghỉ hưu")))))</f>
        <v/>
      </c>
      <c r="I1870" s="6"/>
      <c r="J1870" s="11" t="str">
        <f aca="false">IF(B1870="","",IFERROR(INDEX('Hộ gia đình'!$B$2:$B$2000,MATCH(B1870,'Hộ gia đình'!$A$2:$A$2000,0)),"Mã hộ không tồn tại"))</f>
        <v/>
      </c>
      <c r="K1870" s="14"/>
      <c r="L1870" s="14"/>
      <c r="M1870" s="6"/>
      <c r="N1870" s="6"/>
      <c r="O1870" s="6"/>
      <c r="P1870" s="6"/>
      <c r="Q1870" s="6"/>
      <c r="R1870" s="12"/>
    </row>
    <row r="1871" customFormat="false" ht="15" hidden="false" customHeight="true" outlineLevel="0" collapsed="false">
      <c r="A1871" s="6"/>
      <c r="B1871" s="6"/>
      <c r="C1871" s="6"/>
      <c r="D1871" s="6"/>
      <c r="E1871" s="13"/>
      <c r="F1871" s="6"/>
      <c r="G1871" s="11" t="str">
        <f aca="true">IF(F1871="","",YEAR(TODAY())-F1871)</f>
        <v/>
      </c>
      <c r="H1871" s="11" t="str">
        <f aca="false">IF(C1871="","",IF(G1871="","Thiếu thông tin",IF(G1871&lt;6,"Trẻ em",IF(G1871&lt;23,"Học sinh / Sinh viên",IF(G1871&lt;60,"Đang đi làm","Nghỉ hưu")))))</f>
        <v/>
      </c>
      <c r="I1871" s="6"/>
      <c r="J1871" s="11" t="str">
        <f aca="false">IF(B1871="","",IFERROR(INDEX('Hộ gia đình'!$B$2:$B$2000,MATCH(B1871,'Hộ gia đình'!$A$2:$A$2000,0)),"Mã hộ không tồn tại"))</f>
        <v/>
      </c>
      <c r="K1871" s="14"/>
      <c r="L1871" s="14"/>
      <c r="M1871" s="6"/>
      <c r="N1871" s="6"/>
      <c r="O1871" s="6"/>
      <c r="P1871" s="6"/>
      <c r="Q1871" s="6"/>
      <c r="R1871" s="12"/>
    </row>
    <row r="1872" customFormat="false" ht="15" hidden="false" customHeight="true" outlineLevel="0" collapsed="false">
      <c r="A1872" s="6"/>
      <c r="B1872" s="6"/>
      <c r="C1872" s="6"/>
      <c r="D1872" s="6"/>
      <c r="E1872" s="13"/>
      <c r="F1872" s="6"/>
      <c r="G1872" s="11" t="str">
        <f aca="true">IF(F1872="","",YEAR(TODAY())-F1872)</f>
        <v/>
      </c>
      <c r="H1872" s="11" t="str">
        <f aca="false">IF(C1872="","",IF(G1872="","Thiếu thông tin",IF(G1872&lt;6,"Trẻ em",IF(G1872&lt;23,"Học sinh / Sinh viên",IF(G1872&lt;60,"Đang đi làm","Nghỉ hưu")))))</f>
        <v/>
      </c>
      <c r="I1872" s="6"/>
      <c r="J1872" s="11" t="str">
        <f aca="false">IF(B1872="","",IFERROR(INDEX('Hộ gia đình'!$B$2:$B$2000,MATCH(B1872,'Hộ gia đình'!$A$2:$A$2000,0)),"Mã hộ không tồn tại"))</f>
        <v/>
      </c>
      <c r="K1872" s="14"/>
      <c r="L1872" s="14"/>
      <c r="M1872" s="6"/>
      <c r="N1872" s="6"/>
      <c r="O1872" s="6"/>
      <c r="P1872" s="6"/>
      <c r="Q1872" s="6"/>
      <c r="R1872" s="12"/>
    </row>
    <row r="1873" customFormat="false" ht="15" hidden="false" customHeight="true" outlineLevel="0" collapsed="false">
      <c r="A1873" s="6"/>
      <c r="B1873" s="6"/>
      <c r="C1873" s="6"/>
      <c r="D1873" s="6"/>
      <c r="E1873" s="13"/>
      <c r="F1873" s="6"/>
      <c r="G1873" s="11" t="str">
        <f aca="true">IF(F1873="","",YEAR(TODAY())-F1873)</f>
        <v/>
      </c>
      <c r="H1873" s="11" t="str">
        <f aca="false">IF(C1873="","",IF(G1873="","Thiếu thông tin",IF(G1873&lt;6,"Trẻ em",IF(G1873&lt;23,"Học sinh / Sinh viên",IF(G1873&lt;60,"Đang đi làm","Nghỉ hưu")))))</f>
        <v/>
      </c>
      <c r="I1873" s="6"/>
      <c r="J1873" s="11" t="str">
        <f aca="false">IF(B1873="","",IFERROR(INDEX('Hộ gia đình'!$B$2:$B$2000,MATCH(B1873,'Hộ gia đình'!$A$2:$A$2000,0)),"Mã hộ không tồn tại"))</f>
        <v/>
      </c>
      <c r="K1873" s="14"/>
      <c r="L1873" s="14"/>
      <c r="M1873" s="6"/>
      <c r="N1873" s="6"/>
      <c r="O1873" s="6"/>
      <c r="P1873" s="6"/>
      <c r="Q1873" s="6"/>
      <c r="R1873" s="12"/>
    </row>
    <row r="1874" customFormat="false" ht="15" hidden="false" customHeight="true" outlineLevel="0" collapsed="false">
      <c r="A1874" s="6"/>
      <c r="B1874" s="6"/>
      <c r="C1874" s="6"/>
      <c r="D1874" s="6"/>
      <c r="E1874" s="13"/>
      <c r="F1874" s="6"/>
      <c r="G1874" s="11" t="str">
        <f aca="true">IF(F1874="","",YEAR(TODAY())-F1874)</f>
        <v/>
      </c>
      <c r="H1874" s="11" t="str">
        <f aca="false">IF(C1874="","",IF(G1874="","Thiếu thông tin",IF(G1874&lt;6,"Trẻ em",IF(G1874&lt;23,"Học sinh / Sinh viên",IF(G1874&lt;60,"Đang đi làm","Nghỉ hưu")))))</f>
        <v/>
      </c>
      <c r="I1874" s="6"/>
      <c r="J1874" s="11" t="str">
        <f aca="false">IF(B1874="","",IFERROR(INDEX('Hộ gia đình'!$B$2:$B$2000,MATCH(B1874,'Hộ gia đình'!$A$2:$A$2000,0)),"Mã hộ không tồn tại"))</f>
        <v/>
      </c>
      <c r="K1874" s="14"/>
      <c r="L1874" s="14"/>
      <c r="M1874" s="6"/>
      <c r="N1874" s="6"/>
      <c r="O1874" s="6"/>
      <c r="P1874" s="6"/>
      <c r="Q1874" s="6"/>
      <c r="R1874" s="12"/>
    </row>
    <row r="1875" customFormat="false" ht="15" hidden="false" customHeight="true" outlineLevel="0" collapsed="false">
      <c r="A1875" s="6"/>
      <c r="B1875" s="6"/>
      <c r="C1875" s="6"/>
      <c r="D1875" s="6"/>
      <c r="E1875" s="13"/>
      <c r="F1875" s="6"/>
      <c r="G1875" s="11" t="str">
        <f aca="true">IF(F1875="","",YEAR(TODAY())-F1875)</f>
        <v/>
      </c>
      <c r="H1875" s="11" t="str">
        <f aca="false">IF(C1875="","",IF(G1875="","Thiếu thông tin",IF(G1875&lt;6,"Trẻ em",IF(G1875&lt;23,"Học sinh / Sinh viên",IF(G1875&lt;60,"Đang đi làm","Nghỉ hưu")))))</f>
        <v/>
      </c>
      <c r="I1875" s="6"/>
      <c r="J1875" s="11" t="str">
        <f aca="false">IF(B1875="","",IFERROR(INDEX('Hộ gia đình'!$B$2:$B$2000,MATCH(B1875,'Hộ gia đình'!$A$2:$A$2000,0)),"Mã hộ không tồn tại"))</f>
        <v/>
      </c>
      <c r="K1875" s="14"/>
      <c r="L1875" s="14"/>
      <c r="M1875" s="6"/>
      <c r="N1875" s="6"/>
      <c r="O1875" s="6"/>
      <c r="P1875" s="6"/>
      <c r="Q1875" s="6"/>
      <c r="R1875" s="12"/>
    </row>
    <row r="1876" customFormat="false" ht="15" hidden="false" customHeight="true" outlineLevel="0" collapsed="false">
      <c r="A1876" s="6"/>
      <c r="B1876" s="6"/>
      <c r="C1876" s="6"/>
      <c r="D1876" s="6"/>
      <c r="E1876" s="13"/>
      <c r="F1876" s="6"/>
      <c r="G1876" s="11" t="str">
        <f aca="true">IF(F1876="","",YEAR(TODAY())-F1876)</f>
        <v/>
      </c>
      <c r="H1876" s="11" t="str">
        <f aca="false">IF(C1876="","",IF(G1876="","Thiếu thông tin",IF(G1876&lt;6,"Trẻ em",IF(G1876&lt;23,"Học sinh / Sinh viên",IF(G1876&lt;60,"Đang đi làm","Nghỉ hưu")))))</f>
        <v/>
      </c>
      <c r="I1876" s="6"/>
      <c r="J1876" s="11" t="str">
        <f aca="false">IF(B1876="","",IFERROR(INDEX('Hộ gia đình'!$B$2:$B$2000,MATCH(B1876,'Hộ gia đình'!$A$2:$A$2000,0)),"Mã hộ không tồn tại"))</f>
        <v/>
      </c>
      <c r="K1876" s="14"/>
      <c r="L1876" s="14"/>
      <c r="M1876" s="6"/>
      <c r="N1876" s="6"/>
      <c r="O1876" s="6"/>
      <c r="P1876" s="6"/>
      <c r="Q1876" s="6"/>
      <c r="R1876" s="12"/>
    </row>
    <row r="1877" customFormat="false" ht="15" hidden="false" customHeight="true" outlineLevel="0" collapsed="false">
      <c r="A1877" s="6"/>
      <c r="B1877" s="6"/>
      <c r="C1877" s="6"/>
      <c r="D1877" s="6"/>
      <c r="E1877" s="13"/>
      <c r="F1877" s="6"/>
      <c r="G1877" s="11" t="str">
        <f aca="true">IF(F1877="","",YEAR(TODAY())-F1877)</f>
        <v/>
      </c>
      <c r="H1877" s="11" t="str">
        <f aca="false">IF(C1877="","",IF(G1877="","Thiếu thông tin",IF(G1877&lt;6,"Trẻ em",IF(G1877&lt;23,"Học sinh / Sinh viên",IF(G1877&lt;60,"Đang đi làm","Nghỉ hưu")))))</f>
        <v/>
      </c>
      <c r="I1877" s="6"/>
      <c r="J1877" s="11" t="str">
        <f aca="false">IF(B1877="","",IFERROR(INDEX('Hộ gia đình'!$B$2:$B$2000,MATCH(B1877,'Hộ gia đình'!$A$2:$A$2000,0)),"Mã hộ không tồn tại"))</f>
        <v/>
      </c>
      <c r="K1877" s="14"/>
      <c r="L1877" s="14"/>
      <c r="M1877" s="6"/>
      <c r="N1877" s="6"/>
      <c r="O1877" s="6"/>
      <c r="P1877" s="6"/>
      <c r="Q1877" s="6"/>
      <c r="R1877" s="12"/>
    </row>
    <row r="1878" customFormat="false" ht="15" hidden="false" customHeight="true" outlineLevel="0" collapsed="false">
      <c r="A1878" s="6"/>
      <c r="B1878" s="6"/>
      <c r="C1878" s="6"/>
      <c r="D1878" s="6"/>
      <c r="E1878" s="13"/>
      <c r="F1878" s="6"/>
      <c r="G1878" s="11" t="str">
        <f aca="true">IF(F1878="","",YEAR(TODAY())-F1878)</f>
        <v/>
      </c>
      <c r="H1878" s="11" t="str">
        <f aca="false">IF(C1878="","",IF(G1878="","Thiếu thông tin",IF(G1878&lt;6,"Trẻ em",IF(G1878&lt;23,"Học sinh / Sinh viên",IF(G1878&lt;60,"Đang đi làm","Nghỉ hưu")))))</f>
        <v/>
      </c>
      <c r="I1878" s="6"/>
      <c r="J1878" s="11" t="str">
        <f aca="false">IF(B1878="","",IFERROR(INDEX('Hộ gia đình'!$B$2:$B$2000,MATCH(B1878,'Hộ gia đình'!$A$2:$A$2000,0)),"Mã hộ không tồn tại"))</f>
        <v/>
      </c>
      <c r="K1878" s="14"/>
      <c r="L1878" s="14"/>
      <c r="M1878" s="6"/>
      <c r="N1878" s="6"/>
      <c r="O1878" s="6"/>
      <c r="P1878" s="6"/>
      <c r="Q1878" s="6"/>
      <c r="R1878" s="12"/>
    </row>
    <row r="1879" customFormat="false" ht="15" hidden="false" customHeight="true" outlineLevel="0" collapsed="false">
      <c r="A1879" s="6"/>
      <c r="B1879" s="6"/>
      <c r="C1879" s="6"/>
      <c r="D1879" s="6"/>
      <c r="E1879" s="13"/>
      <c r="F1879" s="6"/>
      <c r="G1879" s="11" t="str">
        <f aca="true">IF(F1879="","",YEAR(TODAY())-F1879)</f>
        <v/>
      </c>
      <c r="H1879" s="11" t="str">
        <f aca="false">IF(C1879="","",IF(G1879="","Thiếu thông tin",IF(G1879&lt;6,"Trẻ em",IF(G1879&lt;23,"Học sinh / Sinh viên",IF(G1879&lt;60,"Đang đi làm","Nghỉ hưu")))))</f>
        <v/>
      </c>
      <c r="I1879" s="6"/>
      <c r="J1879" s="11" t="str">
        <f aca="false">IF(B1879="","",IFERROR(INDEX('Hộ gia đình'!$B$2:$B$2000,MATCH(B1879,'Hộ gia đình'!$A$2:$A$2000,0)),"Mã hộ không tồn tại"))</f>
        <v/>
      </c>
      <c r="K1879" s="14"/>
      <c r="L1879" s="14"/>
      <c r="M1879" s="6"/>
      <c r="N1879" s="6"/>
      <c r="O1879" s="6"/>
      <c r="P1879" s="6"/>
      <c r="Q1879" s="6"/>
      <c r="R1879" s="12"/>
    </row>
    <row r="1880" customFormat="false" ht="15" hidden="false" customHeight="true" outlineLevel="0" collapsed="false">
      <c r="A1880" s="6"/>
      <c r="B1880" s="6"/>
      <c r="C1880" s="6"/>
      <c r="D1880" s="6"/>
      <c r="E1880" s="13"/>
      <c r="F1880" s="6"/>
      <c r="G1880" s="11" t="str">
        <f aca="true">IF(F1880="","",YEAR(TODAY())-F1880)</f>
        <v/>
      </c>
      <c r="H1880" s="11" t="str">
        <f aca="false">IF(C1880="","",IF(G1880="","Thiếu thông tin",IF(G1880&lt;6,"Trẻ em",IF(G1880&lt;23,"Học sinh / Sinh viên",IF(G1880&lt;60,"Đang đi làm","Nghỉ hưu")))))</f>
        <v/>
      </c>
      <c r="I1880" s="6"/>
      <c r="J1880" s="11" t="str">
        <f aca="false">IF(B1880="","",IFERROR(INDEX('Hộ gia đình'!$B$2:$B$2000,MATCH(B1880,'Hộ gia đình'!$A$2:$A$2000,0)),"Mã hộ không tồn tại"))</f>
        <v/>
      </c>
      <c r="K1880" s="14"/>
      <c r="L1880" s="14"/>
      <c r="M1880" s="6"/>
      <c r="N1880" s="6"/>
      <c r="O1880" s="6"/>
      <c r="P1880" s="6"/>
      <c r="Q1880" s="6"/>
      <c r="R1880" s="12"/>
    </row>
    <row r="1881" customFormat="false" ht="15" hidden="false" customHeight="true" outlineLevel="0" collapsed="false">
      <c r="A1881" s="6"/>
      <c r="B1881" s="6"/>
      <c r="C1881" s="6"/>
      <c r="D1881" s="6"/>
      <c r="E1881" s="13"/>
      <c r="F1881" s="6"/>
      <c r="G1881" s="11" t="str">
        <f aca="true">IF(F1881="","",YEAR(TODAY())-F1881)</f>
        <v/>
      </c>
      <c r="H1881" s="11" t="str">
        <f aca="false">IF(C1881="","",IF(G1881="","Thiếu thông tin",IF(G1881&lt;6,"Trẻ em",IF(G1881&lt;23,"Học sinh / Sinh viên",IF(G1881&lt;60,"Đang đi làm","Nghỉ hưu")))))</f>
        <v/>
      </c>
      <c r="I1881" s="6"/>
      <c r="J1881" s="11" t="str">
        <f aca="false">IF(B1881="","",IFERROR(INDEX('Hộ gia đình'!$B$2:$B$2000,MATCH(B1881,'Hộ gia đình'!$A$2:$A$2000,0)),"Mã hộ không tồn tại"))</f>
        <v/>
      </c>
      <c r="K1881" s="14"/>
      <c r="L1881" s="14"/>
      <c r="M1881" s="6"/>
      <c r="N1881" s="6"/>
      <c r="O1881" s="6"/>
      <c r="P1881" s="6"/>
      <c r="Q1881" s="6"/>
      <c r="R1881" s="12"/>
    </row>
    <row r="1882" customFormat="false" ht="15" hidden="false" customHeight="true" outlineLevel="0" collapsed="false">
      <c r="A1882" s="6"/>
      <c r="B1882" s="6"/>
      <c r="C1882" s="6"/>
      <c r="D1882" s="6"/>
      <c r="E1882" s="13"/>
      <c r="F1882" s="6"/>
      <c r="G1882" s="11" t="str">
        <f aca="true">IF(F1882="","",YEAR(TODAY())-F1882)</f>
        <v/>
      </c>
      <c r="H1882" s="11" t="str">
        <f aca="false">IF(C1882="","",IF(G1882="","Thiếu thông tin",IF(G1882&lt;6,"Trẻ em",IF(G1882&lt;23,"Học sinh / Sinh viên",IF(G1882&lt;60,"Đang đi làm","Nghỉ hưu")))))</f>
        <v/>
      </c>
      <c r="I1882" s="6"/>
      <c r="J1882" s="11" t="str">
        <f aca="false">IF(B1882="","",IFERROR(INDEX('Hộ gia đình'!$B$2:$B$2000,MATCH(B1882,'Hộ gia đình'!$A$2:$A$2000,0)),"Mã hộ không tồn tại"))</f>
        <v/>
      </c>
      <c r="K1882" s="14"/>
      <c r="L1882" s="14"/>
      <c r="M1882" s="6"/>
      <c r="N1882" s="6"/>
      <c r="O1882" s="6"/>
      <c r="P1882" s="6"/>
      <c r="Q1882" s="6"/>
      <c r="R1882" s="12"/>
    </row>
    <row r="1883" customFormat="false" ht="15" hidden="false" customHeight="true" outlineLevel="0" collapsed="false">
      <c r="A1883" s="6"/>
      <c r="B1883" s="6"/>
      <c r="C1883" s="6"/>
      <c r="D1883" s="6"/>
      <c r="E1883" s="13"/>
      <c r="F1883" s="6"/>
      <c r="G1883" s="11" t="str">
        <f aca="true">IF(F1883="","",YEAR(TODAY())-F1883)</f>
        <v/>
      </c>
      <c r="H1883" s="11" t="str">
        <f aca="false">IF(C1883="","",IF(G1883="","Thiếu thông tin",IF(G1883&lt;6,"Trẻ em",IF(G1883&lt;23,"Học sinh / Sinh viên",IF(G1883&lt;60,"Đang đi làm","Nghỉ hưu")))))</f>
        <v/>
      </c>
      <c r="I1883" s="6"/>
      <c r="J1883" s="11" t="str">
        <f aca="false">IF(B1883="","",IFERROR(INDEX('Hộ gia đình'!$B$2:$B$2000,MATCH(B1883,'Hộ gia đình'!$A$2:$A$2000,0)),"Mã hộ không tồn tại"))</f>
        <v/>
      </c>
      <c r="K1883" s="14"/>
      <c r="L1883" s="14"/>
      <c r="M1883" s="6"/>
      <c r="N1883" s="6"/>
      <c r="O1883" s="6"/>
      <c r="P1883" s="6"/>
      <c r="Q1883" s="6"/>
      <c r="R1883" s="12"/>
    </row>
    <row r="1884" customFormat="false" ht="15" hidden="false" customHeight="true" outlineLevel="0" collapsed="false">
      <c r="A1884" s="6"/>
      <c r="B1884" s="6"/>
      <c r="C1884" s="6"/>
      <c r="D1884" s="6"/>
      <c r="E1884" s="13"/>
      <c r="F1884" s="6"/>
      <c r="G1884" s="11" t="str">
        <f aca="true">IF(F1884="","",YEAR(TODAY())-F1884)</f>
        <v/>
      </c>
      <c r="H1884" s="11" t="str">
        <f aca="false">IF(C1884="","",IF(G1884="","Thiếu thông tin",IF(G1884&lt;6,"Trẻ em",IF(G1884&lt;23,"Học sinh / Sinh viên",IF(G1884&lt;60,"Đang đi làm","Nghỉ hưu")))))</f>
        <v/>
      </c>
      <c r="I1884" s="6"/>
      <c r="J1884" s="11" t="str">
        <f aca="false">IF(B1884="","",IFERROR(INDEX('Hộ gia đình'!$B$2:$B$2000,MATCH(B1884,'Hộ gia đình'!$A$2:$A$2000,0)),"Mã hộ không tồn tại"))</f>
        <v/>
      </c>
      <c r="K1884" s="14"/>
      <c r="L1884" s="14"/>
      <c r="M1884" s="6"/>
      <c r="N1884" s="6"/>
      <c r="O1884" s="6"/>
      <c r="P1884" s="6"/>
      <c r="Q1884" s="6"/>
      <c r="R1884" s="12"/>
    </row>
    <row r="1885" customFormat="false" ht="15" hidden="false" customHeight="true" outlineLevel="0" collapsed="false">
      <c r="A1885" s="6"/>
      <c r="B1885" s="6"/>
      <c r="C1885" s="6"/>
      <c r="D1885" s="6"/>
      <c r="E1885" s="13"/>
      <c r="F1885" s="6"/>
      <c r="G1885" s="11" t="str">
        <f aca="true">IF(F1885="","",YEAR(TODAY())-F1885)</f>
        <v/>
      </c>
      <c r="H1885" s="11" t="str">
        <f aca="false">IF(C1885="","",IF(G1885="","Thiếu thông tin",IF(G1885&lt;6,"Trẻ em",IF(G1885&lt;23,"Học sinh / Sinh viên",IF(G1885&lt;60,"Đang đi làm","Nghỉ hưu")))))</f>
        <v/>
      </c>
      <c r="I1885" s="6"/>
      <c r="J1885" s="11" t="str">
        <f aca="false">IF(B1885="","",IFERROR(INDEX('Hộ gia đình'!$B$2:$B$2000,MATCH(B1885,'Hộ gia đình'!$A$2:$A$2000,0)),"Mã hộ không tồn tại"))</f>
        <v/>
      </c>
      <c r="K1885" s="14"/>
      <c r="L1885" s="14"/>
      <c r="M1885" s="6"/>
      <c r="N1885" s="6"/>
      <c r="O1885" s="6"/>
      <c r="P1885" s="6"/>
      <c r="Q1885" s="6"/>
      <c r="R1885" s="12"/>
    </row>
    <row r="1886" customFormat="false" ht="15" hidden="false" customHeight="true" outlineLevel="0" collapsed="false">
      <c r="A1886" s="6"/>
      <c r="B1886" s="6"/>
      <c r="C1886" s="6"/>
      <c r="D1886" s="6"/>
      <c r="E1886" s="13"/>
      <c r="F1886" s="6"/>
      <c r="G1886" s="11" t="str">
        <f aca="true">IF(F1886="","",YEAR(TODAY())-F1886)</f>
        <v/>
      </c>
      <c r="H1886" s="11" t="str">
        <f aca="false">IF(C1886="","",IF(G1886="","Thiếu thông tin",IF(G1886&lt;6,"Trẻ em",IF(G1886&lt;23,"Học sinh / Sinh viên",IF(G1886&lt;60,"Đang đi làm","Nghỉ hưu")))))</f>
        <v/>
      </c>
      <c r="I1886" s="6"/>
      <c r="J1886" s="11" t="str">
        <f aca="false">IF(B1886="","",IFERROR(INDEX('Hộ gia đình'!$B$2:$B$2000,MATCH(B1886,'Hộ gia đình'!$A$2:$A$2000,0)),"Mã hộ không tồn tại"))</f>
        <v/>
      </c>
      <c r="K1886" s="14"/>
      <c r="L1886" s="14"/>
      <c r="M1886" s="6"/>
      <c r="N1886" s="6"/>
      <c r="O1886" s="6"/>
      <c r="P1886" s="6"/>
      <c r="Q1886" s="6"/>
      <c r="R1886" s="12"/>
    </row>
    <row r="1887" customFormat="false" ht="15" hidden="false" customHeight="true" outlineLevel="0" collapsed="false">
      <c r="A1887" s="6"/>
      <c r="B1887" s="6"/>
      <c r="C1887" s="6"/>
      <c r="D1887" s="6"/>
      <c r="E1887" s="13"/>
      <c r="F1887" s="6"/>
      <c r="G1887" s="11" t="str">
        <f aca="true">IF(F1887="","",YEAR(TODAY())-F1887)</f>
        <v/>
      </c>
      <c r="H1887" s="11" t="str">
        <f aca="false">IF(C1887="","",IF(G1887="","Thiếu thông tin",IF(G1887&lt;6,"Trẻ em",IF(G1887&lt;23,"Học sinh / Sinh viên",IF(G1887&lt;60,"Đang đi làm","Nghỉ hưu")))))</f>
        <v/>
      </c>
      <c r="I1887" s="6"/>
      <c r="J1887" s="11" t="str">
        <f aca="false">IF(B1887="","",IFERROR(INDEX('Hộ gia đình'!$B$2:$B$2000,MATCH(B1887,'Hộ gia đình'!$A$2:$A$2000,0)),"Mã hộ không tồn tại"))</f>
        <v/>
      </c>
      <c r="K1887" s="14"/>
      <c r="L1887" s="14"/>
      <c r="M1887" s="6"/>
      <c r="N1887" s="6"/>
      <c r="O1887" s="6"/>
      <c r="P1887" s="6"/>
      <c r="Q1887" s="6"/>
      <c r="R1887" s="12"/>
    </row>
    <row r="1888" customFormat="false" ht="15" hidden="false" customHeight="true" outlineLevel="0" collapsed="false">
      <c r="A1888" s="6"/>
      <c r="B1888" s="6"/>
      <c r="C1888" s="6"/>
      <c r="D1888" s="6"/>
      <c r="E1888" s="13"/>
      <c r="F1888" s="6"/>
      <c r="G1888" s="11" t="str">
        <f aca="true">IF(F1888="","",YEAR(TODAY())-F1888)</f>
        <v/>
      </c>
      <c r="H1888" s="11" t="str">
        <f aca="false">IF(C1888="","",IF(G1888="","Thiếu thông tin",IF(G1888&lt;6,"Trẻ em",IF(G1888&lt;23,"Học sinh / Sinh viên",IF(G1888&lt;60,"Đang đi làm","Nghỉ hưu")))))</f>
        <v/>
      </c>
      <c r="I1888" s="6"/>
      <c r="J1888" s="11" t="str">
        <f aca="false">IF(B1888="","",IFERROR(INDEX('Hộ gia đình'!$B$2:$B$2000,MATCH(B1888,'Hộ gia đình'!$A$2:$A$2000,0)),"Mã hộ không tồn tại"))</f>
        <v/>
      </c>
      <c r="K1888" s="14"/>
      <c r="L1888" s="14"/>
      <c r="M1888" s="6"/>
      <c r="N1888" s="6"/>
      <c r="O1888" s="6"/>
      <c r="P1888" s="6"/>
      <c r="Q1888" s="6"/>
      <c r="R1888" s="12"/>
    </row>
    <row r="1889" customFormat="false" ht="15" hidden="false" customHeight="true" outlineLevel="0" collapsed="false">
      <c r="A1889" s="6"/>
      <c r="B1889" s="6"/>
      <c r="C1889" s="6"/>
      <c r="D1889" s="6"/>
      <c r="E1889" s="13"/>
      <c r="F1889" s="6"/>
      <c r="G1889" s="11" t="str">
        <f aca="true">IF(F1889="","",YEAR(TODAY())-F1889)</f>
        <v/>
      </c>
      <c r="H1889" s="11" t="str">
        <f aca="false">IF(C1889="","",IF(G1889="","Thiếu thông tin",IF(G1889&lt;6,"Trẻ em",IF(G1889&lt;23,"Học sinh / Sinh viên",IF(G1889&lt;60,"Đang đi làm","Nghỉ hưu")))))</f>
        <v/>
      </c>
      <c r="I1889" s="6"/>
      <c r="J1889" s="11" t="str">
        <f aca="false">IF(B1889="","",IFERROR(INDEX('Hộ gia đình'!$B$2:$B$2000,MATCH(B1889,'Hộ gia đình'!$A$2:$A$2000,0)),"Mã hộ không tồn tại"))</f>
        <v/>
      </c>
      <c r="K1889" s="14"/>
      <c r="L1889" s="14"/>
      <c r="M1889" s="6"/>
      <c r="N1889" s="6"/>
      <c r="O1889" s="6"/>
      <c r="P1889" s="6"/>
      <c r="Q1889" s="6"/>
      <c r="R1889" s="12"/>
    </row>
    <row r="1890" customFormat="false" ht="15" hidden="false" customHeight="true" outlineLevel="0" collapsed="false">
      <c r="A1890" s="6"/>
      <c r="B1890" s="6"/>
      <c r="C1890" s="6"/>
      <c r="D1890" s="6"/>
      <c r="E1890" s="13"/>
      <c r="F1890" s="6"/>
      <c r="G1890" s="11" t="str">
        <f aca="true">IF(F1890="","",YEAR(TODAY())-F1890)</f>
        <v/>
      </c>
      <c r="H1890" s="11" t="str">
        <f aca="false">IF(C1890="","",IF(G1890="","Thiếu thông tin",IF(G1890&lt;6,"Trẻ em",IF(G1890&lt;23,"Học sinh / Sinh viên",IF(G1890&lt;60,"Đang đi làm","Nghỉ hưu")))))</f>
        <v/>
      </c>
      <c r="I1890" s="6"/>
      <c r="J1890" s="11" t="str">
        <f aca="false">IF(B1890="","",IFERROR(INDEX('Hộ gia đình'!$B$2:$B$2000,MATCH(B1890,'Hộ gia đình'!$A$2:$A$2000,0)),"Mã hộ không tồn tại"))</f>
        <v/>
      </c>
      <c r="K1890" s="14"/>
      <c r="L1890" s="14"/>
      <c r="M1890" s="6"/>
      <c r="N1890" s="6"/>
      <c r="O1890" s="6"/>
      <c r="P1890" s="6"/>
      <c r="Q1890" s="6"/>
      <c r="R1890" s="12"/>
    </row>
    <row r="1891" customFormat="false" ht="15" hidden="false" customHeight="true" outlineLevel="0" collapsed="false">
      <c r="A1891" s="6"/>
      <c r="B1891" s="6"/>
      <c r="C1891" s="6"/>
      <c r="D1891" s="6"/>
      <c r="E1891" s="13"/>
      <c r="F1891" s="6"/>
      <c r="G1891" s="11" t="str">
        <f aca="true">IF(F1891="","",YEAR(TODAY())-F1891)</f>
        <v/>
      </c>
      <c r="H1891" s="11" t="str">
        <f aca="false">IF(C1891="","",IF(G1891="","Thiếu thông tin",IF(G1891&lt;6,"Trẻ em",IF(G1891&lt;23,"Học sinh / Sinh viên",IF(G1891&lt;60,"Đang đi làm","Nghỉ hưu")))))</f>
        <v/>
      </c>
      <c r="I1891" s="6"/>
      <c r="J1891" s="11" t="str">
        <f aca="false">IF(B1891="","",IFERROR(INDEX('Hộ gia đình'!$B$2:$B$2000,MATCH(B1891,'Hộ gia đình'!$A$2:$A$2000,0)),"Mã hộ không tồn tại"))</f>
        <v/>
      </c>
      <c r="K1891" s="14"/>
      <c r="L1891" s="14"/>
      <c r="M1891" s="6"/>
      <c r="N1891" s="6"/>
      <c r="O1891" s="6"/>
      <c r="P1891" s="6"/>
      <c r="Q1891" s="6"/>
      <c r="R1891" s="12"/>
    </row>
    <row r="1892" customFormat="false" ht="15" hidden="false" customHeight="true" outlineLevel="0" collapsed="false">
      <c r="A1892" s="6"/>
      <c r="B1892" s="6"/>
      <c r="C1892" s="6"/>
      <c r="D1892" s="6"/>
      <c r="E1892" s="13"/>
      <c r="F1892" s="6"/>
      <c r="G1892" s="11" t="str">
        <f aca="true">IF(F1892="","",YEAR(TODAY())-F1892)</f>
        <v/>
      </c>
      <c r="H1892" s="11" t="str">
        <f aca="false">IF(C1892="","",IF(G1892="","Thiếu thông tin",IF(G1892&lt;6,"Trẻ em",IF(G1892&lt;23,"Học sinh / Sinh viên",IF(G1892&lt;60,"Đang đi làm","Nghỉ hưu")))))</f>
        <v/>
      </c>
      <c r="I1892" s="6"/>
      <c r="J1892" s="11" t="str">
        <f aca="false">IF(B1892="","",IFERROR(INDEX('Hộ gia đình'!$B$2:$B$2000,MATCH(B1892,'Hộ gia đình'!$A$2:$A$2000,0)),"Mã hộ không tồn tại"))</f>
        <v/>
      </c>
      <c r="K1892" s="14"/>
      <c r="L1892" s="14"/>
      <c r="M1892" s="6"/>
      <c r="N1892" s="6"/>
      <c r="O1892" s="6"/>
      <c r="P1892" s="6"/>
      <c r="Q1892" s="6"/>
      <c r="R1892" s="12"/>
    </row>
    <row r="1893" customFormat="false" ht="15" hidden="false" customHeight="true" outlineLevel="0" collapsed="false">
      <c r="A1893" s="6"/>
      <c r="B1893" s="6"/>
      <c r="C1893" s="6"/>
      <c r="D1893" s="6"/>
      <c r="E1893" s="13"/>
      <c r="F1893" s="6"/>
      <c r="G1893" s="11" t="str">
        <f aca="true">IF(F1893="","",YEAR(TODAY())-F1893)</f>
        <v/>
      </c>
      <c r="H1893" s="11" t="str">
        <f aca="false">IF(C1893="","",IF(G1893="","Thiếu thông tin",IF(G1893&lt;6,"Trẻ em",IF(G1893&lt;23,"Học sinh / Sinh viên",IF(G1893&lt;60,"Đang đi làm","Nghỉ hưu")))))</f>
        <v/>
      </c>
      <c r="I1893" s="6"/>
      <c r="J1893" s="11" t="str">
        <f aca="false">IF(B1893="","",IFERROR(INDEX('Hộ gia đình'!$B$2:$B$2000,MATCH(B1893,'Hộ gia đình'!$A$2:$A$2000,0)),"Mã hộ không tồn tại"))</f>
        <v/>
      </c>
      <c r="K1893" s="14"/>
      <c r="L1893" s="14"/>
      <c r="M1893" s="6"/>
      <c r="N1893" s="6"/>
      <c r="O1893" s="6"/>
      <c r="P1893" s="6"/>
      <c r="Q1893" s="6"/>
      <c r="R1893" s="12"/>
    </row>
    <row r="1894" customFormat="false" ht="15" hidden="false" customHeight="true" outlineLevel="0" collapsed="false">
      <c r="A1894" s="6"/>
      <c r="B1894" s="6"/>
      <c r="C1894" s="6"/>
      <c r="D1894" s="6"/>
      <c r="E1894" s="13"/>
      <c r="F1894" s="6"/>
      <c r="G1894" s="11" t="str">
        <f aca="true">IF(F1894="","",YEAR(TODAY())-F1894)</f>
        <v/>
      </c>
      <c r="H1894" s="11" t="str">
        <f aca="false">IF(C1894="","",IF(G1894="","Thiếu thông tin",IF(G1894&lt;6,"Trẻ em",IF(G1894&lt;23,"Học sinh / Sinh viên",IF(G1894&lt;60,"Đang đi làm","Nghỉ hưu")))))</f>
        <v/>
      </c>
      <c r="I1894" s="6"/>
      <c r="J1894" s="11" t="str">
        <f aca="false">IF(B1894="","",IFERROR(INDEX('Hộ gia đình'!$B$2:$B$2000,MATCH(B1894,'Hộ gia đình'!$A$2:$A$2000,0)),"Mã hộ không tồn tại"))</f>
        <v/>
      </c>
      <c r="K1894" s="14"/>
      <c r="L1894" s="14"/>
      <c r="M1894" s="6"/>
      <c r="N1894" s="6"/>
      <c r="O1894" s="6"/>
      <c r="P1894" s="6"/>
      <c r="Q1894" s="6"/>
      <c r="R1894" s="12"/>
    </row>
    <row r="1895" customFormat="false" ht="15" hidden="false" customHeight="true" outlineLevel="0" collapsed="false">
      <c r="A1895" s="6"/>
      <c r="B1895" s="6"/>
      <c r="C1895" s="6"/>
      <c r="D1895" s="6"/>
      <c r="E1895" s="13"/>
      <c r="F1895" s="6"/>
      <c r="G1895" s="11" t="str">
        <f aca="true">IF(F1895="","",YEAR(TODAY())-F1895)</f>
        <v/>
      </c>
      <c r="H1895" s="11" t="str">
        <f aca="false">IF(C1895="","",IF(G1895="","Thiếu thông tin",IF(G1895&lt;6,"Trẻ em",IF(G1895&lt;23,"Học sinh / Sinh viên",IF(G1895&lt;60,"Đang đi làm","Nghỉ hưu")))))</f>
        <v/>
      </c>
      <c r="I1895" s="6"/>
      <c r="J1895" s="11" t="str">
        <f aca="false">IF(B1895="","",IFERROR(INDEX('Hộ gia đình'!$B$2:$B$2000,MATCH(B1895,'Hộ gia đình'!$A$2:$A$2000,0)),"Mã hộ không tồn tại"))</f>
        <v/>
      </c>
      <c r="K1895" s="14"/>
      <c r="L1895" s="14"/>
      <c r="M1895" s="6"/>
      <c r="N1895" s="6"/>
      <c r="O1895" s="6"/>
      <c r="P1895" s="6"/>
      <c r="Q1895" s="6"/>
      <c r="R1895" s="12"/>
    </row>
    <row r="1896" customFormat="false" ht="15" hidden="false" customHeight="true" outlineLevel="0" collapsed="false">
      <c r="A1896" s="6"/>
      <c r="B1896" s="6"/>
      <c r="C1896" s="6"/>
      <c r="D1896" s="6"/>
      <c r="E1896" s="13"/>
      <c r="F1896" s="6"/>
      <c r="G1896" s="11" t="str">
        <f aca="true">IF(F1896="","",YEAR(TODAY())-F1896)</f>
        <v/>
      </c>
      <c r="H1896" s="11" t="str">
        <f aca="false">IF(C1896="","",IF(G1896="","Thiếu thông tin",IF(G1896&lt;6,"Trẻ em",IF(G1896&lt;23,"Học sinh / Sinh viên",IF(G1896&lt;60,"Đang đi làm","Nghỉ hưu")))))</f>
        <v/>
      </c>
      <c r="I1896" s="6"/>
      <c r="J1896" s="11" t="str">
        <f aca="false">IF(B1896="","",IFERROR(INDEX('Hộ gia đình'!$B$2:$B$2000,MATCH(B1896,'Hộ gia đình'!$A$2:$A$2000,0)),"Mã hộ không tồn tại"))</f>
        <v/>
      </c>
      <c r="K1896" s="14"/>
      <c r="L1896" s="14"/>
      <c r="M1896" s="6"/>
      <c r="N1896" s="6"/>
      <c r="O1896" s="6"/>
      <c r="P1896" s="6"/>
      <c r="Q1896" s="6"/>
      <c r="R1896" s="12"/>
    </row>
    <row r="1897" customFormat="false" ht="15" hidden="false" customHeight="true" outlineLevel="0" collapsed="false">
      <c r="A1897" s="6"/>
      <c r="B1897" s="6"/>
      <c r="C1897" s="6"/>
      <c r="D1897" s="6"/>
      <c r="E1897" s="13"/>
      <c r="F1897" s="6"/>
      <c r="G1897" s="11" t="str">
        <f aca="true">IF(F1897="","",YEAR(TODAY())-F1897)</f>
        <v/>
      </c>
      <c r="H1897" s="11" t="str">
        <f aca="false">IF(C1897="","",IF(G1897="","Thiếu thông tin",IF(G1897&lt;6,"Trẻ em",IF(G1897&lt;23,"Học sinh / Sinh viên",IF(G1897&lt;60,"Đang đi làm","Nghỉ hưu")))))</f>
        <v/>
      </c>
      <c r="I1897" s="6"/>
      <c r="J1897" s="11" t="str">
        <f aca="false">IF(B1897="","",IFERROR(INDEX('Hộ gia đình'!$B$2:$B$2000,MATCH(B1897,'Hộ gia đình'!$A$2:$A$2000,0)),"Mã hộ không tồn tại"))</f>
        <v/>
      </c>
      <c r="K1897" s="14"/>
      <c r="L1897" s="14"/>
      <c r="M1897" s="6"/>
      <c r="N1897" s="6"/>
      <c r="O1897" s="6"/>
      <c r="P1897" s="6"/>
      <c r="Q1897" s="6"/>
      <c r="R1897" s="12"/>
    </row>
    <row r="1898" customFormat="false" ht="15" hidden="false" customHeight="true" outlineLevel="0" collapsed="false">
      <c r="A1898" s="6"/>
      <c r="B1898" s="6"/>
      <c r="C1898" s="6"/>
      <c r="D1898" s="6"/>
      <c r="E1898" s="13"/>
      <c r="F1898" s="6"/>
      <c r="G1898" s="11" t="str">
        <f aca="true">IF(F1898="","",YEAR(TODAY())-F1898)</f>
        <v/>
      </c>
      <c r="H1898" s="11" t="str">
        <f aca="false">IF(C1898="","",IF(G1898="","Thiếu thông tin",IF(G1898&lt;6,"Trẻ em",IF(G1898&lt;23,"Học sinh / Sinh viên",IF(G1898&lt;60,"Đang đi làm","Nghỉ hưu")))))</f>
        <v/>
      </c>
      <c r="I1898" s="6"/>
      <c r="J1898" s="11" t="str">
        <f aca="false">IF(B1898="","",IFERROR(INDEX('Hộ gia đình'!$B$2:$B$2000,MATCH(B1898,'Hộ gia đình'!$A$2:$A$2000,0)),"Mã hộ không tồn tại"))</f>
        <v/>
      </c>
      <c r="K1898" s="14"/>
      <c r="L1898" s="14"/>
      <c r="M1898" s="6"/>
      <c r="N1898" s="6"/>
      <c r="O1898" s="6"/>
      <c r="P1898" s="6"/>
      <c r="Q1898" s="6"/>
      <c r="R1898" s="12"/>
    </row>
    <row r="1899" customFormat="false" ht="15" hidden="false" customHeight="true" outlineLevel="0" collapsed="false">
      <c r="A1899" s="6"/>
      <c r="B1899" s="6"/>
      <c r="C1899" s="6"/>
      <c r="D1899" s="6"/>
      <c r="E1899" s="13"/>
      <c r="F1899" s="6"/>
      <c r="G1899" s="11" t="str">
        <f aca="true">IF(F1899="","",YEAR(TODAY())-F1899)</f>
        <v/>
      </c>
      <c r="H1899" s="11" t="str">
        <f aca="false">IF(C1899="","",IF(G1899="","Thiếu thông tin",IF(G1899&lt;6,"Trẻ em",IF(G1899&lt;23,"Học sinh / Sinh viên",IF(G1899&lt;60,"Đang đi làm","Nghỉ hưu")))))</f>
        <v/>
      </c>
      <c r="I1899" s="6"/>
      <c r="J1899" s="11" t="str">
        <f aca="false">IF(B1899="","",IFERROR(INDEX('Hộ gia đình'!$B$2:$B$2000,MATCH(B1899,'Hộ gia đình'!$A$2:$A$2000,0)),"Mã hộ không tồn tại"))</f>
        <v/>
      </c>
      <c r="K1899" s="14"/>
      <c r="L1899" s="14"/>
      <c r="M1899" s="6"/>
      <c r="N1899" s="6"/>
      <c r="O1899" s="6"/>
      <c r="P1899" s="6"/>
      <c r="Q1899" s="6"/>
      <c r="R1899" s="12"/>
    </row>
    <row r="1900" customFormat="false" ht="15" hidden="false" customHeight="true" outlineLevel="0" collapsed="false">
      <c r="A1900" s="6"/>
      <c r="B1900" s="6"/>
      <c r="C1900" s="6"/>
      <c r="D1900" s="6"/>
      <c r="E1900" s="13"/>
      <c r="F1900" s="6"/>
      <c r="G1900" s="11" t="str">
        <f aca="true">IF(F1900="","",YEAR(TODAY())-F1900)</f>
        <v/>
      </c>
      <c r="H1900" s="11" t="str">
        <f aca="false">IF(C1900="","",IF(G1900="","Thiếu thông tin",IF(G1900&lt;6,"Trẻ em",IF(G1900&lt;23,"Học sinh / Sinh viên",IF(G1900&lt;60,"Đang đi làm","Nghỉ hưu")))))</f>
        <v/>
      </c>
      <c r="I1900" s="6"/>
      <c r="J1900" s="11" t="str">
        <f aca="false">IF(B1900="","",IFERROR(INDEX('Hộ gia đình'!$B$2:$B$2000,MATCH(B1900,'Hộ gia đình'!$A$2:$A$2000,0)),"Mã hộ không tồn tại"))</f>
        <v/>
      </c>
      <c r="K1900" s="14"/>
      <c r="L1900" s="14"/>
      <c r="M1900" s="6"/>
      <c r="N1900" s="6"/>
      <c r="O1900" s="6"/>
      <c r="P1900" s="6"/>
      <c r="Q1900" s="6"/>
      <c r="R1900" s="12"/>
    </row>
    <row r="1901" customFormat="false" ht="15" hidden="false" customHeight="true" outlineLevel="0" collapsed="false">
      <c r="A1901" s="6"/>
      <c r="B1901" s="6"/>
      <c r="C1901" s="6"/>
      <c r="D1901" s="6"/>
      <c r="E1901" s="13"/>
      <c r="F1901" s="6"/>
      <c r="G1901" s="11" t="str">
        <f aca="true">IF(F1901="","",YEAR(TODAY())-F1901)</f>
        <v/>
      </c>
      <c r="H1901" s="11" t="str">
        <f aca="false">IF(C1901="","",IF(G1901="","Thiếu thông tin",IF(G1901&lt;6,"Trẻ em",IF(G1901&lt;23,"Học sinh / Sinh viên",IF(G1901&lt;60,"Đang đi làm","Nghỉ hưu")))))</f>
        <v/>
      </c>
      <c r="I1901" s="6"/>
      <c r="J1901" s="11" t="str">
        <f aca="false">IF(B1901="","",IFERROR(INDEX('Hộ gia đình'!$B$2:$B$2000,MATCH(B1901,'Hộ gia đình'!$A$2:$A$2000,0)),"Mã hộ không tồn tại"))</f>
        <v/>
      </c>
      <c r="K1901" s="14"/>
      <c r="L1901" s="14"/>
      <c r="M1901" s="6"/>
      <c r="N1901" s="6"/>
      <c r="O1901" s="6"/>
      <c r="P1901" s="6"/>
      <c r="Q1901" s="6"/>
      <c r="R1901" s="12"/>
    </row>
    <row r="1902" customFormat="false" ht="15" hidden="false" customHeight="true" outlineLevel="0" collapsed="false">
      <c r="A1902" s="6"/>
      <c r="B1902" s="6"/>
      <c r="C1902" s="6"/>
      <c r="D1902" s="6"/>
      <c r="E1902" s="13"/>
      <c r="F1902" s="6"/>
      <c r="G1902" s="11" t="str">
        <f aca="true">IF(F1902="","",YEAR(TODAY())-F1902)</f>
        <v/>
      </c>
      <c r="H1902" s="11" t="str">
        <f aca="false">IF(C1902="","",IF(G1902="","Thiếu thông tin",IF(G1902&lt;6,"Trẻ em",IF(G1902&lt;23,"Học sinh / Sinh viên",IF(G1902&lt;60,"Đang đi làm","Nghỉ hưu")))))</f>
        <v/>
      </c>
      <c r="I1902" s="6"/>
      <c r="J1902" s="11" t="str">
        <f aca="false">IF(B1902="","",IFERROR(INDEX('Hộ gia đình'!$B$2:$B$2000,MATCH(B1902,'Hộ gia đình'!$A$2:$A$2000,0)),"Mã hộ không tồn tại"))</f>
        <v/>
      </c>
      <c r="K1902" s="14"/>
      <c r="L1902" s="14"/>
      <c r="M1902" s="6"/>
      <c r="N1902" s="6"/>
      <c r="O1902" s="6"/>
      <c r="P1902" s="6"/>
      <c r="Q1902" s="6"/>
      <c r="R1902" s="12"/>
    </row>
    <row r="1903" customFormat="false" ht="15" hidden="false" customHeight="true" outlineLevel="0" collapsed="false">
      <c r="A1903" s="6"/>
      <c r="B1903" s="6"/>
      <c r="C1903" s="6"/>
      <c r="D1903" s="6"/>
      <c r="E1903" s="13"/>
      <c r="F1903" s="6"/>
      <c r="G1903" s="11" t="str">
        <f aca="true">IF(F1903="","",YEAR(TODAY())-F1903)</f>
        <v/>
      </c>
      <c r="H1903" s="11" t="str">
        <f aca="false">IF(C1903="","",IF(G1903="","Thiếu thông tin",IF(G1903&lt;6,"Trẻ em",IF(G1903&lt;23,"Học sinh / Sinh viên",IF(G1903&lt;60,"Đang đi làm","Nghỉ hưu")))))</f>
        <v/>
      </c>
      <c r="I1903" s="6"/>
      <c r="J1903" s="11" t="str">
        <f aca="false">IF(B1903="","",IFERROR(INDEX('Hộ gia đình'!$B$2:$B$2000,MATCH(B1903,'Hộ gia đình'!$A$2:$A$2000,0)),"Mã hộ không tồn tại"))</f>
        <v/>
      </c>
      <c r="K1903" s="14"/>
      <c r="L1903" s="14"/>
      <c r="M1903" s="6"/>
      <c r="N1903" s="6"/>
      <c r="O1903" s="6"/>
      <c r="P1903" s="6"/>
      <c r="Q1903" s="6"/>
      <c r="R1903" s="12"/>
    </row>
    <row r="1904" customFormat="false" ht="15" hidden="false" customHeight="true" outlineLevel="0" collapsed="false">
      <c r="A1904" s="6"/>
      <c r="B1904" s="6"/>
      <c r="C1904" s="6"/>
      <c r="D1904" s="6"/>
      <c r="E1904" s="13"/>
      <c r="F1904" s="6"/>
      <c r="G1904" s="11" t="str">
        <f aca="true">IF(F1904="","",YEAR(TODAY())-F1904)</f>
        <v/>
      </c>
      <c r="H1904" s="11" t="str">
        <f aca="false">IF(C1904="","",IF(G1904="","Thiếu thông tin",IF(G1904&lt;6,"Trẻ em",IF(G1904&lt;23,"Học sinh / Sinh viên",IF(G1904&lt;60,"Đang đi làm","Nghỉ hưu")))))</f>
        <v/>
      </c>
      <c r="I1904" s="6"/>
      <c r="J1904" s="11" t="str">
        <f aca="false">IF(B1904="","",IFERROR(INDEX('Hộ gia đình'!$B$2:$B$2000,MATCH(B1904,'Hộ gia đình'!$A$2:$A$2000,0)),"Mã hộ không tồn tại"))</f>
        <v/>
      </c>
      <c r="K1904" s="14"/>
      <c r="L1904" s="14"/>
      <c r="M1904" s="6"/>
      <c r="N1904" s="6"/>
      <c r="O1904" s="6"/>
      <c r="P1904" s="6"/>
      <c r="Q1904" s="6"/>
      <c r="R1904" s="12"/>
    </row>
    <row r="1905" customFormat="false" ht="15" hidden="false" customHeight="true" outlineLevel="0" collapsed="false">
      <c r="A1905" s="6"/>
      <c r="B1905" s="6"/>
      <c r="C1905" s="6"/>
      <c r="D1905" s="6"/>
      <c r="E1905" s="13"/>
      <c r="F1905" s="6"/>
      <c r="G1905" s="11" t="str">
        <f aca="true">IF(F1905="","",YEAR(TODAY())-F1905)</f>
        <v/>
      </c>
      <c r="H1905" s="11" t="str">
        <f aca="false">IF(C1905="","",IF(G1905="","Thiếu thông tin",IF(G1905&lt;6,"Trẻ em",IF(G1905&lt;23,"Học sinh / Sinh viên",IF(G1905&lt;60,"Đang đi làm","Nghỉ hưu")))))</f>
        <v/>
      </c>
      <c r="I1905" s="6"/>
      <c r="J1905" s="11" t="str">
        <f aca="false">IF(B1905="","",IFERROR(INDEX('Hộ gia đình'!$B$2:$B$2000,MATCH(B1905,'Hộ gia đình'!$A$2:$A$2000,0)),"Mã hộ không tồn tại"))</f>
        <v/>
      </c>
      <c r="K1905" s="14"/>
      <c r="L1905" s="14"/>
      <c r="M1905" s="6"/>
      <c r="N1905" s="6"/>
      <c r="O1905" s="6"/>
      <c r="P1905" s="6"/>
      <c r="Q1905" s="6"/>
      <c r="R1905" s="12"/>
    </row>
    <row r="1906" customFormat="false" ht="15" hidden="false" customHeight="true" outlineLevel="0" collapsed="false">
      <c r="A1906" s="6"/>
      <c r="B1906" s="6"/>
      <c r="C1906" s="6"/>
      <c r="D1906" s="6"/>
      <c r="E1906" s="13"/>
      <c r="F1906" s="6"/>
      <c r="G1906" s="11" t="str">
        <f aca="true">IF(F1906="","",YEAR(TODAY())-F1906)</f>
        <v/>
      </c>
      <c r="H1906" s="11" t="str">
        <f aca="false">IF(C1906="","",IF(G1906="","Thiếu thông tin",IF(G1906&lt;6,"Trẻ em",IF(G1906&lt;23,"Học sinh / Sinh viên",IF(G1906&lt;60,"Đang đi làm","Nghỉ hưu")))))</f>
        <v/>
      </c>
      <c r="I1906" s="6"/>
      <c r="J1906" s="11" t="str">
        <f aca="false">IF(B1906="","",IFERROR(INDEX('Hộ gia đình'!$B$2:$B$2000,MATCH(B1906,'Hộ gia đình'!$A$2:$A$2000,0)),"Mã hộ không tồn tại"))</f>
        <v/>
      </c>
      <c r="K1906" s="14"/>
      <c r="L1906" s="14"/>
      <c r="M1906" s="6"/>
      <c r="N1906" s="6"/>
      <c r="O1906" s="6"/>
      <c r="P1906" s="6"/>
      <c r="Q1906" s="6"/>
      <c r="R1906" s="12"/>
    </row>
    <row r="1907" customFormat="false" ht="15" hidden="false" customHeight="true" outlineLevel="0" collapsed="false">
      <c r="A1907" s="6"/>
      <c r="B1907" s="6"/>
      <c r="C1907" s="6"/>
      <c r="D1907" s="6"/>
      <c r="E1907" s="13"/>
      <c r="F1907" s="6"/>
      <c r="G1907" s="11" t="str">
        <f aca="true">IF(F1907="","",YEAR(TODAY())-F1907)</f>
        <v/>
      </c>
      <c r="H1907" s="11" t="str">
        <f aca="false">IF(C1907="","",IF(G1907="","Thiếu thông tin",IF(G1907&lt;6,"Trẻ em",IF(G1907&lt;23,"Học sinh / Sinh viên",IF(G1907&lt;60,"Đang đi làm","Nghỉ hưu")))))</f>
        <v/>
      </c>
      <c r="I1907" s="6"/>
      <c r="J1907" s="11" t="str">
        <f aca="false">IF(B1907="","",IFERROR(INDEX('Hộ gia đình'!$B$2:$B$2000,MATCH(B1907,'Hộ gia đình'!$A$2:$A$2000,0)),"Mã hộ không tồn tại"))</f>
        <v/>
      </c>
      <c r="K1907" s="14"/>
      <c r="L1907" s="14"/>
      <c r="M1907" s="6"/>
      <c r="N1907" s="6"/>
      <c r="O1907" s="6"/>
      <c r="P1907" s="6"/>
      <c r="Q1907" s="6"/>
      <c r="R1907" s="12"/>
    </row>
    <row r="1908" customFormat="false" ht="15" hidden="false" customHeight="true" outlineLevel="0" collapsed="false">
      <c r="A1908" s="6"/>
      <c r="B1908" s="6"/>
      <c r="C1908" s="6"/>
      <c r="D1908" s="6"/>
      <c r="E1908" s="13"/>
      <c r="F1908" s="6"/>
      <c r="G1908" s="11" t="str">
        <f aca="true">IF(F1908="","",YEAR(TODAY())-F1908)</f>
        <v/>
      </c>
      <c r="H1908" s="11" t="str">
        <f aca="false">IF(C1908="","",IF(G1908="","Thiếu thông tin",IF(G1908&lt;6,"Trẻ em",IF(G1908&lt;23,"Học sinh / Sinh viên",IF(G1908&lt;60,"Đang đi làm","Nghỉ hưu")))))</f>
        <v/>
      </c>
      <c r="I1908" s="6"/>
      <c r="J1908" s="11" t="str">
        <f aca="false">IF(B1908="","",IFERROR(INDEX('Hộ gia đình'!$B$2:$B$2000,MATCH(B1908,'Hộ gia đình'!$A$2:$A$2000,0)),"Mã hộ không tồn tại"))</f>
        <v/>
      </c>
      <c r="K1908" s="14"/>
      <c r="L1908" s="14"/>
      <c r="M1908" s="6"/>
      <c r="N1908" s="6"/>
      <c r="O1908" s="6"/>
      <c r="P1908" s="6"/>
      <c r="Q1908" s="6"/>
      <c r="R1908" s="12"/>
    </row>
    <row r="1909" customFormat="false" ht="15" hidden="false" customHeight="true" outlineLevel="0" collapsed="false">
      <c r="A1909" s="6"/>
      <c r="B1909" s="6"/>
      <c r="C1909" s="6"/>
      <c r="D1909" s="6"/>
      <c r="E1909" s="13"/>
      <c r="F1909" s="6"/>
      <c r="G1909" s="11" t="str">
        <f aca="true">IF(F1909="","",YEAR(TODAY())-F1909)</f>
        <v/>
      </c>
      <c r="H1909" s="11" t="str">
        <f aca="false">IF(C1909="","",IF(G1909="","Thiếu thông tin",IF(G1909&lt;6,"Trẻ em",IF(G1909&lt;23,"Học sinh / Sinh viên",IF(G1909&lt;60,"Đang đi làm","Nghỉ hưu")))))</f>
        <v/>
      </c>
      <c r="I1909" s="6"/>
      <c r="J1909" s="11" t="str">
        <f aca="false">IF(B1909="","",IFERROR(INDEX('Hộ gia đình'!$B$2:$B$2000,MATCH(B1909,'Hộ gia đình'!$A$2:$A$2000,0)),"Mã hộ không tồn tại"))</f>
        <v/>
      </c>
      <c r="K1909" s="14"/>
      <c r="L1909" s="14"/>
      <c r="M1909" s="6"/>
      <c r="N1909" s="6"/>
      <c r="O1909" s="6"/>
      <c r="P1909" s="6"/>
      <c r="Q1909" s="6"/>
      <c r="R1909" s="12"/>
    </row>
    <row r="1910" customFormat="false" ht="15" hidden="false" customHeight="true" outlineLevel="0" collapsed="false">
      <c r="A1910" s="6"/>
      <c r="B1910" s="6"/>
      <c r="C1910" s="6"/>
      <c r="D1910" s="6"/>
      <c r="E1910" s="13"/>
      <c r="F1910" s="6"/>
      <c r="G1910" s="11" t="str">
        <f aca="true">IF(F1910="","",YEAR(TODAY())-F1910)</f>
        <v/>
      </c>
      <c r="H1910" s="11" t="str">
        <f aca="false">IF(C1910="","",IF(G1910="","Thiếu thông tin",IF(G1910&lt;6,"Trẻ em",IF(G1910&lt;23,"Học sinh / Sinh viên",IF(G1910&lt;60,"Đang đi làm","Nghỉ hưu")))))</f>
        <v/>
      </c>
      <c r="I1910" s="6"/>
      <c r="J1910" s="11" t="str">
        <f aca="false">IF(B1910="","",IFERROR(INDEX('Hộ gia đình'!$B$2:$B$2000,MATCH(B1910,'Hộ gia đình'!$A$2:$A$2000,0)),"Mã hộ không tồn tại"))</f>
        <v/>
      </c>
      <c r="K1910" s="14"/>
      <c r="L1910" s="14"/>
      <c r="M1910" s="6"/>
      <c r="N1910" s="6"/>
      <c r="O1910" s="6"/>
      <c r="P1910" s="6"/>
      <c r="Q1910" s="6"/>
      <c r="R1910" s="12"/>
    </row>
    <row r="1911" customFormat="false" ht="15" hidden="false" customHeight="true" outlineLevel="0" collapsed="false">
      <c r="A1911" s="6"/>
      <c r="B1911" s="6"/>
      <c r="C1911" s="6"/>
      <c r="D1911" s="6"/>
      <c r="E1911" s="13"/>
      <c r="F1911" s="6"/>
      <c r="G1911" s="11" t="str">
        <f aca="true">IF(F1911="","",YEAR(TODAY())-F1911)</f>
        <v/>
      </c>
      <c r="H1911" s="11" t="str">
        <f aca="false">IF(C1911="","",IF(G1911="","Thiếu thông tin",IF(G1911&lt;6,"Trẻ em",IF(G1911&lt;23,"Học sinh / Sinh viên",IF(G1911&lt;60,"Đang đi làm","Nghỉ hưu")))))</f>
        <v/>
      </c>
      <c r="I1911" s="6"/>
      <c r="J1911" s="11" t="str">
        <f aca="false">IF(B1911="","",IFERROR(INDEX('Hộ gia đình'!$B$2:$B$2000,MATCH(B1911,'Hộ gia đình'!$A$2:$A$2000,0)),"Mã hộ không tồn tại"))</f>
        <v/>
      </c>
      <c r="K1911" s="14"/>
      <c r="L1911" s="14"/>
      <c r="M1911" s="6"/>
      <c r="N1911" s="6"/>
      <c r="O1911" s="6"/>
      <c r="P1911" s="6"/>
      <c r="Q1911" s="6"/>
      <c r="R1911" s="12"/>
    </row>
    <row r="1912" customFormat="false" ht="15" hidden="false" customHeight="true" outlineLevel="0" collapsed="false">
      <c r="A1912" s="6"/>
      <c r="B1912" s="6"/>
      <c r="C1912" s="6"/>
      <c r="D1912" s="6"/>
      <c r="E1912" s="13"/>
      <c r="F1912" s="6"/>
      <c r="G1912" s="11" t="str">
        <f aca="true">IF(F1912="","",YEAR(TODAY())-F1912)</f>
        <v/>
      </c>
      <c r="H1912" s="11" t="str">
        <f aca="false">IF(C1912="","",IF(G1912="","Thiếu thông tin",IF(G1912&lt;6,"Trẻ em",IF(G1912&lt;23,"Học sinh / Sinh viên",IF(G1912&lt;60,"Đang đi làm","Nghỉ hưu")))))</f>
        <v/>
      </c>
      <c r="I1912" s="6"/>
      <c r="J1912" s="11" t="str">
        <f aca="false">IF(B1912="","",IFERROR(INDEX('Hộ gia đình'!$B$2:$B$2000,MATCH(B1912,'Hộ gia đình'!$A$2:$A$2000,0)),"Mã hộ không tồn tại"))</f>
        <v/>
      </c>
      <c r="K1912" s="14"/>
      <c r="L1912" s="14"/>
      <c r="M1912" s="6"/>
      <c r="N1912" s="6"/>
      <c r="O1912" s="6"/>
      <c r="P1912" s="6"/>
      <c r="Q1912" s="6"/>
      <c r="R1912" s="12"/>
    </row>
    <row r="1913" customFormat="false" ht="15" hidden="false" customHeight="true" outlineLevel="0" collapsed="false">
      <c r="A1913" s="6"/>
      <c r="B1913" s="6"/>
      <c r="C1913" s="6"/>
      <c r="D1913" s="6"/>
      <c r="E1913" s="13"/>
      <c r="F1913" s="6"/>
      <c r="G1913" s="11" t="str">
        <f aca="true">IF(F1913="","",YEAR(TODAY())-F1913)</f>
        <v/>
      </c>
      <c r="H1913" s="11" t="str">
        <f aca="false">IF(C1913="","",IF(G1913="","Thiếu thông tin",IF(G1913&lt;6,"Trẻ em",IF(G1913&lt;23,"Học sinh / Sinh viên",IF(G1913&lt;60,"Đang đi làm","Nghỉ hưu")))))</f>
        <v/>
      </c>
      <c r="I1913" s="6"/>
      <c r="J1913" s="11" t="str">
        <f aca="false">IF(B1913="","",IFERROR(INDEX('Hộ gia đình'!$B$2:$B$2000,MATCH(B1913,'Hộ gia đình'!$A$2:$A$2000,0)),"Mã hộ không tồn tại"))</f>
        <v/>
      </c>
      <c r="K1913" s="14"/>
      <c r="L1913" s="14"/>
      <c r="M1913" s="6"/>
      <c r="N1913" s="6"/>
      <c r="O1913" s="6"/>
      <c r="P1913" s="6"/>
      <c r="Q1913" s="6"/>
      <c r="R1913" s="12"/>
    </row>
    <row r="1914" customFormat="false" ht="15" hidden="false" customHeight="true" outlineLevel="0" collapsed="false">
      <c r="A1914" s="6"/>
      <c r="B1914" s="6"/>
      <c r="C1914" s="6"/>
      <c r="D1914" s="6"/>
      <c r="E1914" s="13"/>
      <c r="F1914" s="6"/>
      <c r="G1914" s="11" t="str">
        <f aca="true">IF(F1914="","",YEAR(TODAY())-F1914)</f>
        <v/>
      </c>
      <c r="H1914" s="11" t="str">
        <f aca="false">IF(C1914="","",IF(G1914="","Thiếu thông tin",IF(G1914&lt;6,"Trẻ em",IF(G1914&lt;23,"Học sinh / Sinh viên",IF(G1914&lt;60,"Đang đi làm","Nghỉ hưu")))))</f>
        <v/>
      </c>
      <c r="I1914" s="6"/>
      <c r="J1914" s="11" t="str">
        <f aca="false">IF(B1914="","",IFERROR(INDEX('Hộ gia đình'!$B$2:$B$2000,MATCH(B1914,'Hộ gia đình'!$A$2:$A$2000,0)),"Mã hộ không tồn tại"))</f>
        <v/>
      </c>
      <c r="K1914" s="14"/>
      <c r="L1914" s="14"/>
      <c r="M1914" s="6"/>
      <c r="N1914" s="6"/>
      <c r="O1914" s="6"/>
      <c r="P1914" s="6"/>
      <c r="Q1914" s="6"/>
      <c r="R1914" s="12"/>
    </row>
    <row r="1915" customFormat="false" ht="15" hidden="false" customHeight="true" outlineLevel="0" collapsed="false">
      <c r="A1915" s="6"/>
      <c r="B1915" s="6"/>
      <c r="C1915" s="6"/>
      <c r="D1915" s="6"/>
      <c r="E1915" s="13"/>
      <c r="F1915" s="6"/>
      <c r="G1915" s="11" t="str">
        <f aca="true">IF(F1915="","",YEAR(TODAY())-F1915)</f>
        <v/>
      </c>
      <c r="H1915" s="11" t="str">
        <f aca="false">IF(C1915="","",IF(G1915="","Thiếu thông tin",IF(G1915&lt;6,"Trẻ em",IF(G1915&lt;23,"Học sinh / Sinh viên",IF(G1915&lt;60,"Đang đi làm","Nghỉ hưu")))))</f>
        <v/>
      </c>
      <c r="I1915" s="6"/>
      <c r="J1915" s="11" t="str">
        <f aca="false">IF(B1915="","",IFERROR(INDEX('Hộ gia đình'!$B$2:$B$2000,MATCH(B1915,'Hộ gia đình'!$A$2:$A$2000,0)),"Mã hộ không tồn tại"))</f>
        <v/>
      </c>
      <c r="K1915" s="14"/>
      <c r="L1915" s="14"/>
      <c r="M1915" s="6"/>
      <c r="N1915" s="6"/>
      <c r="O1915" s="6"/>
      <c r="P1915" s="6"/>
      <c r="Q1915" s="6"/>
      <c r="R1915" s="12"/>
    </row>
    <row r="1916" customFormat="false" ht="15" hidden="false" customHeight="true" outlineLevel="0" collapsed="false">
      <c r="A1916" s="6"/>
      <c r="B1916" s="6"/>
      <c r="C1916" s="6"/>
      <c r="D1916" s="6"/>
      <c r="E1916" s="13"/>
      <c r="F1916" s="6"/>
      <c r="G1916" s="11" t="str">
        <f aca="true">IF(F1916="","",YEAR(TODAY())-F1916)</f>
        <v/>
      </c>
      <c r="H1916" s="11" t="str">
        <f aca="false">IF(C1916="","",IF(G1916="","Thiếu thông tin",IF(G1916&lt;6,"Trẻ em",IF(G1916&lt;23,"Học sinh / Sinh viên",IF(G1916&lt;60,"Đang đi làm","Nghỉ hưu")))))</f>
        <v/>
      </c>
      <c r="I1916" s="6"/>
      <c r="J1916" s="11" t="str">
        <f aca="false">IF(B1916="","",IFERROR(INDEX('Hộ gia đình'!$B$2:$B$2000,MATCH(B1916,'Hộ gia đình'!$A$2:$A$2000,0)),"Mã hộ không tồn tại"))</f>
        <v/>
      </c>
      <c r="K1916" s="14"/>
      <c r="L1916" s="14"/>
      <c r="M1916" s="6"/>
      <c r="N1916" s="6"/>
      <c r="O1916" s="6"/>
      <c r="P1916" s="6"/>
      <c r="Q1916" s="6"/>
      <c r="R1916" s="12"/>
    </row>
    <row r="1917" customFormat="false" ht="15" hidden="false" customHeight="true" outlineLevel="0" collapsed="false">
      <c r="A1917" s="6"/>
      <c r="B1917" s="6"/>
      <c r="C1917" s="6"/>
      <c r="D1917" s="6"/>
      <c r="E1917" s="13"/>
      <c r="F1917" s="6"/>
      <c r="G1917" s="11" t="str">
        <f aca="true">IF(F1917="","",YEAR(TODAY())-F1917)</f>
        <v/>
      </c>
      <c r="H1917" s="11" t="str">
        <f aca="false">IF(C1917="","",IF(G1917="","Thiếu thông tin",IF(G1917&lt;6,"Trẻ em",IF(G1917&lt;23,"Học sinh / Sinh viên",IF(G1917&lt;60,"Đang đi làm","Nghỉ hưu")))))</f>
        <v/>
      </c>
      <c r="I1917" s="6"/>
      <c r="J1917" s="11" t="str">
        <f aca="false">IF(B1917="","",IFERROR(INDEX('Hộ gia đình'!$B$2:$B$2000,MATCH(B1917,'Hộ gia đình'!$A$2:$A$2000,0)),"Mã hộ không tồn tại"))</f>
        <v/>
      </c>
      <c r="K1917" s="14"/>
      <c r="L1917" s="14"/>
      <c r="M1917" s="6"/>
      <c r="N1917" s="6"/>
      <c r="O1917" s="6"/>
      <c r="P1917" s="6"/>
      <c r="Q1917" s="6"/>
      <c r="R1917" s="12"/>
    </row>
    <row r="1918" customFormat="false" ht="15" hidden="false" customHeight="true" outlineLevel="0" collapsed="false">
      <c r="A1918" s="6"/>
      <c r="B1918" s="6"/>
      <c r="C1918" s="6"/>
      <c r="D1918" s="6"/>
      <c r="E1918" s="13"/>
      <c r="F1918" s="6"/>
      <c r="G1918" s="11" t="str">
        <f aca="true">IF(F1918="","",YEAR(TODAY())-F1918)</f>
        <v/>
      </c>
      <c r="H1918" s="11" t="str">
        <f aca="false">IF(C1918="","",IF(G1918="","Thiếu thông tin",IF(G1918&lt;6,"Trẻ em",IF(G1918&lt;23,"Học sinh / Sinh viên",IF(G1918&lt;60,"Đang đi làm","Nghỉ hưu")))))</f>
        <v/>
      </c>
      <c r="I1918" s="6"/>
      <c r="J1918" s="11" t="str">
        <f aca="false">IF(B1918="","",IFERROR(INDEX('Hộ gia đình'!$B$2:$B$2000,MATCH(B1918,'Hộ gia đình'!$A$2:$A$2000,0)),"Mã hộ không tồn tại"))</f>
        <v/>
      </c>
      <c r="K1918" s="14"/>
      <c r="L1918" s="14"/>
      <c r="M1918" s="6"/>
      <c r="N1918" s="6"/>
      <c r="O1918" s="6"/>
      <c r="P1918" s="6"/>
      <c r="Q1918" s="6"/>
      <c r="R1918" s="12"/>
    </row>
    <row r="1919" customFormat="false" ht="15" hidden="false" customHeight="true" outlineLevel="0" collapsed="false">
      <c r="A1919" s="6"/>
      <c r="B1919" s="6"/>
      <c r="C1919" s="6"/>
      <c r="D1919" s="6"/>
      <c r="E1919" s="13"/>
      <c r="F1919" s="6"/>
      <c r="G1919" s="11" t="str">
        <f aca="true">IF(F1919="","",YEAR(TODAY())-F1919)</f>
        <v/>
      </c>
      <c r="H1919" s="11" t="str">
        <f aca="false">IF(C1919="","",IF(G1919="","Thiếu thông tin",IF(G1919&lt;6,"Trẻ em",IF(G1919&lt;23,"Học sinh / Sinh viên",IF(G1919&lt;60,"Đang đi làm","Nghỉ hưu")))))</f>
        <v/>
      </c>
      <c r="I1919" s="6"/>
      <c r="J1919" s="11" t="str">
        <f aca="false">IF(B1919="","",IFERROR(INDEX('Hộ gia đình'!$B$2:$B$2000,MATCH(B1919,'Hộ gia đình'!$A$2:$A$2000,0)),"Mã hộ không tồn tại"))</f>
        <v/>
      </c>
      <c r="K1919" s="14"/>
      <c r="L1919" s="14"/>
      <c r="M1919" s="6"/>
      <c r="N1919" s="6"/>
      <c r="O1919" s="6"/>
      <c r="P1919" s="6"/>
      <c r="Q1919" s="6"/>
      <c r="R1919" s="12"/>
    </row>
    <row r="1920" customFormat="false" ht="15" hidden="false" customHeight="true" outlineLevel="0" collapsed="false">
      <c r="A1920" s="6"/>
      <c r="B1920" s="6"/>
      <c r="C1920" s="6"/>
      <c r="D1920" s="6"/>
      <c r="E1920" s="13"/>
      <c r="F1920" s="6"/>
      <c r="G1920" s="11" t="str">
        <f aca="true">IF(F1920="","",YEAR(TODAY())-F1920)</f>
        <v/>
      </c>
      <c r="H1920" s="11" t="str">
        <f aca="false">IF(C1920="","",IF(G1920="","Thiếu thông tin",IF(G1920&lt;6,"Trẻ em",IF(G1920&lt;23,"Học sinh / Sinh viên",IF(G1920&lt;60,"Đang đi làm","Nghỉ hưu")))))</f>
        <v/>
      </c>
      <c r="I1920" s="6"/>
      <c r="J1920" s="11" t="str">
        <f aca="false">IF(B1920="","",IFERROR(INDEX('Hộ gia đình'!$B$2:$B$2000,MATCH(B1920,'Hộ gia đình'!$A$2:$A$2000,0)),"Mã hộ không tồn tại"))</f>
        <v/>
      </c>
      <c r="K1920" s="14"/>
      <c r="L1920" s="14"/>
      <c r="M1920" s="6"/>
      <c r="N1920" s="6"/>
      <c r="O1920" s="6"/>
      <c r="P1920" s="6"/>
      <c r="Q1920" s="6"/>
      <c r="R1920" s="12"/>
    </row>
    <row r="1921" customFormat="false" ht="15" hidden="false" customHeight="true" outlineLevel="0" collapsed="false">
      <c r="A1921" s="6"/>
      <c r="B1921" s="6"/>
      <c r="C1921" s="6"/>
      <c r="D1921" s="6"/>
      <c r="E1921" s="13"/>
      <c r="F1921" s="6"/>
      <c r="G1921" s="11" t="str">
        <f aca="true">IF(F1921="","",YEAR(TODAY())-F1921)</f>
        <v/>
      </c>
      <c r="H1921" s="11" t="str">
        <f aca="false">IF(C1921="","",IF(G1921="","Thiếu thông tin",IF(G1921&lt;6,"Trẻ em",IF(G1921&lt;23,"Học sinh / Sinh viên",IF(G1921&lt;60,"Đang đi làm","Nghỉ hưu")))))</f>
        <v/>
      </c>
      <c r="I1921" s="6"/>
      <c r="J1921" s="11" t="str">
        <f aca="false">IF(B1921="","",IFERROR(INDEX('Hộ gia đình'!$B$2:$B$2000,MATCH(B1921,'Hộ gia đình'!$A$2:$A$2000,0)),"Mã hộ không tồn tại"))</f>
        <v/>
      </c>
      <c r="K1921" s="14"/>
      <c r="L1921" s="14"/>
      <c r="M1921" s="6"/>
      <c r="N1921" s="6"/>
      <c r="O1921" s="6"/>
      <c r="P1921" s="6"/>
      <c r="Q1921" s="6"/>
      <c r="R1921" s="12"/>
    </row>
    <row r="1922" customFormat="false" ht="15" hidden="false" customHeight="true" outlineLevel="0" collapsed="false">
      <c r="A1922" s="6"/>
      <c r="B1922" s="6"/>
      <c r="C1922" s="6"/>
      <c r="D1922" s="6"/>
      <c r="E1922" s="13"/>
      <c r="F1922" s="6"/>
      <c r="G1922" s="11" t="str">
        <f aca="true">IF(F1922="","",YEAR(TODAY())-F1922)</f>
        <v/>
      </c>
      <c r="H1922" s="11" t="str">
        <f aca="false">IF(C1922="","",IF(G1922="","Thiếu thông tin",IF(G1922&lt;6,"Trẻ em",IF(G1922&lt;23,"Học sinh / Sinh viên",IF(G1922&lt;60,"Đang đi làm","Nghỉ hưu")))))</f>
        <v/>
      </c>
      <c r="I1922" s="6"/>
      <c r="J1922" s="11" t="str">
        <f aca="false">IF(B1922="","",IFERROR(INDEX('Hộ gia đình'!$B$2:$B$2000,MATCH(B1922,'Hộ gia đình'!$A$2:$A$2000,0)),"Mã hộ không tồn tại"))</f>
        <v/>
      </c>
      <c r="K1922" s="14"/>
      <c r="L1922" s="14"/>
      <c r="M1922" s="6"/>
      <c r="N1922" s="6"/>
      <c r="O1922" s="6"/>
      <c r="P1922" s="6"/>
      <c r="Q1922" s="6"/>
      <c r="R1922" s="12"/>
    </row>
    <row r="1923" customFormat="false" ht="15" hidden="false" customHeight="true" outlineLevel="0" collapsed="false">
      <c r="A1923" s="6"/>
      <c r="B1923" s="6"/>
      <c r="C1923" s="6"/>
      <c r="D1923" s="6"/>
      <c r="E1923" s="13"/>
      <c r="F1923" s="6"/>
      <c r="G1923" s="11" t="str">
        <f aca="true">IF(F1923="","",YEAR(TODAY())-F1923)</f>
        <v/>
      </c>
      <c r="H1923" s="11" t="str">
        <f aca="false">IF(C1923="","",IF(G1923="","Thiếu thông tin",IF(G1923&lt;6,"Trẻ em",IF(G1923&lt;23,"Học sinh / Sinh viên",IF(G1923&lt;60,"Đang đi làm","Nghỉ hưu")))))</f>
        <v/>
      </c>
      <c r="I1923" s="6"/>
      <c r="J1923" s="11" t="str">
        <f aca="false">IF(B1923="","",IFERROR(INDEX('Hộ gia đình'!$B$2:$B$2000,MATCH(B1923,'Hộ gia đình'!$A$2:$A$2000,0)),"Mã hộ không tồn tại"))</f>
        <v/>
      </c>
      <c r="K1923" s="14"/>
      <c r="L1923" s="14"/>
      <c r="M1923" s="6"/>
      <c r="N1923" s="6"/>
      <c r="O1923" s="6"/>
      <c r="P1923" s="6"/>
      <c r="Q1923" s="6"/>
      <c r="R1923" s="12"/>
    </row>
    <row r="1924" customFormat="false" ht="15" hidden="false" customHeight="true" outlineLevel="0" collapsed="false">
      <c r="A1924" s="6"/>
      <c r="B1924" s="6"/>
      <c r="C1924" s="6"/>
      <c r="D1924" s="6"/>
      <c r="E1924" s="13"/>
      <c r="F1924" s="6"/>
      <c r="G1924" s="11" t="str">
        <f aca="true">IF(F1924="","",YEAR(TODAY())-F1924)</f>
        <v/>
      </c>
      <c r="H1924" s="11" t="str">
        <f aca="false">IF(C1924="","",IF(G1924="","Thiếu thông tin",IF(G1924&lt;6,"Trẻ em",IF(G1924&lt;23,"Học sinh / Sinh viên",IF(G1924&lt;60,"Đang đi làm","Nghỉ hưu")))))</f>
        <v/>
      </c>
      <c r="I1924" s="6"/>
      <c r="J1924" s="11" t="str">
        <f aca="false">IF(B1924="","",IFERROR(INDEX('Hộ gia đình'!$B$2:$B$2000,MATCH(B1924,'Hộ gia đình'!$A$2:$A$2000,0)),"Mã hộ không tồn tại"))</f>
        <v/>
      </c>
      <c r="K1924" s="14"/>
      <c r="L1924" s="14"/>
      <c r="M1924" s="6"/>
      <c r="N1924" s="6"/>
      <c r="O1924" s="6"/>
      <c r="P1924" s="6"/>
      <c r="Q1924" s="6"/>
      <c r="R1924" s="12"/>
    </row>
    <row r="1925" customFormat="false" ht="15" hidden="false" customHeight="true" outlineLevel="0" collapsed="false">
      <c r="A1925" s="6"/>
      <c r="B1925" s="6"/>
      <c r="C1925" s="6"/>
      <c r="D1925" s="6"/>
      <c r="E1925" s="13"/>
      <c r="F1925" s="6"/>
      <c r="G1925" s="11" t="str">
        <f aca="true">IF(F1925="","",YEAR(TODAY())-F1925)</f>
        <v/>
      </c>
      <c r="H1925" s="11" t="str">
        <f aca="false">IF(C1925="","",IF(G1925="","Thiếu thông tin",IF(G1925&lt;6,"Trẻ em",IF(G1925&lt;23,"Học sinh / Sinh viên",IF(G1925&lt;60,"Đang đi làm","Nghỉ hưu")))))</f>
        <v/>
      </c>
      <c r="I1925" s="6"/>
      <c r="J1925" s="11" t="str">
        <f aca="false">IF(B1925="","",IFERROR(INDEX('Hộ gia đình'!$B$2:$B$2000,MATCH(B1925,'Hộ gia đình'!$A$2:$A$2000,0)),"Mã hộ không tồn tại"))</f>
        <v/>
      </c>
      <c r="K1925" s="14"/>
      <c r="L1925" s="14"/>
      <c r="M1925" s="6"/>
      <c r="N1925" s="6"/>
      <c r="O1925" s="6"/>
      <c r="P1925" s="6"/>
      <c r="Q1925" s="6"/>
      <c r="R1925" s="12"/>
    </row>
    <row r="1926" customFormat="false" ht="15" hidden="false" customHeight="true" outlineLevel="0" collapsed="false">
      <c r="A1926" s="6"/>
      <c r="B1926" s="6"/>
      <c r="C1926" s="6"/>
      <c r="D1926" s="6"/>
      <c r="E1926" s="13"/>
      <c r="F1926" s="6"/>
      <c r="G1926" s="11" t="str">
        <f aca="true">IF(F1926="","",YEAR(TODAY())-F1926)</f>
        <v/>
      </c>
      <c r="H1926" s="11" t="str">
        <f aca="false">IF(C1926="","",IF(G1926="","Thiếu thông tin",IF(G1926&lt;6,"Trẻ em",IF(G1926&lt;23,"Học sinh / Sinh viên",IF(G1926&lt;60,"Đang đi làm","Nghỉ hưu")))))</f>
        <v/>
      </c>
      <c r="I1926" s="6"/>
      <c r="J1926" s="11" t="str">
        <f aca="false">IF(B1926="","",IFERROR(INDEX('Hộ gia đình'!$B$2:$B$2000,MATCH(B1926,'Hộ gia đình'!$A$2:$A$2000,0)),"Mã hộ không tồn tại"))</f>
        <v/>
      </c>
      <c r="K1926" s="14"/>
      <c r="L1926" s="14"/>
      <c r="M1926" s="6"/>
      <c r="N1926" s="6"/>
      <c r="O1926" s="6"/>
      <c r="P1926" s="6"/>
      <c r="Q1926" s="6"/>
      <c r="R1926" s="12"/>
    </row>
    <row r="1927" customFormat="false" ht="15" hidden="false" customHeight="true" outlineLevel="0" collapsed="false">
      <c r="A1927" s="6"/>
      <c r="B1927" s="6"/>
      <c r="C1927" s="6"/>
      <c r="D1927" s="6"/>
      <c r="E1927" s="13"/>
      <c r="F1927" s="6"/>
      <c r="G1927" s="11" t="str">
        <f aca="true">IF(F1927="","",YEAR(TODAY())-F1927)</f>
        <v/>
      </c>
      <c r="H1927" s="11" t="str">
        <f aca="false">IF(C1927="","",IF(G1927="","Thiếu thông tin",IF(G1927&lt;6,"Trẻ em",IF(G1927&lt;23,"Học sinh / Sinh viên",IF(G1927&lt;60,"Đang đi làm","Nghỉ hưu")))))</f>
        <v/>
      </c>
      <c r="I1927" s="6"/>
      <c r="J1927" s="11" t="str">
        <f aca="false">IF(B1927="","",IFERROR(INDEX('Hộ gia đình'!$B$2:$B$2000,MATCH(B1927,'Hộ gia đình'!$A$2:$A$2000,0)),"Mã hộ không tồn tại"))</f>
        <v/>
      </c>
      <c r="K1927" s="14"/>
      <c r="L1927" s="14"/>
      <c r="M1927" s="6"/>
      <c r="N1927" s="6"/>
      <c r="O1927" s="6"/>
      <c r="P1927" s="6"/>
      <c r="Q1927" s="6"/>
      <c r="R1927" s="12"/>
    </row>
    <row r="1928" customFormat="false" ht="15" hidden="false" customHeight="true" outlineLevel="0" collapsed="false">
      <c r="A1928" s="6"/>
      <c r="B1928" s="6"/>
      <c r="C1928" s="6"/>
      <c r="D1928" s="6"/>
      <c r="E1928" s="13"/>
      <c r="F1928" s="6"/>
      <c r="G1928" s="11" t="str">
        <f aca="true">IF(F1928="","",YEAR(TODAY())-F1928)</f>
        <v/>
      </c>
      <c r="H1928" s="11" t="str">
        <f aca="false">IF(C1928="","",IF(G1928="","Thiếu thông tin",IF(G1928&lt;6,"Trẻ em",IF(G1928&lt;23,"Học sinh / Sinh viên",IF(G1928&lt;60,"Đang đi làm","Nghỉ hưu")))))</f>
        <v/>
      </c>
      <c r="I1928" s="6"/>
      <c r="J1928" s="11" t="str">
        <f aca="false">IF(B1928="","",IFERROR(INDEX('Hộ gia đình'!$B$2:$B$2000,MATCH(B1928,'Hộ gia đình'!$A$2:$A$2000,0)),"Mã hộ không tồn tại"))</f>
        <v/>
      </c>
      <c r="K1928" s="14"/>
      <c r="L1928" s="14"/>
      <c r="M1928" s="6"/>
      <c r="N1928" s="6"/>
      <c r="O1928" s="6"/>
      <c r="P1928" s="6"/>
      <c r="Q1928" s="6"/>
      <c r="R1928" s="12"/>
    </row>
    <row r="1929" customFormat="false" ht="15" hidden="false" customHeight="true" outlineLevel="0" collapsed="false">
      <c r="A1929" s="6"/>
      <c r="B1929" s="6"/>
      <c r="C1929" s="6"/>
      <c r="D1929" s="6"/>
      <c r="E1929" s="13"/>
      <c r="F1929" s="6"/>
      <c r="G1929" s="11" t="str">
        <f aca="true">IF(F1929="","",YEAR(TODAY())-F1929)</f>
        <v/>
      </c>
      <c r="H1929" s="11" t="str">
        <f aca="false">IF(C1929="","",IF(G1929="","Thiếu thông tin",IF(G1929&lt;6,"Trẻ em",IF(G1929&lt;23,"Học sinh / Sinh viên",IF(G1929&lt;60,"Đang đi làm","Nghỉ hưu")))))</f>
        <v/>
      </c>
      <c r="I1929" s="6"/>
      <c r="J1929" s="11" t="str">
        <f aca="false">IF(B1929="","",IFERROR(INDEX('Hộ gia đình'!$B$2:$B$2000,MATCH(B1929,'Hộ gia đình'!$A$2:$A$2000,0)),"Mã hộ không tồn tại"))</f>
        <v/>
      </c>
      <c r="K1929" s="14"/>
      <c r="L1929" s="14"/>
      <c r="M1929" s="6"/>
      <c r="N1929" s="6"/>
      <c r="O1929" s="6"/>
      <c r="P1929" s="6"/>
      <c r="Q1929" s="6"/>
      <c r="R1929" s="12"/>
    </row>
    <row r="1930" customFormat="false" ht="15" hidden="false" customHeight="true" outlineLevel="0" collapsed="false">
      <c r="A1930" s="6"/>
      <c r="B1930" s="6"/>
      <c r="C1930" s="6"/>
      <c r="D1930" s="6"/>
      <c r="E1930" s="13"/>
      <c r="F1930" s="6"/>
      <c r="G1930" s="11" t="str">
        <f aca="true">IF(F1930="","",YEAR(TODAY())-F1930)</f>
        <v/>
      </c>
      <c r="H1930" s="11" t="str">
        <f aca="false">IF(C1930="","",IF(G1930="","Thiếu thông tin",IF(G1930&lt;6,"Trẻ em",IF(G1930&lt;23,"Học sinh / Sinh viên",IF(G1930&lt;60,"Đang đi làm","Nghỉ hưu")))))</f>
        <v/>
      </c>
      <c r="I1930" s="6"/>
      <c r="J1930" s="11" t="str">
        <f aca="false">IF(B1930="","",IFERROR(INDEX('Hộ gia đình'!$B$2:$B$2000,MATCH(B1930,'Hộ gia đình'!$A$2:$A$2000,0)),"Mã hộ không tồn tại"))</f>
        <v/>
      </c>
      <c r="K1930" s="14"/>
      <c r="L1930" s="14"/>
      <c r="M1930" s="6"/>
      <c r="N1930" s="6"/>
      <c r="O1930" s="6"/>
      <c r="P1930" s="6"/>
      <c r="Q1930" s="6"/>
      <c r="R1930" s="12"/>
    </row>
    <row r="1931" customFormat="false" ht="15" hidden="false" customHeight="true" outlineLevel="0" collapsed="false">
      <c r="A1931" s="6"/>
      <c r="B1931" s="6"/>
      <c r="C1931" s="6"/>
      <c r="D1931" s="6"/>
      <c r="E1931" s="13"/>
      <c r="F1931" s="6"/>
      <c r="G1931" s="11" t="str">
        <f aca="true">IF(F1931="","",YEAR(TODAY())-F1931)</f>
        <v/>
      </c>
      <c r="H1931" s="11" t="str">
        <f aca="false">IF(C1931="","",IF(G1931="","Thiếu thông tin",IF(G1931&lt;6,"Trẻ em",IF(G1931&lt;23,"Học sinh / Sinh viên",IF(G1931&lt;60,"Đang đi làm","Nghỉ hưu")))))</f>
        <v/>
      </c>
      <c r="I1931" s="6"/>
      <c r="J1931" s="11" t="str">
        <f aca="false">IF(B1931="","",IFERROR(INDEX('Hộ gia đình'!$B$2:$B$2000,MATCH(B1931,'Hộ gia đình'!$A$2:$A$2000,0)),"Mã hộ không tồn tại"))</f>
        <v/>
      </c>
      <c r="K1931" s="14"/>
      <c r="L1931" s="14"/>
      <c r="M1931" s="6"/>
      <c r="N1931" s="6"/>
      <c r="O1931" s="6"/>
      <c r="P1931" s="6"/>
      <c r="Q1931" s="6"/>
      <c r="R1931" s="12"/>
    </row>
    <row r="1932" customFormat="false" ht="15" hidden="false" customHeight="true" outlineLevel="0" collapsed="false">
      <c r="A1932" s="6"/>
      <c r="B1932" s="6"/>
      <c r="C1932" s="6"/>
      <c r="D1932" s="6"/>
      <c r="E1932" s="13"/>
      <c r="F1932" s="6"/>
      <c r="G1932" s="11" t="str">
        <f aca="true">IF(F1932="","",YEAR(TODAY())-F1932)</f>
        <v/>
      </c>
      <c r="H1932" s="11" t="str">
        <f aca="false">IF(C1932="","",IF(G1932="","Thiếu thông tin",IF(G1932&lt;6,"Trẻ em",IF(G1932&lt;23,"Học sinh / Sinh viên",IF(G1932&lt;60,"Đang đi làm","Nghỉ hưu")))))</f>
        <v/>
      </c>
      <c r="I1932" s="6"/>
      <c r="J1932" s="11" t="str">
        <f aca="false">IF(B1932="","",IFERROR(INDEX('Hộ gia đình'!$B$2:$B$2000,MATCH(B1932,'Hộ gia đình'!$A$2:$A$2000,0)),"Mã hộ không tồn tại"))</f>
        <v/>
      </c>
      <c r="K1932" s="14"/>
      <c r="L1932" s="14"/>
      <c r="M1932" s="6"/>
      <c r="N1932" s="6"/>
      <c r="O1932" s="6"/>
      <c r="P1932" s="6"/>
      <c r="Q1932" s="6"/>
      <c r="R1932" s="12"/>
    </row>
    <row r="1933" customFormat="false" ht="15" hidden="false" customHeight="true" outlineLevel="0" collapsed="false">
      <c r="A1933" s="6"/>
      <c r="B1933" s="6"/>
      <c r="C1933" s="6"/>
      <c r="D1933" s="6"/>
      <c r="E1933" s="13"/>
      <c r="F1933" s="6"/>
      <c r="G1933" s="11" t="str">
        <f aca="true">IF(F1933="","",YEAR(TODAY())-F1933)</f>
        <v/>
      </c>
      <c r="H1933" s="11" t="str">
        <f aca="false">IF(C1933="","",IF(G1933="","Thiếu thông tin",IF(G1933&lt;6,"Trẻ em",IF(G1933&lt;23,"Học sinh / Sinh viên",IF(G1933&lt;60,"Đang đi làm","Nghỉ hưu")))))</f>
        <v/>
      </c>
      <c r="I1933" s="6"/>
      <c r="J1933" s="11" t="str">
        <f aca="false">IF(B1933="","",IFERROR(INDEX('Hộ gia đình'!$B$2:$B$2000,MATCH(B1933,'Hộ gia đình'!$A$2:$A$2000,0)),"Mã hộ không tồn tại"))</f>
        <v/>
      </c>
      <c r="K1933" s="14"/>
      <c r="L1933" s="14"/>
      <c r="M1933" s="6"/>
      <c r="N1933" s="6"/>
      <c r="O1933" s="6"/>
      <c r="P1933" s="6"/>
      <c r="Q1933" s="6"/>
      <c r="R1933" s="12"/>
    </row>
    <row r="1934" customFormat="false" ht="15" hidden="false" customHeight="true" outlineLevel="0" collapsed="false">
      <c r="A1934" s="6"/>
      <c r="B1934" s="6"/>
      <c r="C1934" s="6"/>
      <c r="D1934" s="6"/>
      <c r="E1934" s="13"/>
      <c r="F1934" s="6"/>
      <c r="G1934" s="11" t="str">
        <f aca="true">IF(F1934="","",YEAR(TODAY())-F1934)</f>
        <v/>
      </c>
      <c r="H1934" s="11" t="str">
        <f aca="false">IF(C1934="","",IF(G1934="","Thiếu thông tin",IF(G1934&lt;6,"Trẻ em",IF(G1934&lt;23,"Học sinh / Sinh viên",IF(G1934&lt;60,"Đang đi làm","Nghỉ hưu")))))</f>
        <v/>
      </c>
      <c r="I1934" s="6"/>
      <c r="J1934" s="11" t="str">
        <f aca="false">IF(B1934="","",IFERROR(INDEX('Hộ gia đình'!$B$2:$B$2000,MATCH(B1934,'Hộ gia đình'!$A$2:$A$2000,0)),"Mã hộ không tồn tại"))</f>
        <v/>
      </c>
      <c r="K1934" s="14"/>
      <c r="L1934" s="14"/>
      <c r="M1934" s="6"/>
      <c r="N1934" s="6"/>
      <c r="O1934" s="6"/>
      <c r="P1934" s="6"/>
      <c r="Q1934" s="6"/>
      <c r="R1934" s="12"/>
    </row>
    <row r="1935" customFormat="false" ht="15" hidden="false" customHeight="true" outlineLevel="0" collapsed="false">
      <c r="A1935" s="6"/>
      <c r="B1935" s="6"/>
      <c r="C1935" s="6"/>
      <c r="D1935" s="6"/>
      <c r="E1935" s="13"/>
      <c r="F1935" s="6"/>
      <c r="G1935" s="11" t="str">
        <f aca="true">IF(F1935="","",YEAR(TODAY())-F1935)</f>
        <v/>
      </c>
      <c r="H1935" s="11" t="str">
        <f aca="false">IF(C1935="","",IF(G1935="","Thiếu thông tin",IF(G1935&lt;6,"Trẻ em",IF(G1935&lt;23,"Học sinh / Sinh viên",IF(G1935&lt;60,"Đang đi làm","Nghỉ hưu")))))</f>
        <v/>
      </c>
      <c r="I1935" s="6"/>
      <c r="J1935" s="11" t="str">
        <f aca="false">IF(B1935="","",IFERROR(INDEX('Hộ gia đình'!$B$2:$B$2000,MATCH(B1935,'Hộ gia đình'!$A$2:$A$2000,0)),"Mã hộ không tồn tại"))</f>
        <v/>
      </c>
      <c r="K1935" s="14"/>
      <c r="L1935" s="14"/>
      <c r="M1935" s="6"/>
      <c r="N1935" s="6"/>
      <c r="O1935" s="6"/>
      <c r="P1935" s="6"/>
      <c r="Q1935" s="6"/>
      <c r="R1935" s="12"/>
    </row>
    <row r="1936" customFormat="false" ht="15" hidden="false" customHeight="true" outlineLevel="0" collapsed="false">
      <c r="A1936" s="6"/>
      <c r="B1936" s="6"/>
      <c r="C1936" s="6"/>
      <c r="D1936" s="6"/>
      <c r="E1936" s="13"/>
      <c r="F1936" s="6"/>
      <c r="G1936" s="11" t="str">
        <f aca="true">IF(F1936="","",YEAR(TODAY())-F1936)</f>
        <v/>
      </c>
      <c r="H1936" s="11" t="str">
        <f aca="false">IF(C1936="","",IF(G1936="","Thiếu thông tin",IF(G1936&lt;6,"Trẻ em",IF(G1936&lt;23,"Học sinh / Sinh viên",IF(G1936&lt;60,"Đang đi làm","Nghỉ hưu")))))</f>
        <v/>
      </c>
      <c r="I1936" s="6"/>
      <c r="J1936" s="11" t="str">
        <f aca="false">IF(B1936="","",IFERROR(INDEX('Hộ gia đình'!$B$2:$B$2000,MATCH(B1936,'Hộ gia đình'!$A$2:$A$2000,0)),"Mã hộ không tồn tại"))</f>
        <v/>
      </c>
      <c r="K1936" s="14"/>
      <c r="L1936" s="14"/>
      <c r="M1936" s="6"/>
      <c r="N1936" s="6"/>
      <c r="O1936" s="6"/>
      <c r="P1936" s="6"/>
      <c r="Q1936" s="6"/>
      <c r="R1936" s="12"/>
    </row>
    <row r="1937" customFormat="false" ht="15" hidden="false" customHeight="true" outlineLevel="0" collapsed="false">
      <c r="A1937" s="6"/>
      <c r="B1937" s="6"/>
      <c r="C1937" s="6"/>
      <c r="D1937" s="6"/>
      <c r="E1937" s="13"/>
      <c r="F1937" s="6"/>
      <c r="G1937" s="11" t="str">
        <f aca="true">IF(F1937="","",YEAR(TODAY())-F1937)</f>
        <v/>
      </c>
      <c r="H1937" s="11" t="str">
        <f aca="false">IF(C1937="","",IF(G1937="","Thiếu thông tin",IF(G1937&lt;6,"Trẻ em",IF(G1937&lt;23,"Học sinh / Sinh viên",IF(G1937&lt;60,"Đang đi làm","Nghỉ hưu")))))</f>
        <v/>
      </c>
      <c r="I1937" s="6"/>
      <c r="J1937" s="11" t="str">
        <f aca="false">IF(B1937="","",IFERROR(INDEX('Hộ gia đình'!$B$2:$B$2000,MATCH(B1937,'Hộ gia đình'!$A$2:$A$2000,0)),"Mã hộ không tồn tại"))</f>
        <v/>
      </c>
      <c r="K1937" s="14"/>
      <c r="L1937" s="14"/>
      <c r="M1937" s="6"/>
      <c r="N1937" s="6"/>
      <c r="O1937" s="6"/>
      <c r="P1937" s="6"/>
      <c r="Q1937" s="6"/>
      <c r="R1937" s="12"/>
    </row>
    <row r="1938" customFormat="false" ht="15" hidden="false" customHeight="true" outlineLevel="0" collapsed="false">
      <c r="A1938" s="6"/>
      <c r="B1938" s="6"/>
      <c r="C1938" s="6"/>
      <c r="D1938" s="6"/>
      <c r="E1938" s="13"/>
      <c r="F1938" s="6"/>
      <c r="G1938" s="11" t="str">
        <f aca="true">IF(F1938="","",YEAR(TODAY())-F1938)</f>
        <v/>
      </c>
      <c r="H1938" s="11" t="str">
        <f aca="false">IF(C1938="","",IF(G1938="","Thiếu thông tin",IF(G1938&lt;6,"Trẻ em",IF(G1938&lt;23,"Học sinh / Sinh viên",IF(G1938&lt;60,"Đang đi làm","Nghỉ hưu")))))</f>
        <v/>
      </c>
      <c r="I1938" s="6"/>
      <c r="J1938" s="11" t="str">
        <f aca="false">IF(B1938="","",IFERROR(INDEX('Hộ gia đình'!$B$2:$B$2000,MATCH(B1938,'Hộ gia đình'!$A$2:$A$2000,0)),"Mã hộ không tồn tại"))</f>
        <v/>
      </c>
      <c r="K1938" s="14"/>
      <c r="L1938" s="14"/>
      <c r="M1938" s="6"/>
      <c r="N1938" s="6"/>
      <c r="O1938" s="6"/>
      <c r="P1938" s="6"/>
      <c r="Q1938" s="6"/>
      <c r="R1938" s="12"/>
    </row>
    <row r="1939" customFormat="false" ht="15" hidden="false" customHeight="true" outlineLevel="0" collapsed="false">
      <c r="A1939" s="6"/>
      <c r="B1939" s="6"/>
      <c r="C1939" s="6"/>
      <c r="D1939" s="6"/>
      <c r="E1939" s="13"/>
      <c r="F1939" s="6"/>
      <c r="G1939" s="11" t="str">
        <f aca="true">IF(F1939="","",YEAR(TODAY())-F1939)</f>
        <v/>
      </c>
      <c r="H1939" s="11" t="str">
        <f aca="false">IF(C1939="","",IF(G1939="","Thiếu thông tin",IF(G1939&lt;6,"Trẻ em",IF(G1939&lt;23,"Học sinh / Sinh viên",IF(G1939&lt;60,"Đang đi làm","Nghỉ hưu")))))</f>
        <v/>
      </c>
      <c r="I1939" s="6"/>
      <c r="J1939" s="11" t="str">
        <f aca="false">IF(B1939="","",IFERROR(INDEX('Hộ gia đình'!$B$2:$B$2000,MATCH(B1939,'Hộ gia đình'!$A$2:$A$2000,0)),"Mã hộ không tồn tại"))</f>
        <v/>
      </c>
      <c r="K1939" s="14"/>
      <c r="L1939" s="14"/>
      <c r="M1939" s="6"/>
      <c r="N1939" s="6"/>
      <c r="O1939" s="6"/>
      <c r="P1939" s="6"/>
      <c r="Q1939" s="6"/>
      <c r="R1939" s="12"/>
    </row>
    <row r="1940" customFormat="false" ht="15" hidden="false" customHeight="true" outlineLevel="0" collapsed="false">
      <c r="A1940" s="6"/>
      <c r="B1940" s="6"/>
      <c r="C1940" s="6"/>
      <c r="D1940" s="6"/>
      <c r="E1940" s="13"/>
      <c r="F1940" s="6"/>
      <c r="G1940" s="11" t="str">
        <f aca="true">IF(F1940="","",YEAR(TODAY())-F1940)</f>
        <v/>
      </c>
      <c r="H1940" s="11" t="str">
        <f aca="false">IF(C1940="","",IF(G1940="","Thiếu thông tin",IF(G1940&lt;6,"Trẻ em",IF(G1940&lt;23,"Học sinh / Sinh viên",IF(G1940&lt;60,"Đang đi làm","Nghỉ hưu")))))</f>
        <v/>
      </c>
      <c r="I1940" s="6"/>
      <c r="J1940" s="11" t="str">
        <f aca="false">IF(B1940="","",IFERROR(INDEX('Hộ gia đình'!$B$2:$B$2000,MATCH(B1940,'Hộ gia đình'!$A$2:$A$2000,0)),"Mã hộ không tồn tại"))</f>
        <v/>
      </c>
      <c r="K1940" s="14"/>
      <c r="L1940" s="14"/>
      <c r="M1940" s="6"/>
      <c r="N1940" s="6"/>
      <c r="O1940" s="6"/>
      <c r="P1940" s="6"/>
      <c r="Q1940" s="6"/>
      <c r="R1940" s="12"/>
    </row>
    <row r="1941" customFormat="false" ht="15" hidden="false" customHeight="true" outlineLevel="0" collapsed="false">
      <c r="A1941" s="6"/>
      <c r="B1941" s="6"/>
      <c r="C1941" s="6"/>
      <c r="D1941" s="6"/>
      <c r="E1941" s="13"/>
      <c r="F1941" s="6"/>
      <c r="G1941" s="11" t="str">
        <f aca="true">IF(F1941="","",YEAR(TODAY())-F1941)</f>
        <v/>
      </c>
      <c r="H1941" s="11" t="str">
        <f aca="false">IF(C1941="","",IF(G1941="","Thiếu thông tin",IF(G1941&lt;6,"Trẻ em",IF(G1941&lt;23,"Học sinh / Sinh viên",IF(G1941&lt;60,"Đang đi làm","Nghỉ hưu")))))</f>
        <v/>
      </c>
      <c r="I1941" s="6"/>
      <c r="J1941" s="11" t="str">
        <f aca="false">IF(B1941="","",IFERROR(INDEX('Hộ gia đình'!$B$2:$B$2000,MATCH(B1941,'Hộ gia đình'!$A$2:$A$2000,0)),"Mã hộ không tồn tại"))</f>
        <v/>
      </c>
      <c r="K1941" s="14"/>
      <c r="L1941" s="14"/>
      <c r="M1941" s="6"/>
      <c r="N1941" s="6"/>
      <c r="O1941" s="6"/>
      <c r="P1941" s="6"/>
      <c r="Q1941" s="6"/>
      <c r="R1941" s="12"/>
    </row>
    <row r="1942" customFormat="false" ht="15" hidden="false" customHeight="true" outlineLevel="0" collapsed="false">
      <c r="A1942" s="6"/>
      <c r="B1942" s="6"/>
      <c r="C1942" s="6"/>
      <c r="D1942" s="6"/>
      <c r="E1942" s="13"/>
      <c r="F1942" s="6"/>
      <c r="G1942" s="11" t="str">
        <f aca="true">IF(F1942="","",YEAR(TODAY())-F1942)</f>
        <v/>
      </c>
      <c r="H1942" s="11" t="str">
        <f aca="false">IF(C1942="","",IF(G1942="","Thiếu thông tin",IF(G1942&lt;6,"Trẻ em",IF(G1942&lt;23,"Học sinh / Sinh viên",IF(G1942&lt;60,"Đang đi làm","Nghỉ hưu")))))</f>
        <v/>
      </c>
      <c r="I1942" s="6"/>
      <c r="J1942" s="11" t="str">
        <f aca="false">IF(B1942="","",IFERROR(INDEX('Hộ gia đình'!$B$2:$B$2000,MATCH(B1942,'Hộ gia đình'!$A$2:$A$2000,0)),"Mã hộ không tồn tại"))</f>
        <v/>
      </c>
      <c r="K1942" s="14"/>
      <c r="L1942" s="14"/>
      <c r="M1942" s="6"/>
      <c r="N1942" s="6"/>
      <c r="O1942" s="6"/>
      <c r="P1942" s="6"/>
      <c r="Q1942" s="6"/>
      <c r="R1942" s="12"/>
    </row>
    <row r="1943" customFormat="false" ht="15" hidden="false" customHeight="true" outlineLevel="0" collapsed="false">
      <c r="A1943" s="6"/>
      <c r="B1943" s="6"/>
      <c r="C1943" s="6"/>
      <c r="D1943" s="6"/>
      <c r="E1943" s="13"/>
      <c r="F1943" s="6"/>
      <c r="G1943" s="11" t="str">
        <f aca="true">IF(F1943="","",YEAR(TODAY())-F1943)</f>
        <v/>
      </c>
      <c r="H1943" s="11" t="str">
        <f aca="false">IF(C1943="","",IF(G1943="","Thiếu thông tin",IF(G1943&lt;6,"Trẻ em",IF(G1943&lt;23,"Học sinh / Sinh viên",IF(G1943&lt;60,"Đang đi làm","Nghỉ hưu")))))</f>
        <v/>
      </c>
      <c r="I1943" s="6"/>
      <c r="J1943" s="11" t="str">
        <f aca="false">IF(B1943="","",IFERROR(INDEX('Hộ gia đình'!$B$2:$B$2000,MATCH(B1943,'Hộ gia đình'!$A$2:$A$2000,0)),"Mã hộ không tồn tại"))</f>
        <v/>
      </c>
      <c r="K1943" s="14"/>
      <c r="L1943" s="14"/>
      <c r="M1943" s="6"/>
      <c r="N1943" s="6"/>
      <c r="O1943" s="6"/>
      <c r="P1943" s="6"/>
      <c r="Q1943" s="6"/>
      <c r="R1943" s="12"/>
    </row>
    <row r="1944" customFormat="false" ht="15" hidden="false" customHeight="true" outlineLevel="0" collapsed="false">
      <c r="A1944" s="6"/>
      <c r="B1944" s="6"/>
      <c r="C1944" s="6"/>
      <c r="D1944" s="6"/>
      <c r="E1944" s="13"/>
      <c r="F1944" s="6"/>
      <c r="G1944" s="11" t="str">
        <f aca="true">IF(F1944="","",YEAR(TODAY())-F1944)</f>
        <v/>
      </c>
      <c r="H1944" s="11" t="str">
        <f aca="false">IF(C1944="","",IF(G1944="","Thiếu thông tin",IF(G1944&lt;6,"Trẻ em",IF(G1944&lt;23,"Học sinh / Sinh viên",IF(G1944&lt;60,"Đang đi làm","Nghỉ hưu")))))</f>
        <v/>
      </c>
      <c r="I1944" s="6"/>
      <c r="J1944" s="11" t="str">
        <f aca="false">IF(B1944="","",IFERROR(INDEX('Hộ gia đình'!$B$2:$B$2000,MATCH(B1944,'Hộ gia đình'!$A$2:$A$2000,0)),"Mã hộ không tồn tại"))</f>
        <v/>
      </c>
      <c r="K1944" s="14"/>
      <c r="L1944" s="14"/>
      <c r="M1944" s="6"/>
      <c r="N1944" s="6"/>
      <c r="O1944" s="6"/>
      <c r="P1944" s="6"/>
      <c r="Q1944" s="6"/>
      <c r="R1944" s="12"/>
    </row>
    <row r="1945" customFormat="false" ht="15" hidden="false" customHeight="true" outlineLevel="0" collapsed="false">
      <c r="A1945" s="6"/>
      <c r="B1945" s="6"/>
      <c r="C1945" s="6"/>
      <c r="D1945" s="6"/>
      <c r="E1945" s="13"/>
      <c r="F1945" s="6"/>
      <c r="G1945" s="11" t="str">
        <f aca="true">IF(F1945="","",YEAR(TODAY())-F1945)</f>
        <v/>
      </c>
      <c r="H1945" s="11" t="str">
        <f aca="false">IF(C1945="","",IF(G1945="","Thiếu thông tin",IF(G1945&lt;6,"Trẻ em",IF(G1945&lt;23,"Học sinh / Sinh viên",IF(G1945&lt;60,"Đang đi làm","Nghỉ hưu")))))</f>
        <v/>
      </c>
      <c r="I1945" s="6"/>
      <c r="J1945" s="11" t="str">
        <f aca="false">IF(B1945="","",IFERROR(INDEX('Hộ gia đình'!$B$2:$B$2000,MATCH(B1945,'Hộ gia đình'!$A$2:$A$2000,0)),"Mã hộ không tồn tại"))</f>
        <v/>
      </c>
      <c r="K1945" s="14"/>
      <c r="L1945" s="14"/>
      <c r="M1945" s="6"/>
      <c r="N1945" s="6"/>
      <c r="O1945" s="6"/>
      <c r="P1945" s="6"/>
      <c r="Q1945" s="6"/>
      <c r="R1945" s="12"/>
    </row>
    <row r="1946" customFormat="false" ht="15" hidden="false" customHeight="true" outlineLevel="0" collapsed="false">
      <c r="A1946" s="6"/>
      <c r="B1946" s="6"/>
      <c r="C1946" s="6"/>
      <c r="D1946" s="6"/>
      <c r="E1946" s="13"/>
      <c r="F1946" s="6"/>
      <c r="G1946" s="11" t="str">
        <f aca="true">IF(F1946="","",YEAR(TODAY())-F1946)</f>
        <v/>
      </c>
      <c r="H1946" s="11" t="str">
        <f aca="false">IF(C1946="","",IF(G1946="","Thiếu thông tin",IF(G1946&lt;6,"Trẻ em",IF(G1946&lt;23,"Học sinh / Sinh viên",IF(G1946&lt;60,"Đang đi làm","Nghỉ hưu")))))</f>
        <v/>
      </c>
      <c r="I1946" s="6"/>
      <c r="J1946" s="11" t="str">
        <f aca="false">IF(B1946="","",IFERROR(INDEX('Hộ gia đình'!$B$2:$B$2000,MATCH(B1946,'Hộ gia đình'!$A$2:$A$2000,0)),"Mã hộ không tồn tại"))</f>
        <v/>
      </c>
      <c r="K1946" s="14"/>
      <c r="L1946" s="14"/>
      <c r="M1946" s="6"/>
      <c r="N1946" s="6"/>
      <c r="O1946" s="6"/>
      <c r="P1946" s="6"/>
      <c r="Q1946" s="6"/>
      <c r="R1946" s="12"/>
    </row>
    <row r="1947" customFormat="false" ht="15" hidden="false" customHeight="true" outlineLevel="0" collapsed="false">
      <c r="A1947" s="6"/>
      <c r="B1947" s="6"/>
      <c r="C1947" s="6"/>
      <c r="D1947" s="6"/>
      <c r="E1947" s="13"/>
      <c r="F1947" s="6"/>
      <c r="G1947" s="11" t="str">
        <f aca="true">IF(F1947="","",YEAR(TODAY())-F1947)</f>
        <v/>
      </c>
      <c r="H1947" s="11" t="str">
        <f aca="false">IF(C1947="","",IF(G1947="","Thiếu thông tin",IF(G1947&lt;6,"Trẻ em",IF(G1947&lt;23,"Học sinh / Sinh viên",IF(G1947&lt;60,"Đang đi làm","Nghỉ hưu")))))</f>
        <v/>
      </c>
      <c r="I1947" s="6"/>
      <c r="J1947" s="11" t="str">
        <f aca="false">IF(B1947="","",IFERROR(INDEX('Hộ gia đình'!$B$2:$B$2000,MATCH(B1947,'Hộ gia đình'!$A$2:$A$2000,0)),"Mã hộ không tồn tại"))</f>
        <v/>
      </c>
      <c r="K1947" s="14"/>
      <c r="L1947" s="14"/>
      <c r="M1947" s="6"/>
      <c r="N1947" s="6"/>
      <c r="O1947" s="6"/>
      <c r="P1947" s="6"/>
      <c r="Q1947" s="6"/>
      <c r="R1947" s="12"/>
    </row>
    <row r="1948" customFormat="false" ht="15" hidden="false" customHeight="true" outlineLevel="0" collapsed="false">
      <c r="A1948" s="6"/>
      <c r="B1948" s="6"/>
      <c r="C1948" s="6"/>
      <c r="D1948" s="6"/>
      <c r="E1948" s="13"/>
      <c r="F1948" s="6"/>
      <c r="G1948" s="11" t="str">
        <f aca="true">IF(F1948="","",YEAR(TODAY())-F1948)</f>
        <v/>
      </c>
      <c r="H1948" s="11" t="str">
        <f aca="false">IF(C1948="","",IF(G1948="","Thiếu thông tin",IF(G1948&lt;6,"Trẻ em",IF(G1948&lt;23,"Học sinh / Sinh viên",IF(G1948&lt;60,"Đang đi làm","Nghỉ hưu")))))</f>
        <v/>
      </c>
      <c r="I1948" s="6"/>
      <c r="J1948" s="11" t="str">
        <f aca="false">IF(B1948="","",IFERROR(INDEX('Hộ gia đình'!$B$2:$B$2000,MATCH(B1948,'Hộ gia đình'!$A$2:$A$2000,0)),"Mã hộ không tồn tại"))</f>
        <v/>
      </c>
      <c r="K1948" s="14"/>
      <c r="L1948" s="14"/>
      <c r="M1948" s="6"/>
      <c r="N1948" s="6"/>
      <c r="O1948" s="6"/>
      <c r="P1948" s="6"/>
      <c r="Q1948" s="6"/>
      <c r="R1948" s="12"/>
    </row>
    <row r="1949" customFormat="false" ht="15" hidden="false" customHeight="true" outlineLevel="0" collapsed="false">
      <c r="A1949" s="6"/>
      <c r="B1949" s="6"/>
      <c r="C1949" s="6"/>
      <c r="D1949" s="6"/>
      <c r="E1949" s="13"/>
      <c r="F1949" s="6"/>
      <c r="G1949" s="11" t="str">
        <f aca="true">IF(F1949="","",YEAR(TODAY())-F1949)</f>
        <v/>
      </c>
      <c r="H1949" s="11" t="str">
        <f aca="false">IF(C1949="","",IF(G1949="","Thiếu thông tin",IF(G1949&lt;6,"Trẻ em",IF(G1949&lt;23,"Học sinh / Sinh viên",IF(G1949&lt;60,"Đang đi làm","Nghỉ hưu")))))</f>
        <v/>
      </c>
      <c r="I1949" s="6"/>
      <c r="J1949" s="11" t="str">
        <f aca="false">IF(B1949="","",IFERROR(INDEX('Hộ gia đình'!$B$2:$B$2000,MATCH(B1949,'Hộ gia đình'!$A$2:$A$2000,0)),"Mã hộ không tồn tại"))</f>
        <v/>
      </c>
      <c r="K1949" s="14"/>
      <c r="L1949" s="14"/>
      <c r="M1949" s="6"/>
      <c r="N1949" s="6"/>
      <c r="O1949" s="6"/>
      <c r="P1949" s="6"/>
      <c r="Q1949" s="6"/>
      <c r="R1949" s="12"/>
    </row>
    <row r="1950" customFormat="false" ht="15" hidden="false" customHeight="true" outlineLevel="0" collapsed="false">
      <c r="A1950" s="6"/>
      <c r="B1950" s="6"/>
      <c r="C1950" s="6"/>
      <c r="D1950" s="6"/>
      <c r="E1950" s="13"/>
      <c r="F1950" s="6"/>
      <c r="G1950" s="11" t="str">
        <f aca="true">IF(F1950="","",YEAR(TODAY())-F1950)</f>
        <v/>
      </c>
      <c r="H1950" s="11" t="str">
        <f aca="false">IF(C1950="","",IF(G1950="","Thiếu thông tin",IF(G1950&lt;6,"Trẻ em",IF(G1950&lt;23,"Học sinh / Sinh viên",IF(G1950&lt;60,"Đang đi làm","Nghỉ hưu")))))</f>
        <v/>
      </c>
      <c r="I1950" s="6"/>
      <c r="J1950" s="11" t="str">
        <f aca="false">IF(B1950="","",IFERROR(INDEX('Hộ gia đình'!$B$2:$B$2000,MATCH(B1950,'Hộ gia đình'!$A$2:$A$2000,0)),"Mã hộ không tồn tại"))</f>
        <v/>
      </c>
      <c r="K1950" s="14"/>
      <c r="L1950" s="14"/>
      <c r="M1950" s="6"/>
      <c r="N1950" s="6"/>
      <c r="O1950" s="6"/>
      <c r="P1950" s="6"/>
      <c r="Q1950" s="6"/>
      <c r="R1950" s="12"/>
    </row>
    <row r="1951" customFormat="false" ht="15" hidden="false" customHeight="true" outlineLevel="0" collapsed="false">
      <c r="A1951" s="6"/>
      <c r="B1951" s="6"/>
      <c r="C1951" s="6"/>
      <c r="D1951" s="6"/>
      <c r="E1951" s="13"/>
      <c r="F1951" s="6"/>
      <c r="G1951" s="11" t="str">
        <f aca="true">IF(F1951="","",YEAR(TODAY())-F1951)</f>
        <v/>
      </c>
      <c r="H1951" s="11" t="str">
        <f aca="false">IF(C1951="","",IF(G1951="","Thiếu thông tin",IF(G1951&lt;6,"Trẻ em",IF(G1951&lt;23,"Học sinh / Sinh viên",IF(G1951&lt;60,"Đang đi làm","Nghỉ hưu")))))</f>
        <v/>
      </c>
      <c r="I1951" s="6"/>
      <c r="J1951" s="11" t="str">
        <f aca="false">IF(B1951="","",IFERROR(INDEX('Hộ gia đình'!$B$2:$B$2000,MATCH(B1951,'Hộ gia đình'!$A$2:$A$2000,0)),"Mã hộ không tồn tại"))</f>
        <v/>
      </c>
      <c r="K1951" s="14"/>
      <c r="L1951" s="14"/>
      <c r="M1951" s="6"/>
      <c r="N1951" s="6"/>
      <c r="O1951" s="6"/>
      <c r="P1951" s="6"/>
      <c r="Q1951" s="6"/>
      <c r="R1951" s="12"/>
    </row>
    <row r="1952" customFormat="false" ht="15" hidden="false" customHeight="true" outlineLevel="0" collapsed="false">
      <c r="A1952" s="6"/>
      <c r="B1952" s="6"/>
      <c r="C1952" s="6"/>
      <c r="D1952" s="6"/>
      <c r="E1952" s="13"/>
      <c r="F1952" s="6"/>
      <c r="G1952" s="11" t="str">
        <f aca="true">IF(F1952="","",YEAR(TODAY())-F1952)</f>
        <v/>
      </c>
      <c r="H1952" s="11" t="str">
        <f aca="false">IF(C1952="","",IF(G1952="","Thiếu thông tin",IF(G1952&lt;6,"Trẻ em",IF(G1952&lt;23,"Học sinh / Sinh viên",IF(G1952&lt;60,"Đang đi làm","Nghỉ hưu")))))</f>
        <v/>
      </c>
      <c r="I1952" s="6"/>
      <c r="J1952" s="11" t="str">
        <f aca="false">IF(B1952="","",IFERROR(INDEX('Hộ gia đình'!$B$2:$B$2000,MATCH(B1952,'Hộ gia đình'!$A$2:$A$2000,0)),"Mã hộ không tồn tại"))</f>
        <v/>
      </c>
      <c r="K1952" s="14"/>
      <c r="L1952" s="14"/>
      <c r="M1952" s="6"/>
      <c r="N1952" s="6"/>
      <c r="O1952" s="6"/>
      <c r="P1952" s="6"/>
      <c r="Q1952" s="6"/>
      <c r="R1952" s="12"/>
    </row>
    <row r="1953" customFormat="false" ht="15" hidden="false" customHeight="true" outlineLevel="0" collapsed="false">
      <c r="A1953" s="6"/>
      <c r="B1953" s="6"/>
      <c r="C1953" s="6"/>
      <c r="D1953" s="6"/>
      <c r="E1953" s="13"/>
      <c r="F1953" s="6"/>
      <c r="G1953" s="11" t="str">
        <f aca="true">IF(F1953="","",YEAR(TODAY())-F1953)</f>
        <v/>
      </c>
      <c r="H1953" s="11" t="str">
        <f aca="false">IF(C1953="","",IF(G1953="","Thiếu thông tin",IF(G1953&lt;6,"Trẻ em",IF(G1953&lt;23,"Học sinh / Sinh viên",IF(G1953&lt;60,"Đang đi làm","Nghỉ hưu")))))</f>
        <v/>
      </c>
      <c r="I1953" s="6"/>
      <c r="J1953" s="11" t="str">
        <f aca="false">IF(B1953="","",IFERROR(INDEX('Hộ gia đình'!$B$2:$B$2000,MATCH(B1953,'Hộ gia đình'!$A$2:$A$2000,0)),"Mã hộ không tồn tại"))</f>
        <v/>
      </c>
      <c r="K1953" s="14"/>
      <c r="L1953" s="14"/>
      <c r="M1953" s="6"/>
      <c r="N1953" s="6"/>
      <c r="O1953" s="6"/>
      <c r="P1953" s="6"/>
      <c r="Q1953" s="6"/>
      <c r="R1953" s="12"/>
    </row>
    <row r="1954" customFormat="false" ht="15" hidden="false" customHeight="true" outlineLevel="0" collapsed="false">
      <c r="A1954" s="6"/>
      <c r="B1954" s="6"/>
      <c r="C1954" s="6"/>
      <c r="D1954" s="6"/>
      <c r="E1954" s="13"/>
      <c r="F1954" s="6"/>
      <c r="G1954" s="11" t="str">
        <f aca="true">IF(F1954="","",YEAR(TODAY())-F1954)</f>
        <v/>
      </c>
      <c r="H1954" s="11" t="str">
        <f aca="false">IF(C1954="","",IF(G1954="","Thiếu thông tin",IF(G1954&lt;6,"Trẻ em",IF(G1954&lt;23,"Học sinh / Sinh viên",IF(G1954&lt;60,"Đang đi làm","Nghỉ hưu")))))</f>
        <v/>
      </c>
      <c r="I1954" s="6"/>
      <c r="J1954" s="11" t="str">
        <f aca="false">IF(B1954="","",IFERROR(INDEX('Hộ gia đình'!$B$2:$B$2000,MATCH(B1954,'Hộ gia đình'!$A$2:$A$2000,0)),"Mã hộ không tồn tại"))</f>
        <v/>
      </c>
      <c r="K1954" s="14"/>
      <c r="L1954" s="14"/>
      <c r="M1954" s="6"/>
      <c r="N1954" s="6"/>
      <c r="O1954" s="6"/>
      <c r="P1954" s="6"/>
      <c r="Q1954" s="6"/>
      <c r="R1954" s="12"/>
    </row>
    <row r="1955" customFormat="false" ht="15" hidden="false" customHeight="true" outlineLevel="0" collapsed="false">
      <c r="A1955" s="6"/>
      <c r="B1955" s="6"/>
      <c r="C1955" s="6"/>
      <c r="D1955" s="6"/>
      <c r="E1955" s="13"/>
      <c r="F1955" s="6"/>
      <c r="G1955" s="11" t="str">
        <f aca="true">IF(F1955="","",YEAR(TODAY())-F1955)</f>
        <v/>
      </c>
      <c r="H1955" s="11" t="str">
        <f aca="false">IF(C1955="","",IF(G1955="","Thiếu thông tin",IF(G1955&lt;6,"Trẻ em",IF(G1955&lt;23,"Học sinh / Sinh viên",IF(G1955&lt;60,"Đang đi làm","Nghỉ hưu")))))</f>
        <v/>
      </c>
      <c r="I1955" s="6"/>
      <c r="J1955" s="11" t="str">
        <f aca="false">IF(B1955="","",IFERROR(INDEX('Hộ gia đình'!$B$2:$B$2000,MATCH(B1955,'Hộ gia đình'!$A$2:$A$2000,0)),"Mã hộ không tồn tại"))</f>
        <v/>
      </c>
      <c r="K1955" s="14"/>
      <c r="L1955" s="14"/>
      <c r="M1955" s="6"/>
      <c r="N1955" s="6"/>
      <c r="O1955" s="6"/>
      <c r="P1955" s="6"/>
      <c r="Q1955" s="6"/>
      <c r="R1955" s="12"/>
    </row>
    <row r="1956" customFormat="false" ht="15" hidden="false" customHeight="true" outlineLevel="0" collapsed="false">
      <c r="A1956" s="6"/>
      <c r="B1956" s="6"/>
      <c r="C1956" s="6"/>
      <c r="D1956" s="6"/>
      <c r="E1956" s="13"/>
      <c r="F1956" s="6"/>
      <c r="G1956" s="11" t="str">
        <f aca="true">IF(F1956="","",YEAR(TODAY())-F1956)</f>
        <v/>
      </c>
      <c r="H1956" s="11" t="str">
        <f aca="false">IF(C1956="","",IF(G1956="","Thiếu thông tin",IF(G1956&lt;6,"Trẻ em",IF(G1956&lt;23,"Học sinh / Sinh viên",IF(G1956&lt;60,"Đang đi làm","Nghỉ hưu")))))</f>
        <v/>
      </c>
      <c r="I1956" s="6"/>
      <c r="J1956" s="11" t="str">
        <f aca="false">IF(B1956="","",IFERROR(INDEX('Hộ gia đình'!$B$2:$B$2000,MATCH(B1956,'Hộ gia đình'!$A$2:$A$2000,0)),"Mã hộ không tồn tại"))</f>
        <v/>
      </c>
      <c r="K1956" s="14"/>
      <c r="L1956" s="14"/>
      <c r="M1956" s="6"/>
      <c r="N1956" s="6"/>
      <c r="O1956" s="6"/>
      <c r="P1956" s="6"/>
      <c r="Q1956" s="6"/>
      <c r="R1956" s="12"/>
    </row>
    <row r="1957" customFormat="false" ht="15" hidden="false" customHeight="true" outlineLevel="0" collapsed="false">
      <c r="A1957" s="6"/>
      <c r="B1957" s="6"/>
      <c r="C1957" s="6"/>
      <c r="D1957" s="6"/>
      <c r="E1957" s="13"/>
      <c r="F1957" s="6"/>
      <c r="G1957" s="11" t="str">
        <f aca="true">IF(F1957="","",YEAR(TODAY())-F1957)</f>
        <v/>
      </c>
      <c r="H1957" s="11" t="str">
        <f aca="false">IF(C1957="","",IF(G1957="","Thiếu thông tin",IF(G1957&lt;6,"Trẻ em",IF(G1957&lt;23,"Học sinh / Sinh viên",IF(G1957&lt;60,"Đang đi làm","Nghỉ hưu")))))</f>
        <v/>
      </c>
      <c r="I1957" s="6"/>
      <c r="J1957" s="11" t="str">
        <f aca="false">IF(B1957="","",IFERROR(INDEX('Hộ gia đình'!$B$2:$B$2000,MATCH(B1957,'Hộ gia đình'!$A$2:$A$2000,0)),"Mã hộ không tồn tại"))</f>
        <v/>
      </c>
      <c r="K1957" s="14"/>
      <c r="L1957" s="14"/>
      <c r="M1957" s="6"/>
      <c r="N1957" s="6"/>
      <c r="O1957" s="6"/>
      <c r="P1957" s="6"/>
      <c r="Q1957" s="6"/>
      <c r="R1957" s="12"/>
    </row>
    <row r="1958" customFormat="false" ht="15" hidden="false" customHeight="true" outlineLevel="0" collapsed="false">
      <c r="A1958" s="6"/>
      <c r="B1958" s="6"/>
      <c r="C1958" s="6"/>
      <c r="D1958" s="6"/>
      <c r="E1958" s="13"/>
      <c r="F1958" s="6"/>
      <c r="G1958" s="11" t="str">
        <f aca="true">IF(F1958="","",YEAR(TODAY())-F1958)</f>
        <v/>
      </c>
      <c r="H1958" s="11" t="str">
        <f aca="false">IF(C1958="","",IF(G1958="","Thiếu thông tin",IF(G1958&lt;6,"Trẻ em",IF(G1958&lt;23,"Học sinh / Sinh viên",IF(G1958&lt;60,"Đang đi làm","Nghỉ hưu")))))</f>
        <v/>
      </c>
      <c r="I1958" s="6"/>
      <c r="J1958" s="11" t="str">
        <f aca="false">IF(B1958="","",IFERROR(INDEX('Hộ gia đình'!$B$2:$B$2000,MATCH(B1958,'Hộ gia đình'!$A$2:$A$2000,0)),"Mã hộ không tồn tại"))</f>
        <v/>
      </c>
      <c r="K1958" s="14"/>
      <c r="L1958" s="14"/>
      <c r="M1958" s="6"/>
      <c r="N1958" s="6"/>
      <c r="O1958" s="6"/>
      <c r="P1958" s="6"/>
      <c r="Q1958" s="6"/>
      <c r="R1958" s="12"/>
    </row>
    <row r="1959" customFormat="false" ht="15" hidden="false" customHeight="true" outlineLevel="0" collapsed="false">
      <c r="A1959" s="6"/>
      <c r="B1959" s="6"/>
      <c r="C1959" s="6"/>
      <c r="D1959" s="6"/>
      <c r="E1959" s="13"/>
      <c r="F1959" s="6"/>
      <c r="G1959" s="11" t="str">
        <f aca="true">IF(F1959="","",YEAR(TODAY())-F1959)</f>
        <v/>
      </c>
      <c r="H1959" s="11" t="str">
        <f aca="false">IF(C1959="","",IF(G1959="","Thiếu thông tin",IF(G1959&lt;6,"Trẻ em",IF(G1959&lt;23,"Học sinh / Sinh viên",IF(G1959&lt;60,"Đang đi làm","Nghỉ hưu")))))</f>
        <v/>
      </c>
      <c r="I1959" s="6"/>
      <c r="J1959" s="11" t="str">
        <f aca="false">IF(B1959="","",IFERROR(INDEX('Hộ gia đình'!$B$2:$B$2000,MATCH(B1959,'Hộ gia đình'!$A$2:$A$2000,0)),"Mã hộ không tồn tại"))</f>
        <v/>
      </c>
      <c r="K1959" s="14"/>
      <c r="L1959" s="14"/>
      <c r="M1959" s="6"/>
      <c r="N1959" s="6"/>
      <c r="O1959" s="6"/>
      <c r="P1959" s="6"/>
      <c r="Q1959" s="6"/>
      <c r="R1959" s="12"/>
    </row>
    <row r="1960" customFormat="false" ht="15" hidden="false" customHeight="true" outlineLevel="0" collapsed="false">
      <c r="A1960" s="6"/>
      <c r="B1960" s="6"/>
      <c r="C1960" s="6"/>
      <c r="D1960" s="6"/>
      <c r="E1960" s="13"/>
      <c r="F1960" s="6"/>
      <c r="G1960" s="11" t="str">
        <f aca="true">IF(F1960="","",YEAR(TODAY())-F1960)</f>
        <v/>
      </c>
      <c r="H1960" s="11" t="str">
        <f aca="false">IF(C1960="","",IF(G1960="","Thiếu thông tin",IF(G1960&lt;6,"Trẻ em",IF(G1960&lt;23,"Học sinh / Sinh viên",IF(G1960&lt;60,"Đang đi làm","Nghỉ hưu")))))</f>
        <v/>
      </c>
      <c r="I1960" s="6"/>
      <c r="J1960" s="11" t="str">
        <f aca="false">IF(B1960="","",IFERROR(INDEX('Hộ gia đình'!$B$2:$B$2000,MATCH(B1960,'Hộ gia đình'!$A$2:$A$2000,0)),"Mã hộ không tồn tại"))</f>
        <v/>
      </c>
      <c r="K1960" s="14"/>
      <c r="L1960" s="14"/>
      <c r="M1960" s="6"/>
      <c r="N1960" s="6"/>
      <c r="O1960" s="6"/>
      <c r="P1960" s="6"/>
      <c r="Q1960" s="6"/>
      <c r="R1960" s="12"/>
    </row>
    <row r="1961" customFormat="false" ht="15" hidden="false" customHeight="true" outlineLevel="0" collapsed="false">
      <c r="A1961" s="6"/>
      <c r="B1961" s="6"/>
      <c r="C1961" s="6"/>
      <c r="D1961" s="6"/>
      <c r="E1961" s="13"/>
      <c r="F1961" s="6"/>
      <c r="G1961" s="11" t="str">
        <f aca="true">IF(F1961="","",YEAR(TODAY())-F1961)</f>
        <v/>
      </c>
      <c r="H1961" s="11" t="str">
        <f aca="false">IF(C1961="","",IF(G1961="","Thiếu thông tin",IF(G1961&lt;6,"Trẻ em",IF(G1961&lt;23,"Học sinh / Sinh viên",IF(G1961&lt;60,"Đang đi làm","Nghỉ hưu")))))</f>
        <v/>
      </c>
      <c r="I1961" s="6"/>
      <c r="J1961" s="11" t="str">
        <f aca="false">IF(B1961="","",IFERROR(INDEX('Hộ gia đình'!$B$2:$B$2000,MATCH(B1961,'Hộ gia đình'!$A$2:$A$2000,0)),"Mã hộ không tồn tại"))</f>
        <v/>
      </c>
      <c r="K1961" s="14"/>
      <c r="L1961" s="14"/>
      <c r="M1961" s="6"/>
      <c r="N1961" s="6"/>
      <c r="O1961" s="6"/>
      <c r="P1961" s="6"/>
      <c r="Q1961" s="6"/>
      <c r="R1961" s="12"/>
    </row>
    <row r="1962" customFormat="false" ht="15" hidden="false" customHeight="true" outlineLevel="0" collapsed="false">
      <c r="A1962" s="6"/>
      <c r="B1962" s="6"/>
      <c r="C1962" s="6"/>
      <c r="D1962" s="6"/>
      <c r="E1962" s="13"/>
      <c r="F1962" s="6"/>
      <c r="G1962" s="11" t="str">
        <f aca="true">IF(F1962="","",YEAR(TODAY())-F1962)</f>
        <v/>
      </c>
      <c r="H1962" s="11" t="str">
        <f aca="false">IF(C1962="","",IF(G1962="","Thiếu thông tin",IF(G1962&lt;6,"Trẻ em",IF(G1962&lt;23,"Học sinh / Sinh viên",IF(G1962&lt;60,"Đang đi làm","Nghỉ hưu")))))</f>
        <v/>
      </c>
      <c r="I1962" s="6"/>
      <c r="J1962" s="11" t="str">
        <f aca="false">IF(B1962="","",IFERROR(INDEX('Hộ gia đình'!$B$2:$B$2000,MATCH(B1962,'Hộ gia đình'!$A$2:$A$2000,0)),"Mã hộ không tồn tại"))</f>
        <v/>
      </c>
      <c r="K1962" s="14"/>
      <c r="L1962" s="14"/>
      <c r="M1962" s="6"/>
      <c r="N1962" s="6"/>
      <c r="O1962" s="6"/>
      <c r="P1962" s="6"/>
      <c r="Q1962" s="6"/>
      <c r="R1962" s="12"/>
    </row>
    <row r="1963" customFormat="false" ht="15" hidden="false" customHeight="true" outlineLevel="0" collapsed="false">
      <c r="A1963" s="6"/>
      <c r="B1963" s="6"/>
      <c r="C1963" s="6"/>
      <c r="D1963" s="6"/>
      <c r="E1963" s="13"/>
      <c r="F1963" s="6"/>
      <c r="G1963" s="11" t="str">
        <f aca="true">IF(F1963="","",YEAR(TODAY())-F1963)</f>
        <v/>
      </c>
      <c r="H1963" s="11" t="str">
        <f aca="false">IF(C1963="","",IF(G1963="","Thiếu thông tin",IF(G1963&lt;6,"Trẻ em",IF(G1963&lt;23,"Học sinh / Sinh viên",IF(G1963&lt;60,"Đang đi làm","Nghỉ hưu")))))</f>
        <v/>
      </c>
      <c r="I1963" s="6"/>
      <c r="J1963" s="11" t="str">
        <f aca="false">IF(B1963="","",IFERROR(INDEX('Hộ gia đình'!$B$2:$B$2000,MATCH(B1963,'Hộ gia đình'!$A$2:$A$2000,0)),"Mã hộ không tồn tại"))</f>
        <v/>
      </c>
      <c r="K1963" s="14"/>
      <c r="L1963" s="14"/>
      <c r="M1963" s="6"/>
      <c r="N1963" s="6"/>
      <c r="O1963" s="6"/>
      <c r="P1963" s="6"/>
      <c r="Q1963" s="6"/>
      <c r="R1963" s="12"/>
    </row>
    <row r="1964" customFormat="false" ht="15" hidden="false" customHeight="true" outlineLevel="0" collapsed="false">
      <c r="A1964" s="6"/>
      <c r="B1964" s="6"/>
      <c r="C1964" s="6"/>
      <c r="D1964" s="6"/>
      <c r="E1964" s="13"/>
      <c r="F1964" s="6"/>
      <c r="G1964" s="11" t="str">
        <f aca="true">IF(F1964="","",YEAR(TODAY())-F1964)</f>
        <v/>
      </c>
      <c r="H1964" s="11" t="str">
        <f aca="false">IF(C1964="","",IF(G1964="","Thiếu thông tin",IF(G1964&lt;6,"Trẻ em",IF(G1964&lt;23,"Học sinh / Sinh viên",IF(G1964&lt;60,"Đang đi làm","Nghỉ hưu")))))</f>
        <v/>
      </c>
      <c r="I1964" s="6"/>
      <c r="J1964" s="11" t="str">
        <f aca="false">IF(B1964="","",IFERROR(INDEX('Hộ gia đình'!$B$2:$B$2000,MATCH(B1964,'Hộ gia đình'!$A$2:$A$2000,0)),"Mã hộ không tồn tại"))</f>
        <v/>
      </c>
      <c r="K1964" s="14"/>
      <c r="L1964" s="14"/>
      <c r="M1964" s="6"/>
      <c r="N1964" s="6"/>
      <c r="O1964" s="6"/>
      <c r="P1964" s="6"/>
      <c r="Q1964" s="6"/>
      <c r="R1964" s="12"/>
    </row>
    <row r="1965" customFormat="false" ht="15" hidden="false" customHeight="true" outlineLevel="0" collapsed="false">
      <c r="A1965" s="6"/>
      <c r="B1965" s="6"/>
      <c r="C1965" s="6"/>
      <c r="D1965" s="6"/>
      <c r="E1965" s="13"/>
      <c r="F1965" s="6"/>
      <c r="G1965" s="11" t="str">
        <f aca="true">IF(F1965="","",YEAR(TODAY())-F1965)</f>
        <v/>
      </c>
      <c r="H1965" s="11" t="str">
        <f aca="false">IF(C1965="","",IF(G1965="","Thiếu thông tin",IF(G1965&lt;6,"Trẻ em",IF(G1965&lt;23,"Học sinh / Sinh viên",IF(G1965&lt;60,"Đang đi làm","Nghỉ hưu")))))</f>
        <v/>
      </c>
      <c r="I1965" s="6"/>
      <c r="J1965" s="11" t="str">
        <f aca="false">IF(B1965="","",IFERROR(INDEX('Hộ gia đình'!$B$2:$B$2000,MATCH(B1965,'Hộ gia đình'!$A$2:$A$2000,0)),"Mã hộ không tồn tại"))</f>
        <v/>
      </c>
      <c r="K1965" s="14"/>
      <c r="L1965" s="14"/>
      <c r="M1965" s="6"/>
      <c r="N1965" s="6"/>
      <c r="O1965" s="6"/>
      <c r="P1965" s="6"/>
      <c r="Q1965" s="6"/>
      <c r="R1965" s="12"/>
    </row>
    <row r="1966" customFormat="false" ht="15" hidden="false" customHeight="true" outlineLevel="0" collapsed="false">
      <c r="A1966" s="6"/>
      <c r="B1966" s="6"/>
      <c r="C1966" s="6"/>
      <c r="D1966" s="6"/>
      <c r="E1966" s="13"/>
      <c r="F1966" s="6"/>
      <c r="G1966" s="11" t="str">
        <f aca="true">IF(F1966="","",YEAR(TODAY())-F1966)</f>
        <v/>
      </c>
      <c r="H1966" s="11" t="str">
        <f aca="false">IF(C1966="","",IF(G1966="","Thiếu thông tin",IF(G1966&lt;6,"Trẻ em",IF(G1966&lt;23,"Học sinh / Sinh viên",IF(G1966&lt;60,"Đang đi làm","Nghỉ hưu")))))</f>
        <v/>
      </c>
      <c r="I1966" s="6"/>
      <c r="J1966" s="11" t="str">
        <f aca="false">IF(B1966="","",IFERROR(INDEX('Hộ gia đình'!$B$2:$B$2000,MATCH(B1966,'Hộ gia đình'!$A$2:$A$2000,0)),"Mã hộ không tồn tại"))</f>
        <v/>
      </c>
      <c r="K1966" s="14"/>
      <c r="L1966" s="14"/>
      <c r="M1966" s="6"/>
      <c r="N1966" s="6"/>
      <c r="O1966" s="6"/>
      <c r="P1966" s="6"/>
      <c r="Q1966" s="6"/>
      <c r="R1966" s="12"/>
    </row>
    <row r="1967" customFormat="false" ht="15" hidden="false" customHeight="true" outlineLevel="0" collapsed="false">
      <c r="A1967" s="6"/>
      <c r="B1967" s="6"/>
      <c r="C1967" s="6"/>
      <c r="D1967" s="6"/>
      <c r="E1967" s="13"/>
      <c r="F1967" s="6"/>
      <c r="G1967" s="11" t="str">
        <f aca="true">IF(F1967="","",YEAR(TODAY())-F1967)</f>
        <v/>
      </c>
      <c r="H1967" s="11" t="str">
        <f aca="false">IF(C1967="","",IF(G1967="","Thiếu thông tin",IF(G1967&lt;6,"Trẻ em",IF(G1967&lt;23,"Học sinh / Sinh viên",IF(G1967&lt;60,"Đang đi làm","Nghỉ hưu")))))</f>
        <v/>
      </c>
      <c r="I1967" s="6"/>
      <c r="J1967" s="11" t="str">
        <f aca="false">IF(B1967="","",IFERROR(INDEX('Hộ gia đình'!$B$2:$B$2000,MATCH(B1967,'Hộ gia đình'!$A$2:$A$2000,0)),"Mã hộ không tồn tại"))</f>
        <v/>
      </c>
      <c r="K1967" s="14"/>
      <c r="L1967" s="14"/>
      <c r="M1967" s="6"/>
      <c r="N1967" s="6"/>
      <c r="O1967" s="6"/>
      <c r="P1967" s="6"/>
      <c r="Q1967" s="6"/>
      <c r="R1967" s="12"/>
    </row>
    <row r="1968" customFormat="false" ht="15" hidden="false" customHeight="true" outlineLevel="0" collapsed="false">
      <c r="A1968" s="6"/>
      <c r="B1968" s="6"/>
      <c r="C1968" s="6"/>
      <c r="D1968" s="6"/>
      <c r="E1968" s="13"/>
      <c r="F1968" s="6"/>
      <c r="G1968" s="11" t="str">
        <f aca="true">IF(F1968="","",YEAR(TODAY())-F1968)</f>
        <v/>
      </c>
      <c r="H1968" s="11" t="str">
        <f aca="false">IF(C1968="","",IF(G1968="","Thiếu thông tin",IF(G1968&lt;6,"Trẻ em",IF(G1968&lt;23,"Học sinh / Sinh viên",IF(G1968&lt;60,"Đang đi làm","Nghỉ hưu")))))</f>
        <v/>
      </c>
      <c r="I1968" s="6"/>
      <c r="J1968" s="11" t="str">
        <f aca="false">IF(B1968="","",IFERROR(INDEX('Hộ gia đình'!$B$2:$B$2000,MATCH(B1968,'Hộ gia đình'!$A$2:$A$2000,0)),"Mã hộ không tồn tại"))</f>
        <v/>
      </c>
      <c r="K1968" s="14"/>
      <c r="L1968" s="14"/>
      <c r="M1968" s="6"/>
      <c r="N1968" s="6"/>
      <c r="O1968" s="6"/>
      <c r="P1968" s="6"/>
      <c r="Q1968" s="6"/>
      <c r="R1968" s="12"/>
    </row>
    <row r="1969" customFormat="false" ht="15" hidden="false" customHeight="true" outlineLevel="0" collapsed="false">
      <c r="A1969" s="6"/>
      <c r="B1969" s="6"/>
      <c r="C1969" s="6"/>
      <c r="D1969" s="6"/>
      <c r="E1969" s="13"/>
      <c r="F1969" s="6"/>
      <c r="G1969" s="11" t="str">
        <f aca="true">IF(F1969="","",YEAR(TODAY())-F1969)</f>
        <v/>
      </c>
      <c r="H1969" s="11" t="str">
        <f aca="false">IF(C1969="","",IF(G1969="","Thiếu thông tin",IF(G1969&lt;6,"Trẻ em",IF(G1969&lt;23,"Học sinh / Sinh viên",IF(G1969&lt;60,"Đang đi làm","Nghỉ hưu")))))</f>
        <v/>
      </c>
      <c r="I1969" s="6"/>
      <c r="J1969" s="11" t="str">
        <f aca="false">IF(B1969="","",IFERROR(INDEX('Hộ gia đình'!$B$2:$B$2000,MATCH(B1969,'Hộ gia đình'!$A$2:$A$2000,0)),"Mã hộ không tồn tại"))</f>
        <v/>
      </c>
      <c r="K1969" s="14"/>
      <c r="L1969" s="14"/>
      <c r="M1969" s="6"/>
      <c r="N1969" s="6"/>
      <c r="O1969" s="6"/>
      <c r="P1969" s="6"/>
      <c r="Q1969" s="6"/>
      <c r="R1969" s="12"/>
    </row>
    <row r="1970" customFormat="false" ht="15" hidden="false" customHeight="true" outlineLevel="0" collapsed="false">
      <c r="A1970" s="6"/>
      <c r="B1970" s="6"/>
      <c r="C1970" s="6"/>
      <c r="D1970" s="6"/>
      <c r="E1970" s="13"/>
      <c r="F1970" s="6"/>
      <c r="G1970" s="11" t="str">
        <f aca="true">IF(F1970="","",YEAR(TODAY())-F1970)</f>
        <v/>
      </c>
      <c r="H1970" s="11" t="str">
        <f aca="false">IF(C1970="","",IF(G1970="","Thiếu thông tin",IF(G1970&lt;6,"Trẻ em",IF(G1970&lt;23,"Học sinh / Sinh viên",IF(G1970&lt;60,"Đang đi làm","Nghỉ hưu")))))</f>
        <v/>
      </c>
      <c r="I1970" s="6"/>
      <c r="J1970" s="11" t="str">
        <f aca="false">IF(B1970="","",IFERROR(INDEX('Hộ gia đình'!$B$2:$B$2000,MATCH(B1970,'Hộ gia đình'!$A$2:$A$2000,0)),"Mã hộ không tồn tại"))</f>
        <v/>
      </c>
      <c r="K1970" s="14"/>
      <c r="L1970" s="14"/>
      <c r="M1970" s="6"/>
      <c r="N1970" s="6"/>
      <c r="O1970" s="6"/>
      <c r="P1970" s="6"/>
      <c r="Q1970" s="6"/>
      <c r="R1970" s="12"/>
    </row>
    <row r="1971" customFormat="false" ht="15" hidden="false" customHeight="true" outlineLevel="0" collapsed="false">
      <c r="A1971" s="6"/>
      <c r="B1971" s="6"/>
      <c r="C1971" s="6"/>
      <c r="D1971" s="6"/>
      <c r="E1971" s="13"/>
      <c r="F1971" s="6"/>
      <c r="G1971" s="11" t="str">
        <f aca="true">IF(F1971="","",YEAR(TODAY())-F1971)</f>
        <v/>
      </c>
      <c r="H1971" s="11" t="str">
        <f aca="false">IF(C1971="","",IF(G1971="","Thiếu thông tin",IF(G1971&lt;6,"Trẻ em",IF(G1971&lt;23,"Học sinh / Sinh viên",IF(G1971&lt;60,"Đang đi làm","Nghỉ hưu")))))</f>
        <v/>
      </c>
      <c r="I1971" s="6"/>
      <c r="J1971" s="11" t="str">
        <f aca="false">IF(B1971="","",IFERROR(INDEX('Hộ gia đình'!$B$2:$B$2000,MATCH(B1971,'Hộ gia đình'!$A$2:$A$2000,0)),"Mã hộ không tồn tại"))</f>
        <v/>
      </c>
      <c r="K1971" s="14"/>
      <c r="L1971" s="14"/>
      <c r="M1971" s="6"/>
      <c r="N1971" s="6"/>
      <c r="O1971" s="6"/>
      <c r="P1971" s="6"/>
      <c r="Q1971" s="6"/>
      <c r="R1971" s="12"/>
    </row>
    <row r="1972" customFormat="false" ht="15" hidden="false" customHeight="true" outlineLevel="0" collapsed="false">
      <c r="A1972" s="6"/>
      <c r="B1972" s="6"/>
      <c r="C1972" s="6"/>
      <c r="D1972" s="6"/>
      <c r="E1972" s="13"/>
      <c r="F1972" s="6"/>
      <c r="G1972" s="11" t="str">
        <f aca="true">IF(F1972="","",YEAR(TODAY())-F1972)</f>
        <v/>
      </c>
      <c r="H1972" s="11" t="str">
        <f aca="false">IF(C1972="","",IF(G1972="","Thiếu thông tin",IF(G1972&lt;6,"Trẻ em",IF(G1972&lt;23,"Học sinh / Sinh viên",IF(G1972&lt;60,"Đang đi làm","Nghỉ hưu")))))</f>
        <v/>
      </c>
      <c r="I1972" s="6"/>
      <c r="J1972" s="11" t="str">
        <f aca="false">IF(B1972="","",IFERROR(INDEX('Hộ gia đình'!$B$2:$B$2000,MATCH(B1972,'Hộ gia đình'!$A$2:$A$2000,0)),"Mã hộ không tồn tại"))</f>
        <v/>
      </c>
      <c r="K1972" s="14"/>
      <c r="L1972" s="14"/>
      <c r="M1972" s="6"/>
      <c r="N1972" s="6"/>
      <c r="O1972" s="6"/>
      <c r="P1972" s="6"/>
      <c r="Q1972" s="6"/>
      <c r="R1972" s="12"/>
    </row>
    <row r="1973" customFormat="false" ht="15" hidden="false" customHeight="true" outlineLevel="0" collapsed="false">
      <c r="A1973" s="6"/>
      <c r="B1973" s="6"/>
      <c r="C1973" s="6"/>
      <c r="D1973" s="6"/>
      <c r="E1973" s="13"/>
      <c r="F1973" s="6"/>
      <c r="G1973" s="11" t="str">
        <f aca="true">IF(F1973="","",YEAR(TODAY())-F1973)</f>
        <v/>
      </c>
      <c r="H1973" s="11" t="str">
        <f aca="false">IF(C1973="","",IF(G1973="","Thiếu thông tin",IF(G1973&lt;6,"Trẻ em",IF(G1973&lt;23,"Học sinh / Sinh viên",IF(G1973&lt;60,"Đang đi làm","Nghỉ hưu")))))</f>
        <v/>
      </c>
      <c r="I1973" s="6"/>
      <c r="J1973" s="11" t="str">
        <f aca="false">IF(B1973="","",IFERROR(INDEX('Hộ gia đình'!$B$2:$B$2000,MATCH(B1973,'Hộ gia đình'!$A$2:$A$2000,0)),"Mã hộ không tồn tại"))</f>
        <v/>
      </c>
      <c r="K1973" s="14"/>
      <c r="L1973" s="14"/>
      <c r="M1973" s="6"/>
      <c r="N1973" s="6"/>
      <c r="O1973" s="6"/>
      <c r="P1973" s="6"/>
      <c r="Q1973" s="6"/>
      <c r="R1973" s="12"/>
    </row>
    <row r="1974" customFormat="false" ht="15" hidden="false" customHeight="true" outlineLevel="0" collapsed="false">
      <c r="A1974" s="6"/>
      <c r="B1974" s="6"/>
      <c r="C1974" s="6"/>
      <c r="D1974" s="6"/>
      <c r="E1974" s="13"/>
      <c r="F1974" s="6"/>
      <c r="G1974" s="11" t="str">
        <f aca="true">IF(F1974="","",YEAR(TODAY())-F1974)</f>
        <v/>
      </c>
      <c r="H1974" s="11" t="str">
        <f aca="false">IF(C1974="","",IF(G1974="","Thiếu thông tin",IF(G1974&lt;6,"Trẻ em",IF(G1974&lt;23,"Học sinh / Sinh viên",IF(G1974&lt;60,"Đang đi làm","Nghỉ hưu")))))</f>
        <v/>
      </c>
      <c r="I1974" s="6"/>
      <c r="J1974" s="11" t="str">
        <f aca="false">IF(B1974="","",IFERROR(INDEX('Hộ gia đình'!$B$2:$B$2000,MATCH(B1974,'Hộ gia đình'!$A$2:$A$2000,0)),"Mã hộ không tồn tại"))</f>
        <v/>
      </c>
      <c r="K1974" s="14"/>
      <c r="L1974" s="14"/>
      <c r="M1974" s="6"/>
      <c r="N1974" s="6"/>
      <c r="O1974" s="6"/>
      <c r="P1974" s="6"/>
      <c r="Q1974" s="6"/>
      <c r="R1974" s="12"/>
    </row>
    <row r="1975" customFormat="false" ht="15" hidden="false" customHeight="true" outlineLevel="0" collapsed="false">
      <c r="A1975" s="6"/>
      <c r="B1975" s="6"/>
      <c r="C1975" s="6"/>
      <c r="D1975" s="6"/>
      <c r="E1975" s="13"/>
      <c r="F1975" s="6"/>
      <c r="G1975" s="11" t="str">
        <f aca="true">IF(F1975="","",YEAR(TODAY())-F1975)</f>
        <v/>
      </c>
      <c r="H1975" s="11" t="str">
        <f aca="false">IF(C1975="","",IF(G1975="","Thiếu thông tin",IF(G1975&lt;6,"Trẻ em",IF(G1975&lt;23,"Học sinh / Sinh viên",IF(G1975&lt;60,"Đang đi làm","Nghỉ hưu")))))</f>
        <v/>
      </c>
      <c r="I1975" s="6"/>
      <c r="J1975" s="11" t="str">
        <f aca="false">IF(B1975="","",IFERROR(INDEX('Hộ gia đình'!$B$2:$B$2000,MATCH(B1975,'Hộ gia đình'!$A$2:$A$2000,0)),"Mã hộ không tồn tại"))</f>
        <v/>
      </c>
      <c r="K1975" s="14"/>
      <c r="L1975" s="14"/>
      <c r="M1975" s="6"/>
      <c r="N1975" s="6"/>
      <c r="O1975" s="6"/>
      <c r="P1975" s="6"/>
      <c r="Q1975" s="6"/>
      <c r="R1975" s="12"/>
    </row>
    <row r="1976" customFormat="false" ht="15" hidden="false" customHeight="true" outlineLevel="0" collapsed="false">
      <c r="A1976" s="6"/>
      <c r="B1976" s="6"/>
      <c r="C1976" s="6"/>
      <c r="D1976" s="6"/>
      <c r="E1976" s="13"/>
      <c r="F1976" s="6"/>
      <c r="G1976" s="11" t="str">
        <f aca="true">IF(F1976="","",YEAR(TODAY())-F1976)</f>
        <v/>
      </c>
      <c r="H1976" s="11" t="str">
        <f aca="false">IF(C1976="","",IF(G1976="","Thiếu thông tin",IF(G1976&lt;6,"Trẻ em",IF(G1976&lt;23,"Học sinh / Sinh viên",IF(G1976&lt;60,"Đang đi làm","Nghỉ hưu")))))</f>
        <v/>
      </c>
      <c r="I1976" s="6"/>
      <c r="J1976" s="11" t="str">
        <f aca="false">IF(B1976="","",IFERROR(INDEX('Hộ gia đình'!$B$2:$B$2000,MATCH(B1976,'Hộ gia đình'!$A$2:$A$2000,0)),"Mã hộ không tồn tại"))</f>
        <v/>
      </c>
      <c r="K1976" s="14"/>
      <c r="L1976" s="14"/>
      <c r="M1976" s="6"/>
      <c r="N1976" s="6"/>
      <c r="O1976" s="6"/>
      <c r="P1976" s="6"/>
      <c r="Q1976" s="6"/>
      <c r="R1976" s="12"/>
    </row>
    <row r="1977" customFormat="false" ht="15" hidden="false" customHeight="true" outlineLevel="0" collapsed="false">
      <c r="A1977" s="6"/>
      <c r="B1977" s="6"/>
      <c r="C1977" s="6"/>
      <c r="D1977" s="6"/>
      <c r="E1977" s="13"/>
      <c r="F1977" s="6"/>
      <c r="G1977" s="11" t="str">
        <f aca="true">IF(F1977="","",YEAR(TODAY())-F1977)</f>
        <v/>
      </c>
      <c r="H1977" s="11" t="str">
        <f aca="false">IF(C1977="","",IF(G1977="","Thiếu thông tin",IF(G1977&lt;6,"Trẻ em",IF(G1977&lt;23,"Học sinh / Sinh viên",IF(G1977&lt;60,"Đang đi làm","Nghỉ hưu")))))</f>
        <v/>
      </c>
      <c r="I1977" s="6"/>
      <c r="J1977" s="11" t="str">
        <f aca="false">IF(B1977="","",IFERROR(INDEX('Hộ gia đình'!$B$2:$B$2000,MATCH(B1977,'Hộ gia đình'!$A$2:$A$2000,0)),"Mã hộ không tồn tại"))</f>
        <v/>
      </c>
      <c r="K1977" s="14"/>
      <c r="L1977" s="14"/>
      <c r="M1977" s="6"/>
      <c r="N1977" s="6"/>
      <c r="O1977" s="6"/>
      <c r="P1977" s="6"/>
      <c r="Q1977" s="6"/>
      <c r="R1977" s="12"/>
    </row>
    <row r="1978" customFormat="false" ht="15" hidden="false" customHeight="true" outlineLevel="0" collapsed="false">
      <c r="A1978" s="6"/>
      <c r="B1978" s="6"/>
      <c r="C1978" s="6"/>
      <c r="D1978" s="6"/>
      <c r="E1978" s="13"/>
      <c r="F1978" s="6"/>
      <c r="G1978" s="11" t="str">
        <f aca="true">IF(F1978="","",YEAR(TODAY())-F1978)</f>
        <v/>
      </c>
      <c r="H1978" s="11" t="str">
        <f aca="false">IF(C1978="","",IF(G1978="","Thiếu thông tin",IF(G1978&lt;6,"Trẻ em",IF(G1978&lt;23,"Học sinh / Sinh viên",IF(G1978&lt;60,"Đang đi làm","Nghỉ hưu")))))</f>
        <v/>
      </c>
      <c r="I1978" s="6"/>
      <c r="J1978" s="11" t="str">
        <f aca="false">IF(B1978="","",IFERROR(INDEX('Hộ gia đình'!$B$2:$B$2000,MATCH(B1978,'Hộ gia đình'!$A$2:$A$2000,0)),"Mã hộ không tồn tại"))</f>
        <v/>
      </c>
      <c r="K1978" s="14"/>
      <c r="L1978" s="14"/>
      <c r="M1978" s="6"/>
      <c r="N1978" s="6"/>
      <c r="O1978" s="6"/>
      <c r="P1978" s="6"/>
      <c r="Q1978" s="6"/>
      <c r="R1978" s="12"/>
    </row>
    <row r="1979" customFormat="false" ht="15" hidden="false" customHeight="true" outlineLevel="0" collapsed="false">
      <c r="A1979" s="6"/>
      <c r="B1979" s="6"/>
      <c r="C1979" s="6"/>
      <c r="D1979" s="6"/>
      <c r="E1979" s="13"/>
      <c r="F1979" s="6"/>
      <c r="G1979" s="11" t="str">
        <f aca="true">IF(F1979="","",YEAR(TODAY())-F1979)</f>
        <v/>
      </c>
      <c r="H1979" s="11" t="str">
        <f aca="false">IF(C1979="","",IF(G1979="","Thiếu thông tin",IF(G1979&lt;6,"Trẻ em",IF(G1979&lt;23,"Học sinh / Sinh viên",IF(G1979&lt;60,"Đang đi làm","Nghỉ hưu")))))</f>
        <v/>
      </c>
      <c r="I1979" s="6"/>
      <c r="J1979" s="11" t="str">
        <f aca="false">IF(B1979="","",IFERROR(INDEX('Hộ gia đình'!$B$2:$B$2000,MATCH(B1979,'Hộ gia đình'!$A$2:$A$2000,0)),"Mã hộ không tồn tại"))</f>
        <v/>
      </c>
      <c r="K1979" s="14"/>
      <c r="L1979" s="14"/>
      <c r="M1979" s="6"/>
      <c r="N1979" s="6"/>
      <c r="O1979" s="6"/>
      <c r="P1979" s="6"/>
      <c r="Q1979" s="6"/>
      <c r="R1979" s="12"/>
    </row>
    <row r="1980" customFormat="false" ht="15" hidden="false" customHeight="true" outlineLevel="0" collapsed="false">
      <c r="A1980" s="6"/>
      <c r="B1980" s="6"/>
      <c r="C1980" s="6"/>
      <c r="D1980" s="6"/>
      <c r="E1980" s="13"/>
      <c r="F1980" s="6"/>
      <c r="G1980" s="11" t="str">
        <f aca="true">IF(F1980="","",YEAR(TODAY())-F1980)</f>
        <v/>
      </c>
      <c r="H1980" s="11" t="str">
        <f aca="false">IF(C1980="","",IF(G1980="","Thiếu thông tin",IF(G1980&lt;6,"Trẻ em",IF(G1980&lt;23,"Học sinh / Sinh viên",IF(G1980&lt;60,"Đang đi làm","Nghỉ hưu")))))</f>
        <v/>
      </c>
      <c r="I1980" s="6"/>
      <c r="J1980" s="11" t="str">
        <f aca="false">IF(B1980="","",IFERROR(INDEX('Hộ gia đình'!$B$2:$B$2000,MATCH(B1980,'Hộ gia đình'!$A$2:$A$2000,0)),"Mã hộ không tồn tại"))</f>
        <v/>
      </c>
      <c r="K1980" s="14"/>
      <c r="L1980" s="14"/>
      <c r="M1980" s="6"/>
      <c r="N1980" s="6"/>
      <c r="O1980" s="6"/>
      <c r="P1980" s="6"/>
      <c r="Q1980" s="6"/>
      <c r="R1980" s="12"/>
    </row>
    <row r="1981" customFormat="false" ht="15" hidden="false" customHeight="true" outlineLevel="0" collapsed="false">
      <c r="A1981" s="6"/>
      <c r="B1981" s="6"/>
      <c r="C1981" s="6"/>
      <c r="D1981" s="6"/>
      <c r="E1981" s="13"/>
      <c r="F1981" s="6"/>
      <c r="G1981" s="11" t="str">
        <f aca="true">IF(F1981="","",YEAR(TODAY())-F1981)</f>
        <v/>
      </c>
      <c r="H1981" s="11" t="str">
        <f aca="false">IF(C1981="","",IF(G1981="","Thiếu thông tin",IF(G1981&lt;6,"Trẻ em",IF(G1981&lt;23,"Học sinh / Sinh viên",IF(G1981&lt;60,"Đang đi làm","Nghỉ hưu")))))</f>
        <v/>
      </c>
      <c r="I1981" s="6"/>
      <c r="J1981" s="11" t="str">
        <f aca="false">IF(B1981="","",IFERROR(INDEX('Hộ gia đình'!$B$2:$B$2000,MATCH(B1981,'Hộ gia đình'!$A$2:$A$2000,0)),"Mã hộ không tồn tại"))</f>
        <v/>
      </c>
      <c r="K1981" s="14"/>
      <c r="L1981" s="14"/>
      <c r="M1981" s="6"/>
      <c r="N1981" s="6"/>
      <c r="O1981" s="6"/>
      <c r="P1981" s="6"/>
      <c r="Q1981" s="6"/>
      <c r="R1981" s="12"/>
    </row>
    <row r="1982" customFormat="false" ht="15" hidden="false" customHeight="true" outlineLevel="0" collapsed="false">
      <c r="A1982" s="6"/>
      <c r="B1982" s="6"/>
      <c r="C1982" s="6"/>
      <c r="D1982" s="6"/>
      <c r="E1982" s="13"/>
      <c r="F1982" s="6"/>
      <c r="G1982" s="11" t="str">
        <f aca="true">IF(F1982="","",YEAR(TODAY())-F1982)</f>
        <v/>
      </c>
      <c r="H1982" s="11" t="str">
        <f aca="false">IF(C1982="","",IF(G1982="","Thiếu thông tin",IF(G1982&lt;6,"Trẻ em",IF(G1982&lt;23,"Học sinh / Sinh viên",IF(G1982&lt;60,"Đang đi làm","Nghỉ hưu")))))</f>
        <v/>
      </c>
      <c r="I1982" s="6"/>
      <c r="J1982" s="11" t="str">
        <f aca="false">IF(B1982="","",IFERROR(INDEX('Hộ gia đình'!$B$2:$B$2000,MATCH(B1982,'Hộ gia đình'!$A$2:$A$2000,0)),"Mã hộ không tồn tại"))</f>
        <v/>
      </c>
      <c r="K1982" s="14"/>
      <c r="L1982" s="14"/>
      <c r="M1982" s="6"/>
      <c r="N1982" s="6"/>
      <c r="O1982" s="6"/>
      <c r="P1982" s="6"/>
      <c r="Q1982" s="6"/>
      <c r="R1982" s="12"/>
    </row>
    <row r="1983" customFormat="false" ht="15" hidden="false" customHeight="true" outlineLevel="0" collapsed="false">
      <c r="A1983" s="6"/>
      <c r="B1983" s="6"/>
      <c r="C1983" s="6"/>
      <c r="D1983" s="6"/>
      <c r="E1983" s="13"/>
      <c r="F1983" s="6"/>
      <c r="G1983" s="11" t="str">
        <f aca="true">IF(F1983="","",YEAR(TODAY())-F1983)</f>
        <v/>
      </c>
      <c r="H1983" s="11" t="str">
        <f aca="false">IF(C1983="","",IF(G1983="","Thiếu thông tin",IF(G1983&lt;6,"Trẻ em",IF(G1983&lt;23,"Học sinh / Sinh viên",IF(G1983&lt;60,"Đang đi làm","Nghỉ hưu")))))</f>
        <v/>
      </c>
      <c r="I1983" s="6"/>
      <c r="J1983" s="11" t="str">
        <f aca="false">IF(B1983="","",IFERROR(INDEX('Hộ gia đình'!$B$2:$B$2000,MATCH(B1983,'Hộ gia đình'!$A$2:$A$2000,0)),"Mã hộ không tồn tại"))</f>
        <v/>
      </c>
      <c r="K1983" s="14"/>
      <c r="L1983" s="14"/>
      <c r="M1983" s="6"/>
      <c r="N1983" s="6"/>
      <c r="O1983" s="6"/>
      <c r="P1983" s="6"/>
      <c r="Q1983" s="6"/>
      <c r="R1983" s="12"/>
    </row>
    <row r="1984" customFormat="false" ht="15" hidden="false" customHeight="true" outlineLevel="0" collapsed="false">
      <c r="A1984" s="6"/>
      <c r="B1984" s="6"/>
      <c r="C1984" s="6"/>
      <c r="D1984" s="6"/>
      <c r="E1984" s="13"/>
      <c r="F1984" s="6"/>
      <c r="G1984" s="11" t="str">
        <f aca="true">IF(F1984="","",YEAR(TODAY())-F1984)</f>
        <v/>
      </c>
      <c r="H1984" s="11" t="str">
        <f aca="false">IF(C1984="","",IF(G1984="","Thiếu thông tin",IF(G1984&lt;6,"Trẻ em",IF(G1984&lt;23,"Học sinh / Sinh viên",IF(G1984&lt;60,"Đang đi làm","Nghỉ hưu")))))</f>
        <v/>
      </c>
      <c r="I1984" s="6"/>
      <c r="J1984" s="11" t="str">
        <f aca="false">IF(B1984="","",IFERROR(INDEX('Hộ gia đình'!$B$2:$B$2000,MATCH(B1984,'Hộ gia đình'!$A$2:$A$2000,0)),"Mã hộ không tồn tại"))</f>
        <v/>
      </c>
      <c r="K1984" s="14"/>
      <c r="L1984" s="14"/>
      <c r="M1984" s="6"/>
      <c r="N1984" s="6"/>
      <c r="O1984" s="6"/>
      <c r="P1984" s="6"/>
      <c r="Q1984" s="6"/>
      <c r="R1984" s="12"/>
    </row>
    <row r="1985" customFormat="false" ht="15" hidden="false" customHeight="true" outlineLevel="0" collapsed="false">
      <c r="A1985" s="6"/>
      <c r="B1985" s="6"/>
      <c r="C1985" s="6"/>
      <c r="D1985" s="6"/>
      <c r="E1985" s="13"/>
      <c r="F1985" s="6"/>
      <c r="G1985" s="11" t="str">
        <f aca="true">IF(F1985="","",YEAR(TODAY())-F1985)</f>
        <v/>
      </c>
      <c r="H1985" s="11" t="str">
        <f aca="false">IF(C1985="","",IF(G1985="","Thiếu thông tin",IF(G1985&lt;6,"Trẻ em",IF(G1985&lt;23,"Học sinh / Sinh viên",IF(G1985&lt;60,"Đang đi làm","Nghỉ hưu")))))</f>
        <v/>
      </c>
      <c r="I1985" s="6"/>
      <c r="J1985" s="11" t="str">
        <f aca="false">IF(B1985="","",IFERROR(INDEX('Hộ gia đình'!$B$2:$B$2000,MATCH(B1985,'Hộ gia đình'!$A$2:$A$2000,0)),"Mã hộ không tồn tại"))</f>
        <v/>
      </c>
      <c r="K1985" s="14"/>
      <c r="L1985" s="14"/>
      <c r="M1985" s="6"/>
      <c r="N1985" s="6"/>
      <c r="O1985" s="6"/>
      <c r="P1985" s="6"/>
      <c r="Q1985" s="6"/>
      <c r="R1985" s="12"/>
    </row>
    <row r="1986" customFormat="false" ht="15" hidden="false" customHeight="true" outlineLevel="0" collapsed="false">
      <c r="A1986" s="6"/>
      <c r="B1986" s="6"/>
      <c r="C1986" s="6"/>
      <c r="D1986" s="6"/>
      <c r="E1986" s="13"/>
      <c r="F1986" s="6"/>
      <c r="G1986" s="11" t="str">
        <f aca="true">IF(F1986="","",YEAR(TODAY())-F1986)</f>
        <v/>
      </c>
      <c r="H1986" s="11" t="str">
        <f aca="false">IF(C1986="","",IF(G1986="","Thiếu thông tin",IF(G1986&lt;6,"Trẻ em",IF(G1986&lt;23,"Học sinh / Sinh viên",IF(G1986&lt;60,"Đang đi làm","Nghỉ hưu")))))</f>
        <v/>
      </c>
      <c r="I1986" s="6"/>
      <c r="J1986" s="11" t="str">
        <f aca="false">IF(B1986="","",IFERROR(INDEX('Hộ gia đình'!$B$2:$B$2000,MATCH(B1986,'Hộ gia đình'!$A$2:$A$2000,0)),"Mã hộ không tồn tại"))</f>
        <v/>
      </c>
      <c r="K1986" s="14"/>
      <c r="L1986" s="14"/>
      <c r="M1986" s="6"/>
      <c r="N1986" s="6"/>
      <c r="O1986" s="6"/>
      <c r="P1986" s="6"/>
      <c r="Q1986" s="6"/>
      <c r="R1986" s="12"/>
    </row>
    <row r="1987" customFormat="false" ht="15" hidden="false" customHeight="true" outlineLevel="0" collapsed="false">
      <c r="A1987" s="6"/>
      <c r="B1987" s="6"/>
      <c r="C1987" s="6"/>
      <c r="D1987" s="6"/>
      <c r="E1987" s="13"/>
      <c r="F1987" s="6"/>
      <c r="G1987" s="11" t="str">
        <f aca="true">IF(F1987="","",YEAR(TODAY())-F1987)</f>
        <v/>
      </c>
      <c r="H1987" s="11" t="str">
        <f aca="false">IF(C1987="","",IF(G1987="","Thiếu thông tin",IF(G1987&lt;6,"Trẻ em",IF(G1987&lt;23,"Học sinh / Sinh viên",IF(G1987&lt;60,"Đang đi làm","Nghỉ hưu")))))</f>
        <v/>
      </c>
      <c r="I1987" s="6"/>
      <c r="J1987" s="11" t="str">
        <f aca="false">IF(B1987="","",IFERROR(INDEX('Hộ gia đình'!$B$2:$B$2000,MATCH(B1987,'Hộ gia đình'!$A$2:$A$2000,0)),"Mã hộ không tồn tại"))</f>
        <v/>
      </c>
      <c r="K1987" s="14"/>
      <c r="L1987" s="14"/>
      <c r="M1987" s="6"/>
      <c r="N1987" s="6"/>
      <c r="O1987" s="6"/>
      <c r="P1987" s="6"/>
      <c r="Q1987" s="6"/>
      <c r="R1987" s="12"/>
    </row>
    <row r="1988" customFormat="false" ht="15" hidden="false" customHeight="true" outlineLevel="0" collapsed="false">
      <c r="A1988" s="6"/>
      <c r="B1988" s="6"/>
      <c r="C1988" s="6"/>
      <c r="D1988" s="6"/>
      <c r="E1988" s="13"/>
      <c r="F1988" s="6"/>
      <c r="G1988" s="11" t="str">
        <f aca="true">IF(F1988="","",YEAR(TODAY())-F1988)</f>
        <v/>
      </c>
      <c r="H1988" s="11" t="str">
        <f aca="false">IF(C1988="","",IF(G1988="","Thiếu thông tin",IF(G1988&lt;6,"Trẻ em",IF(G1988&lt;23,"Học sinh / Sinh viên",IF(G1988&lt;60,"Đang đi làm","Nghỉ hưu")))))</f>
        <v/>
      </c>
      <c r="I1988" s="6"/>
      <c r="J1988" s="11" t="str">
        <f aca="false">IF(B1988="","",IFERROR(INDEX('Hộ gia đình'!$B$2:$B$2000,MATCH(B1988,'Hộ gia đình'!$A$2:$A$2000,0)),"Mã hộ không tồn tại"))</f>
        <v/>
      </c>
      <c r="K1988" s="14"/>
      <c r="L1988" s="14"/>
      <c r="M1988" s="6"/>
      <c r="N1988" s="6"/>
      <c r="O1988" s="6"/>
      <c r="P1988" s="6"/>
      <c r="Q1988" s="6"/>
      <c r="R1988" s="12"/>
    </row>
    <row r="1989" customFormat="false" ht="15" hidden="false" customHeight="true" outlineLevel="0" collapsed="false">
      <c r="A1989" s="6"/>
      <c r="B1989" s="6"/>
      <c r="C1989" s="6"/>
      <c r="D1989" s="6"/>
      <c r="E1989" s="13"/>
      <c r="F1989" s="6"/>
      <c r="G1989" s="11" t="str">
        <f aca="true">IF(F1989="","",YEAR(TODAY())-F1989)</f>
        <v/>
      </c>
      <c r="H1989" s="11" t="str">
        <f aca="false">IF(C1989="","",IF(G1989="","Thiếu thông tin",IF(G1989&lt;6,"Trẻ em",IF(G1989&lt;23,"Học sinh / Sinh viên",IF(G1989&lt;60,"Đang đi làm","Nghỉ hưu")))))</f>
        <v/>
      </c>
      <c r="I1989" s="6"/>
      <c r="J1989" s="11" t="str">
        <f aca="false">IF(B1989="","",IFERROR(INDEX('Hộ gia đình'!$B$2:$B$2000,MATCH(B1989,'Hộ gia đình'!$A$2:$A$2000,0)),"Mã hộ không tồn tại"))</f>
        <v/>
      </c>
      <c r="K1989" s="14"/>
      <c r="L1989" s="14"/>
      <c r="M1989" s="6"/>
      <c r="N1989" s="6"/>
      <c r="O1989" s="6"/>
      <c r="P1989" s="6"/>
      <c r="Q1989" s="6"/>
      <c r="R1989" s="12"/>
    </row>
    <row r="1990" customFormat="false" ht="15" hidden="false" customHeight="true" outlineLevel="0" collapsed="false">
      <c r="A1990" s="6"/>
      <c r="B1990" s="6"/>
      <c r="C1990" s="6"/>
      <c r="D1990" s="6"/>
      <c r="E1990" s="13"/>
      <c r="F1990" s="6"/>
      <c r="G1990" s="11" t="str">
        <f aca="true">IF(F1990="","",YEAR(TODAY())-F1990)</f>
        <v/>
      </c>
      <c r="H1990" s="11" t="str">
        <f aca="false">IF(C1990="","",IF(G1990="","Thiếu thông tin",IF(G1990&lt;6,"Trẻ em",IF(G1990&lt;23,"Học sinh / Sinh viên",IF(G1990&lt;60,"Đang đi làm","Nghỉ hưu")))))</f>
        <v/>
      </c>
      <c r="I1990" s="6"/>
      <c r="J1990" s="11" t="str">
        <f aca="false">IF(B1990="","",IFERROR(INDEX('Hộ gia đình'!$B$2:$B$2000,MATCH(B1990,'Hộ gia đình'!$A$2:$A$2000,0)),"Mã hộ không tồn tại"))</f>
        <v/>
      </c>
      <c r="K1990" s="14"/>
      <c r="L1990" s="14"/>
      <c r="M1990" s="6"/>
      <c r="N1990" s="6"/>
      <c r="O1990" s="6"/>
      <c r="P1990" s="6"/>
      <c r="Q1990" s="6"/>
      <c r="R1990" s="12"/>
    </row>
    <row r="1991" customFormat="false" ht="15" hidden="false" customHeight="true" outlineLevel="0" collapsed="false">
      <c r="A1991" s="6"/>
      <c r="B1991" s="6"/>
      <c r="C1991" s="6"/>
      <c r="D1991" s="6"/>
      <c r="E1991" s="13"/>
      <c r="F1991" s="6"/>
      <c r="G1991" s="11" t="str">
        <f aca="true">IF(F1991="","",YEAR(TODAY())-F1991)</f>
        <v/>
      </c>
      <c r="H1991" s="11" t="str">
        <f aca="false">IF(C1991="","",IF(G1991="","Thiếu thông tin",IF(G1991&lt;6,"Trẻ em",IF(G1991&lt;23,"Học sinh / Sinh viên",IF(G1991&lt;60,"Đang đi làm","Nghỉ hưu")))))</f>
        <v/>
      </c>
      <c r="I1991" s="6"/>
      <c r="J1991" s="11" t="str">
        <f aca="false">IF(B1991="","",IFERROR(INDEX('Hộ gia đình'!$B$2:$B$2000,MATCH(B1991,'Hộ gia đình'!$A$2:$A$2000,0)),"Mã hộ không tồn tại"))</f>
        <v/>
      </c>
      <c r="K1991" s="14"/>
      <c r="L1991" s="14"/>
      <c r="M1991" s="6"/>
      <c r="N1991" s="6"/>
      <c r="O1991" s="6"/>
      <c r="P1991" s="6"/>
      <c r="Q1991" s="6"/>
      <c r="R1991" s="12"/>
    </row>
    <row r="1992" customFormat="false" ht="15" hidden="false" customHeight="true" outlineLevel="0" collapsed="false">
      <c r="A1992" s="6"/>
      <c r="B1992" s="6"/>
      <c r="C1992" s="6"/>
      <c r="D1992" s="6"/>
      <c r="E1992" s="13"/>
      <c r="F1992" s="6"/>
      <c r="G1992" s="11" t="str">
        <f aca="true">IF(F1992="","",YEAR(TODAY())-F1992)</f>
        <v/>
      </c>
      <c r="H1992" s="11" t="str">
        <f aca="false">IF(C1992="","",IF(G1992="","Thiếu thông tin",IF(G1992&lt;6,"Trẻ em",IF(G1992&lt;23,"Học sinh / Sinh viên",IF(G1992&lt;60,"Đang đi làm","Nghỉ hưu")))))</f>
        <v/>
      </c>
      <c r="I1992" s="6"/>
      <c r="J1992" s="11" t="str">
        <f aca="false">IF(B1992="","",IFERROR(INDEX('Hộ gia đình'!$B$2:$B$2000,MATCH(B1992,'Hộ gia đình'!$A$2:$A$2000,0)),"Mã hộ không tồn tại"))</f>
        <v/>
      </c>
      <c r="K1992" s="14"/>
      <c r="L1992" s="14"/>
      <c r="M1992" s="6"/>
      <c r="N1992" s="6"/>
      <c r="O1992" s="6"/>
      <c r="P1992" s="6"/>
      <c r="Q1992" s="6"/>
      <c r="R1992" s="12"/>
    </row>
    <row r="1993" customFormat="false" ht="15" hidden="false" customHeight="true" outlineLevel="0" collapsed="false">
      <c r="A1993" s="6"/>
      <c r="B1993" s="6"/>
      <c r="C1993" s="6"/>
      <c r="D1993" s="6"/>
      <c r="E1993" s="13"/>
      <c r="F1993" s="6"/>
      <c r="G1993" s="11" t="str">
        <f aca="true">IF(F1993="","",YEAR(TODAY())-F1993)</f>
        <v/>
      </c>
      <c r="H1993" s="11" t="str">
        <f aca="false">IF(C1993="","",IF(G1993="","Thiếu thông tin",IF(G1993&lt;6,"Trẻ em",IF(G1993&lt;23,"Học sinh / Sinh viên",IF(G1993&lt;60,"Đang đi làm","Nghỉ hưu")))))</f>
        <v/>
      </c>
      <c r="I1993" s="6"/>
      <c r="J1993" s="11" t="str">
        <f aca="false">IF(B1993="","",IFERROR(INDEX('Hộ gia đình'!$B$2:$B$2000,MATCH(B1993,'Hộ gia đình'!$A$2:$A$2000,0)),"Mã hộ không tồn tại"))</f>
        <v/>
      </c>
      <c r="K1993" s="14"/>
      <c r="L1993" s="14"/>
      <c r="M1993" s="6"/>
      <c r="N1993" s="6"/>
      <c r="O1993" s="6"/>
      <c r="P1993" s="6"/>
      <c r="Q1993" s="6"/>
      <c r="R1993" s="12"/>
    </row>
    <row r="1994" customFormat="false" ht="15" hidden="false" customHeight="true" outlineLevel="0" collapsed="false">
      <c r="A1994" s="6"/>
      <c r="B1994" s="6"/>
      <c r="C1994" s="6"/>
      <c r="D1994" s="6"/>
      <c r="E1994" s="13"/>
      <c r="F1994" s="6"/>
      <c r="G1994" s="11" t="str">
        <f aca="true">IF(F1994="","",YEAR(TODAY())-F1994)</f>
        <v/>
      </c>
      <c r="H1994" s="11" t="str">
        <f aca="false">IF(C1994="","",IF(G1994="","Thiếu thông tin",IF(G1994&lt;6,"Trẻ em",IF(G1994&lt;23,"Học sinh / Sinh viên",IF(G1994&lt;60,"Đang đi làm","Nghỉ hưu")))))</f>
        <v/>
      </c>
      <c r="I1994" s="6"/>
      <c r="J1994" s="11" t="str">
        <f aca="false">IF(B1994="","",IFERROR(INDEX('Hộ gia đình'!$B$2:$B$2000,MATCH(B1994,'Hộ gia đình'!$A$2:$A$2000,0)),"Mã hộ không tồn tại"))</f>
        <v/>
      </c>
      <c r="K1994" s="14"/>
      <c r="L1994" s="14"/>
      <c r="M1994" s="6"/>
      <c r="N1994" s="6"/>
      <c r="O1994" s="6"/>
      <c r="P1994" s="6"/>
      <c r="Q1994" s="6"/>
      <c r="R1994" s="12"/>
    </row>
    <row r="1995" customFormat="false" ht="15" hidden="false" customHeight="true" outlineLevel="0" collapsed="false">
      <c r="A1995" s="6"/>
      <c r="B1995" s="6"/>
      <c r="C1995" s="6"/>
      <c r="D1995" s="6"/>
      <c r="E1995" s="13"/>
      <c r="F1995" s="6"/>
      <c r="G1995" s="11" t="str">
        <f aca="true">IF(F1995="","",YEAR(TODAY())-F1995)</f>
        <v/>
      </c>
      <c r="H1995" s="11" t="str">
        <f aca="false">IF(C1995="","",IF(G1995="","Thiếu thông tin",IF(G1995&lt;6,"Trẻ em",IF(G1995&lt;23,"Học sinh / Sinh viên",IF(G1995&lt;60,"Đang đi làm","Nghỉ hưu")))))</f>
        <v/>
      </c>
      <c r="I1995" s="6"/>
      <c r="J1995" s="11" t="str">
        <f aca="false">IF(B1995="","",IFERROR(INDEX('Hộ gia đình'!$B$2:$B$2000,MATCH(B1995,'Hộ gia đình'!$A$2:$A$2000,0)),"Mã hộ không tồn tại"))</f>
        <v/>
      </c>
      <c r="K1995" s="14"/>
      <c r="L1995" s="14"/>
      <c r="M1995" s="6"/>
      <c r="N1995" s="6"/>
      <c r="O1995" s="6"/>
      <c r="P1995" s="6"/>
      <c r="Q1995" s="6"/>
      <c r="R1995" s="12"/>
    </row>
    <row r="1996" customFormat="false" ht="15" hidden="false" customHeight="true" outlineLevel="0" collapsed="false">
      <c r="A1996" s="6"/>
      <c r="B1996" s="6"/>
      <c r="C1996" s="6"/>
      <c r="D1996" s="6"/>
      <c r="E1996" s="13"/>
      <c r="F1996" s="6"/>
      <c r="G1996" s="11" t="str">
        <f aca="true">IF(F1996="","",YEAR(TODAY())-F1996)</f>
        <v/>
      </c>
      <c r="H1996" s="11" t="str">
        <f aca="false">IF(C1996="","",IF(G1996="","Thiếu thông tin",IF(G1996&lt;6,"Trẻ em",IF(G1996&lt;23,"Học sinh / Sinh viên",IF(G1996&lt;60,"Đang đi làm","Nghỉ hưu")))))</f>
        <v/>
      </c>
      <c r="I1996" s="6"/>
      <c r="J1996" s="11" t="str">
        <f aca="false">IF(B1996="","",IFERROR(INDEX('Hộ gia đình'!$B$2:$B$2000,MATCH(B1996,'Hộ gia đình'!$A$2:$A$2000,0)),"Mã hộ không tồn tại"))</f>
        <v/>
      </c>
      <c r="K1996" s="14"/>
      <c r="L1996" s="14"/>
      <c r="M1996" s="6"/>
      <c r="N1996" s="6"/>
      <c r="O1996" s="6"/>
      <c r="P1996" s="6"/>
      <c r="Q1996" s="6"/>
      <c r="R1996" s="12"/>
    </row>
    <row r="1997" customFormat="false" ht="15" hidden="false" customHeight="true" outlineLevel="0" collapsed="false">
      <c r="A1997" s="6"/>
      <c r="B1997" s="6"/>
      <c r="C1997" s="6"/>
      <c r="D1997" s="6"/>
      <c r="E1997" s="13"/>
      <c r="F1997" s="6"/>
      <c r="G1997" s="11" t="str">
        <f aca="true">IF(F1997="","",YEAR(TODAY())-F1997)</f>
        <v/>
      </c>
      <c r="H1997" s="11" t="str">
        <f aca="false">IF(C1997="","",IF(G1997="","Thiếu thông tin",IF(G1997&lt;6,"Trẻ em",IF(G1997&lt;23,"Học sinh / Sinh viên",IF(G1997&lt;60,"Đang đi làm","Nghỉ hưu")))))</f>
        <v/>
      </c>
      <c r="I1997" s="6"/>
      <c r="J1997" s="11" t="str">
        <f aca="false">IF(B1997="","",IFERROR(INDEX('Hộ gia đình'!$B$2:$B$2000,MATCH(B1997,'Hộ gia đình'!$A$2:$A$2000,0)),"Mã hộ không tồn tại"))</f>
        <v/>
      </c>
      <c r="K1997" s="14"/>
      <c r="L1997" s="14"/>
      <c r="M1997" s="6"/>
      <c r="N1997" s="6"/>
      <c r="O1997" s="6"/>
      <c r="P1997" s="6"/>
      <c r="Q1997" s="6"/>
      <c r="R1997" s="12"/>
    </row>
    <row r="1998" customFormat="false" ht="15" hidden="false" customHeight="true" outlineLevel="0" collapsed="false">
      <c r="A1998" s="6"/>
      <c r="B1998" s="6"/>
      <c r="C1998" s="6"/>
      <c r="D1998" s="6"/>
      <c r="E1998" s="13"/>
      <c r="F1998" s="6"/>
      <c r="G1998" s="11" t="str">
        <f aca="true">IF(F1998="","",YEAR(TODAY())-F1998)</f>
        <v/>
      </c>
      <c r="H1998" s="11" t="str">
        <f aca="false">IF(C1998="","",IF(G1998="","Thiếu thông tin",IF(G1998&lt;6,"Trẻ em",IF(G1998&lt;23,"Học sinh / Sinh viên",IF(G1998&lt;60,"Đang đi làm","Nghỉ hưu")))))</f>
        <v/>
      </c>
      <c r="I1998" s="6"/>
      <c r="J1998" s="11" t="str">
        <f aca="false">IF(B1998="","",IFERROR(INDEX('Hộ gia đình'!$B$2:$B$2000,MATCH(B1998,'Hộ gia đình'!$A$2:$A$2000,0)),"Mã hộ không tồn tại"))</f>
        <v/>
      </c>
      <c r="K1998" s="14"/>
      <c r="L1998" s="14"/>
      <c r="M1998" s="6"/>
      <c r="N1998" s="6"/>
      <c r="O1998" s="6"/>
      <c r="P1998" s="6"/>
      <c r="Q1998" s="6"/>
      <c r="R1998" s="12"/>
    </row>
    <row r="1999" customFormat="false" ht="15" hidden="false" customHeight="true" outlineLevel="0" collapsed="false">
      <c r="A1999" s="6"/>
      <c r="B1999" s="6"/>
      <c r="C1999" s="6"/>
      <c r="D1999" s="6"/>
      <c r="E1999" s="13"/>
      <c r="F1999" s="6"/>
      <c r="G1999" s="11" t="str">
        <f aca="true">IF(F1999="","",YEAR(TODAY())-F1999)</f>
        <v/>
      </c>
      <c r="H1999" s="11" t="str">
        <f aca="false">IF(C1999="","",IF(G1999="","Thiếu thông tin",IF(G1999&lt;6,"Trẻ em",IF(G1999&lt;23,"Học sinh / Sinh viên",IF(G1999&lt;60,"Đang đi làm","Nghỉ hưu")))))</f>
        <v/>
      </c>
      <c r="I1999" s="6"/>
      <c r="J1999" s="11" t="str">
        <f aca="false">IF(B1999="","",IFERROR(INDEX('Hộ gia đình'!$B$2:$B$2000,MATCH(B1999,'Hộ gia đình'!$A$2:$A$2000,0)),"Mã hộ không tồn tại"))</f>
        <v/>
      </c>
      <c r="K1999" s="14"/>
      <c r="L1999" s="14"/>
      <c r="M1999" s="6"/>
      <c r="N1999" s="6"/>
      <c r="O1999" s="6"/>
      <c r="P1999" s="6"/>
      <c r="Q1999" s="6"/>
      <c r="R1999" s="12"/>
    </row>
    <row r="2000" customFormat="false" ht="15" hidden="false" customHeight="true" outlineLevel="0" collapsed="false">
      <c r="A2000" s="6"/>
      <c r="B2000" s="6"/>
      <c r="C2000" s="6"/>
      <c r="D2000" s="6"/>
      <c r="E2000" s="13"/>
      <c r="F2000" s="6"/>
      <c r="G2000" s="11" t="str">
        <f aca="true">IF(F2000="","",YEAR(TODAY())-F2000)</f>
        <v/>
      </c>
      <c r="H2000" s="11" t="str">
        <f aca="false">IF(C2000="","",IF(G2000="","Thiếu thông tin",IF(G2000&lt;6,"Trẻ em",IF(G2000&lt;23,"Học sinh / Sinh viên",IF(G2000&lt;60,"Đang đi làm","Nghỉ hưu")))))</f>
        <v/>
      </c>
      <c r="I2000" s="6"/>
      <c r="J2000" s="11" t="str">
        <f aca="false">IF(B2000="","",IFERROR(INDEX('Hộ gia đình'!$B$2:$B$2000,MATCH(B2000,'Hộ gia đình'!$A$2:$A$2000,0)),"Mã hộ không tồn tại"))</f>
        <v/>
      </c>
      <c r="K2000" s="14"/>
      <c r="L2000" s="14"/>
      <c r="M2000" s="6"/>
      <c r="N2000" s="6"/>
      <c r="O2000" s="6"/>
      <c r="P2000" s="6"/>
      <c r="Q2000" s="6"/>
      <c r="R2000" s="12"/>
    </row>
  </sheetData>
  <autoFilter ref="A1:R680"/>
  <dataValidations count="5">
    <dataValidation allowBlank="true" error="Chọn một giá trị trong danh sách." errorStyle="stop" errorTitle="Giá trị không hợp lệ" operator="between" showDropDown="false" showErrorMessage="true" showInputMessage="false" sqref="D2:D2000" type="list">
      <formula1>"Nam,Nữ"</formula1>
      <formula2>0</formula2>
    </dataValidation>
    <dataValidation allowBlank="true" error="Chọn một giá trị trong danh sách." errorStyle="stop" errorTitle="Giá trị không hợp lệ" operator="between" showDropDown="false" showErrorMessage="true" showInputMessage="false" sqref="I2:I2000" type="list">
      <formula1>"Chủ hộ,Vợ / Chồng,Con,Cha / Mẹ,Ông / Bà,Cháu,Khác"</formula1>
      <formula2>0</formula2>
    </dataValidation>
    <dataValidation allowBlank="true" error="Chọn một giá trị trong danh sách." errorStyle="stop" errorTitle="Giá trị không hợp lệ" operator="between" showDropDown="false" showErrorMessage="true" showInputMessage="false" sqref="N2:N2000" type="list">
      <formula1>"Có,Không"</formula1>
      <formula2>0</formula2>
    </dataValidation>
    <dataValidation allowBlank="true" error="Chọn một giá trị trong danh sách." errorStyle="stop" errorTitle="Giá trị không hợp lệ" operator="between" showDropDown="false" showErrorMessage="true" showInputMessage="false" sqref="O2:O2000" type="list">
      <formula1>"Đang ở,Tạm vắng,Đã chuyển đi,Đã mất"</formula1>
      <formula2>0</formula2>
    </dataValidation>
    <dataValidation allowBlank="true" error="Mã hộ phải có trong sheet Hộ gia đình." errorStyle="stop" operator="between" showDropDown="false" showErrorMessage="true" showInputMessage="false" sqref="B2:B2000" type="list">
      <formula1>'Hộ gia đình'!$A$2:$A$2000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5"/>
    <col collapsed="false" customWidth="true" hidden="false" outlineLevel="0" max="3" min="3" style="1" width="9"/>
    <col collapsed="false" customWidth="true" hidden="false" outlineLevel="0" max="4" min="4" style="1" width="26"/>
    <col collapsed="false" customWidth="true" hidden="false" outlineLevel="0" max="5" min="5" style="1" width="9"/>
    <col collapsed="false" customWidth="true" hidden="false" outlineLevel="0" max="6" min="6" style="1" width="50"/>
    <col collapsed="false" customWidth="true" hidden="false" outlineLevel="0" max="7" min="7" style="1" width="18"/>
  </cols>
  <sheetData>
    <row r="1" customFormat="false" ht="31.5" hidden="false" customHeight="true" outlineLevel="0" collapsed="false">
      <c r="A1" s="10" t="s">
        <v>2228</v>
      </c>
      <c r="B1" s="10" t="s">
        <v>2229</v>
      </c>
      <c r="C1" s="10" t="s">
        <v>370</v>
      </c>
      <c r="D1" s="10" t="s">
        <v>371</v>
      </c>
      <c r="E1" s="10" t="s">
        <v>50</v>
      </c>
      <c r="F1" s="10" t="s">
        <v>2230</v>
      </c>
      <c r="G1" s="10" t="s">
        <v>2231</v>
      </c>
    </row>
    <row r="2" customFormat="false" ht="15" hidden="false" customHeight="true" outlineLevel="0" collapsed="false">
      <c r="A2" s="13"/>
      <c r="B2" s="6"/>
      <c r="C2" s="6"/>
      <c r="D2" s="11" t="str">
        <f aca="false">IF(C2="","",IFERROR(INDEX('Cư dân'!$C$2:$C$2000,MATCH(C2,'Cư dân'!$A$2:$A$2000,0)),"Mã không tồn tại"))</f>
        <v/>
      </c>
      <c r="E2" s="6"/>
      <c r="F2" s="6"/>
      <c r="G2" s="6"/>
    </row>
    <row r="3" customFormat="false" ht="15" hidden="false" customHeight="true" outlineLevel="0" collapsed="false">
      <c r="A3" s="13"/>
      <c r="B3" s="6"/>
      <c r="C3" s="6"/>
      <c r="D3" s="11" t="str">
        <f aca="false">IF(C3="","",IFERROR(INDEX('Cư dân'!$C$2:$C$2000,MATCH(C3,'Cư dân'!$A$2:$A$2000,0)),"Mã không tồn tại"))</f>
        <v/>
      </c>
      <c r="E3" s="6"/>
      <c r="F3" s="6"/>
      <c r="G3" s="6"/>
    </row>
    <row r="4" customFormat="false" ht="15" hidden="false" customHeight="true" outlineLevel="0" collapsed="false">
      <c r="A4" s="13"/>
      <c r="B4" s="6"/>
      <c r="C4" s="6"/>
      <c r="D4" s="11" t="str">
        <f aca="false">IF(C4="","",IFERROR(INDEX('Cư dân'!$C$2:$C$2000,MATCH(C4,'Cư dân'!$A$2:$A$2000,0)),"Mã không tồn tại"))</f>
        <v/>
      </c>
      <c r="E4" s="6"/>
      <c r="F4" s="6"/>
      <c r="G4" s="6"/>
    </row>
    <row r="5" customFormat="false" ht="15" hidden="false" customHeight="true" outlineLevel="0" collapsed="false">
      <c r="A5" s="13"/>
      <c r="B5" s="6"/>
      <c r="C5" s="6"/>
      <c r="D5" s="11" t="str">
        <f aca="false">IF(C5="","",IFERROR(INDEX('Cư dân'!$C$2:$C$2000,MATCH(C5,'Cư dân'!$A$2:$A$2000,0)),"Mã không tồn tại"))</f>
        <v/>
      </c>
      <c r="E5" s="6"/>
      <c r="F5" s="6"/>
      <c r="G5" s="6"/>
    </row>
    <row r="6" customFormat="false" ht="15" hidden="false" customHeight="true" outlineLevel="0" collapsed="false">
      <c r="A6" s="13"/>
      <c r="B6" s="6"/>
      <c r="C6" s="6"/>
      <c r="D6" s="11" t="str">
        <f aca="false">IF(C6="","",IFERROR(INDEX('Cư dân'!$C$2:$C$2000,MATCH(C6,'Cư dân'!$A$2:$A$2000,0)),"Mã không tồn tại"))</f>
        <v/>
      </c>
      <c r="E6" s="6"/>
      <c r="F6" s="6"/>
      <c r="G6" s="6"/>
    </row>
    <row r="7" customFormat="false" ht="15" hidden="false" customHeight="true" outlineLevel="0" collapsed="false">
      <c r="A7" s="13"/>
      <c r="B7" s="6"/>
      <c r="C7" s="6"/>
      <c r="D7" s="11" t="str">
        <f aca="false">IF(C7="","",IFERROR(INDEX('Cư dân'!$C$2:$C$2000,MATCH(C7,'Cư dân'!$A$2:$A$2000,0)),"Mã không tồn tại"))</f>
        <v/>
      </c>
      <c r="E7" s="6"/>
      <c r="F7" s="6"/>
      <c r="G7" s="6"/>
    </row>
    <row r="8" customFormat="false" ht="15" hidden="false" customHeight="true" outlineLevel="0" collapsed="false">
      <c r="A8" s="13"/>
      <c r="B8" s="6"/>
      <c r="C8" s="6"/>
      <c r="D8" s="11" t="str">
        <f aca="false">IF(C8="","",IFERROR(INDEX('Cư dân'!$C$2:$C$2000,MATCH(C8,'Cư dân'!$A$2:$A$2000,0)),"Mã không tồn tại"))</f>
        <v/>
      </c>
      <c r="E8" s="6"/>
      <c r="F8" s="6"/>
      <c r="G8" s="6"/>
    </row>
    <row r="9" customFormat="false" ht="15" hidden="false" customHeight="true" outlineLevel="0" collapsed="false">
      <c r="A9" s="13"/>
      <c r="B9" s="6"/>
      <c r="C9" s="6"/>
      <c r="D9" s="11" t="str">
        <f aca="false">IF(C9="","",IFERROR(INDEX('Cư dân'!$C$2:$C$2000,MATCH(C9,'Cư dân'!$A$2:$A$2000,0)),"Mã không tồn tại"))</f>
        <v/>
      </c>
      <c r="E9" s="6"/>
      <c r="F9" s="6"/>
      <c r="G9" s="6"/>
    </row>
    <row r="10" customFormat="false" ht="15" hidden="false" customHeight="true" outlineLevel="0" collapsed="false">
      <c r="A10" s="13"/>
      <c r="B10" s="6"/>
      <c r="C10" s="6"/>
      <c r="D10" s="11" t="str">
        <f aca="false">IF(C10="","",IFERROR(INDEX('Cư dân'!$C$2:$C$2000,MATCH(C10,'Cư dân'!$A$2:$A$2000,0)),"Mã không tồn tại"))</f>
        <v/>
      </c>
      <c r="E10" s="6"/>
      <c r="F10" s="6"/>
      <c r="G10" s="6"/>
    </row>
    <row r="11" customFormat="false" ht="15" hidden="false" customHeight="true" outlineLevel="0" collapsed="false">
      <c r="A11" s="13"/>
      <c r="B11" s="6"/>
      <c r="C11" s="6"/>
      <c r="D11" s="11" t="str">
        <f aca="false">IF(C11="","",IFERROR(INDEX('Cư dân'!$C$2:$C$2000,MATCH(C11,'Cư dân'!$A$2:$A$2000,0)),"Mã không tồn tại"))</f>
        <v/>
      </c>
      <c r="E11" s="6"/>
      <c r="F11" s="6"/>
      <c r="G11" s="6"/>
    </row>
    <row r="12" customFormat="false" ht="15" hidden="false" customHeight="true" outlineLevel="0" collapsed="false">
      <c r="A12" s="13"/>
      <c r="B12" s="6"/>
      <c r="C12" s="6"/>
      <c r="D12" s="11" t="str">
        <f aca="false">IF(C12="","",IFERROR(INDEX('Cư dân'!$C$2:$C$2000,MATCH(C12,'Cư dân'!$A$2:$A$2000,0)),"Mã không tồn tại"))</f>
        <v/>
      </c>
      <c r="E12" s="6"/>
      <c r="F12" s="6"/>
      <c r="G12" s="6"/>
    </row>
    <row r="13" customFormat="false" ht="15" hidden="false" customHeight="true" outlineLevel="0" collapsed="false">
      <c r="A13" s="13"/>
      <c r="B13" s="6"/>
      <c r="C13" s="6"/>
      <c r="D13" s="11" t="str">
        <f aca="false">IF(C13="","",IFERROR(INDEX('Cư dân'!$C$2:$C$2000,MATCH(C13,'Cư dân'!$A$2:$A$2000,0)),"Mã không tồn tại"))</f>
        <v/>
      </c>
      <c r="E13" s="6"/>
      <c r="F13" s="6"/>
      <c r="G13" s="6"/>
    </row>
    <row r="14" customFormat="false" ht="15" hidden="false" customHeight="true" outlineLevel="0" collapsed="false">
      <c r="A14" s="13"/>
      <c r="B14" s="6"/>
      <c r="C14" s="6"/>
      <c r="D14" s="11" t="str">
        <f aca="false">IF(C14="","",IFERROR(INDEX('Cư dân'!$C$2:$C$2000,MATCH(C14,'Cư dân'!$A$2:$A$2000,0)),"Mã không tồn tại"))</f>
        <v/>
      </c>
      <c r="E14" s="6"/>
      <c r="F14" s="6"/>
      <c r="G14" s="6"/>
    </row>
    <row r="15" customFormat="false" ht="15" hidden="false" customHeight="true" outlineLevel="0" collapsed="false">
      <c r="A15" s="13"/>
      <c r="B15" s="6"/>
      <c r="C15" s="6"/>
      <c r="D15" s="11" t="str">
        <f aca="false">IF(C15="","",IFERROR(INDEX('Cư dân'!$C$2:$C$2000,MATCH(C15,'Cư dân'!$A$2:$A$2000,0)),"Mã không tồn tại"))</f>
        <v/>
      </c>
      <c r="E15" s="6"/>
      <c r="F15" s="6"/>
      <c r="G15" s="6"/>
    </row>
    <row r="16" customFormat="false" ht="15" hidden="false" customHeight="true" outlineLevel="0" collapsed="false">
      <c r="A16" s="13"/>
      <c r="B16" s="6"/>
      <c r="C16" s="6"/>
      <c r="D16" s="11" t="str">
        <f aca="false">IF(C16="","",IFERROR(INDEX('Cư dân'!$C$2:$C$2000,MATCH(C16,'Cư dân'!$A$2:$A$2000,0)),"Mã không tồn tại"))</f>
        <v/>
      </c>
      <c r="E16" s="6"/>
      <c r="F16" s="6"/>
      <c r="G16" s="6"/>
    </row>
    <row r="17" customFormat="false" ht="15" hidden="false" customHeight="true" outlineLevel="0" collapsed="false">
      <c r="A17" s="13"/>
      <c r="B17" s="6"/>
      <c r="C17" s="6"/>
      <c r="D17" s="11" t="str">
        <f aca="false">IF(C17="","",IFERROR(INDEX('Cư dân'!$C$2:$C$2000,MATCH(C17,'Cư dân'!$A$2:$A$2000,0)),"Mã không tồn tại"))</f>
        <v/>
      </c>
      <c r="E17" s="6"/>
      <c r="F17" s="6"/>
      <c r="G17" s="6"/>
    </row>
    <row r="18" customFormat="false" ht="15" hidden="false" customHeight="true" outlineLevel="0" collapsed="false">
      <c r="A18" s="13"/>
      <c r="B18" s="6"/>
      <c r="C18" s="6"/>
      <c r="D18" s="11" t="str">
        <f aca="false">IF(C18="","",IFERROR(INDEX('Cư dân'!$C$2:$C$2000,MATCH(C18,'Cư dân'!$A$2:$A$2000,0)),"Mã không tồn tại"))</f>
        <v/>
      </c>
      <c r="E18" s="6"/>
      <c r="F18" s="6"/>
      <c r="G18" s="6"/>
    </row>
    <row r="19" customFormat="false" ht="15" hidden="false" customHeight="true" outlineLevel="0" collapsed="false">
      <c r="A19" s="13"/>
      <c r="B19" s="6"/>
      <c r="C19" s="6"/>
      <c r="D19" s="11" t="str">
        <f aca="false">IF(C19="","",IFERROR(INDEX('Cư dân'!$C$2:$C$2000,MATCH(C19,'Cư dân'!$A$2:$A$2000,0)),"Mã không tồn tại"))</f>
        <v/>
      </c>
      <c r="E19" s="6"/>
      <c r="F19" s="6"/>
      <c r="G19" s="6"/>
    </row>
    <row r="20" customFormat="false" ht="15" hidden="false" customHeight="true" outlineLevel="0" collapsed="false">
      <c r="A20" s="13"/>
      <c r="B20" s="6"/>
      <c r="C20" s="6"/>
      <c r="D20" s="11" t="str">
        <f aca="false">IF(C20="","",IFERROR(INDEX('Cư dân'!$C$2:$C$2000,MATCH(C20,'Cư dân'!$A$2:$A$2000,0)),"Mã không tồn tại"))</f>
        <v/>
      </c>
      <c r="E20" s="6"/>
      <c r="F20" s="6"/>
      <c r="G20" s="6"/>
    </row>
    <row r="21" customFormat="false" ht="15" hidden="false" customHeight="true" outlineLevel="0" collapsed="false">
      <c r="A21" s="13"/>
      <c r="B21" s="6"/>
      <c r="C21" s="6"/>
      <c r="D21" s="11" t="str">
        <f aca="false">IF(C21="","",IFERROR(INDEX('Cư dân'!$C$2:$C$2000,MATCH(C21,'Cư dân'!$A$2:$A$2000,0)),"Mã không tồn tại"))</f>
        <v/>
      </c>
      <c r="E21" s="6"/>
      <c r="F21" s="6"/>
      <c r="G21" s="6"/>
    </row>
    <row r="22" customFormat="false" ht="15" hidden="false" customHeight="true" outlineLevel="0" collapsed="false">
      <c r="A22" s="13"/>
      <c r="B22" s="6"/>
      <c r="C22" s="6"/>
      <c r="D22" s="11" t="str">
        <f aca="false">IF(C22="","",IFERROR(INDEX('Cư dân'!$C$2:$C$2000,MATCH(C22,'Cư dân'!$A$2:$A$2000,0)),"Mã không tồn tại"))</f>
        <v/>
      </c>
      <c r="E22" s="6"/>
      <c r="F22" s="6"/>
      <c r="G22" s="6"/>
    </row>
    <row r="23" customFormat="false" ht="15" hidden="false" customHeight="true" outlineLevel="0" collapsed="false">
      <c r="A23" s="13"/>
      <c r="B23" s="6"/>
      <c r="C23" s="6"/>
      <c r="D23" s="11" t="str">
        <f aca="false">IF(C23="","",IFERROR(INDEX('Cư dân'!$C$2:$C$2000,MATCH(C23,'Cư dân'!$A$2:$A$2000,0)),"Mã không tồn tại"))</f>
        <v/>
      </c>
      <c r="E23" s="6"/>
      <c r="F23" s="6"/>
      <c r="G23" s="6"/>
    </row>
    <row r="24" customFormat="false" ht="15" hidden="false" customHeight="true" outlineLevel="0" collapsed="false">
      <c r="A24" s="13"/>
      <c r="B24" s="6"/>
      <c r="C24" s="6"/>
      <c r="D24" s="11" t="str">
        <f aca="false">IF(C24="","",IFERROR(INDEX('Cư dân'!$C$2:$C$2000,MATCH(C24,'Cư dân'!$A$2:$A$2000,0)),"Mã không tồn tại"))</f>
        <v/>
      </c>
      <c r="E24" s="6"/>
      <c r="F24" s="6"/>
      <c r="G24" s="6"/>
    </row>
    <row r="25" customFormat="false" ht="15" hidden="false" customHeight="true" outlineLevel="0" collapsed="false">
      <c r="A25" s="13"/>
      <c r="B25" s="6"/>
      <c r="C25" s="6"/>
      <c r="D25" s="11" t="str">
        <f aca="false">IF(C25="","",IFERROR(INDEX('Cư dân'!$C$2:$C$2000,MATCH(C25,'Cư dân'!$A$2:$A$2000,0)),"Mã không tồn tại"))</f>
        <v/>
      </c>
      <c r="E25" s="6"/>
      <c r="F25" s="6"/>
      <c r="G25" s="6"/>
    </row>
    <row r="26" customFormat="false" ht="15" hidden="false" customHeight="true" outlineLevel="0" collapsed="false">
      <c r="A26" s="13"/>
      <c r="B26" s="6"/>
      <c r="C26" s="6"/>
      <c r="D26" s="11" t="str">
        <f aca="false">IF(C26="","",IFERROR(INDEX('Cư dân'!$C$2:$C$2000,MATCH(C26,'Cư dân'!$A$2:$A$2000,0)),"Mã không tồn tại"))</f>
        <v/>
      </c>
      <c r="E26" s="6"/>
      <c r="F26" s="6"/>
      <c r="G26" s="6"/>
    </row>
    <row r="27" customFormat="false" ht="15" hidden="false" customHeight="true" outlineLevel="0" collapsed="false">
      <c r="A27" s="13"/>
      <c r="B27" s="6"/>
      <c r="C27" s="6"/>
      <c r="D27" s="11" t="str">
        <f aca="false">IF(C27="","",IFERROR(INDEX('Cư dân'!$C$2:$C$2000,MATCH(C27,'Cư dân'!$A$2:$A$2000,0)),"Mã không tồn tại"))</f>
        <v/>
      </c>
      <c r="E27" s="6"/>
      <c r="F27" s="6"/>
      <c r="G27" s="6"/>
    </row>
    <row r="28" customFormat="false" ht="15" hidden="false" customHeight="true" outlineLevel="0" collapsed="false">
      <c r="A28" s="13"/>
      <c r="B28" s="6"/>
      <c r="C28" s="6"/>
      <c r="D28" s="11" t="str">
        <f aca="false">IF(C28="","",IFERROR(INDEX('Cư dân'!$C$2:$C$2000,MATCH(C28,'Cư dân'!$A$2:$A$2000,0)),"Mã không tồn tại"))</f>
        <v/>
      </c>
      <c r="E28" s="6"/>
      <c r="F28" s="6"/>
      <c r="G28" s="6"/>
    </row>
    <row r="29" customFormat="false" ht="15" hidden="false" customHeight="true" outlineLevel="0" collapsed="false">
      <c r="A29" s="13"/>
      <c r="B29" s="6"/>
      <c r="C29" s="6"/>
      <c r="D29" s="11" t="str">
        <f aca="false">IF(C29="","",IFERROR(INDEX('Cư dân'!$C$2:$C$2000,MATCH(C29,'Cư dân'!$A$2:$A$2000,0)),"Mã không tồn tại"))</f>
        <v/>
      </c>
      <c r="E29" s="6"/>
      <c r="F29" s="6"/>
      <c r="G29" s="6"/>
    </row>
    <row r="30" customFormat="false" ht="15" hidden="false" customHeight="true" outlineLevel="0" collapsed="false">
      <c r="A30" s="13"/>
      <c r="B30" s="6"/>
      <c r="C30" s="6"/>
      <c r="D30" s="11" t="str">
        <f aca="false">IF(C30="","",IFERROR(INDEX('Cư dân'!$C$2:$C$2000,MATCH(C30,'Cư dân'!$A$2:$A$2000,0)),"Mã không tồn tại"))</f>
        <v/>
      </c>
      <c r="E30" s="6"/>
      <c r="F30" s="6"/>
      <c r="G30" s="6"/>
    </row>
    <row r="31" customFormat="false" ht="15" hidden="false" customHeight="true" outlineLevel="0" collapsed="false">
      <c r="A31" s="13"/>
      <c r="B31" s="6"/>
      <c r="C31" s="6"/>
      <c r="D31" s="11" t="str">
        <f aca="false">IF(C31="","",IFERROR(INDEX('Cư dân'!$C$2:$C$2000,MATCH(C31,'Cư dân'!$A$2:$A$2000,0)),"Mã không tồn tại"))</f>
        <v/>
      </c>
      <c r="E31" s="6"/>
      <c r="F31" s="6"/>
      <c r="G31" s="6"/>
    </row>
    <row r="32" customFormat="false" ht="15" hidden="false" customHeight="true" outlineLevel="0" collapsed="false">
      <c r="A32" s="13"/>
      <c r="B32" s="6"/>
      <c r="C32" s="6"/>
      <c r="D32" s="11" t="str">
        <f aca="false">IF(C32="","",IFERROR(INDEX('Cư dân'!$C$2:$C$2000,MATCH(C32,'Cư dân'!$A$2:$A$2000,0)),"Mã không tồn tại"))</f>
        <v/>
      </c>
      <c r="E32" s="6"/>
      <c r="F32" s="6"/>
      <c r="G32" s="6"/>
    </row>
    <row r="33" customFormat="false" ht="15" hidden="false" customHeight="true" outlineLevel="0" collapsed="false">
      <c r="A33" s="13"/>
      <c r="B33" s="6"/>
      <c r="C33" s="6"/>
      <c r="D33" s="11" t="str">
        <f aca="false">IF(C33="","",IFERROR(INDEX('Cư dân'!$C$2:$C$2000,MATCH(C33,'Cư dân'!$A$2:$A$2000,0)),"Mã không tồn tại"))</f>
        <v/>
      </c>
      <c r="E33" s="6"/>
      <c r="F33" s="6"/>
      <c r="G33" s="6"/>
    </row>
    <row r="34" customFormat="false" ht="15" hidden="false" customHeight="true" outlineLevel="0" collapsed="false">
      <c r="A34" s="13"/>
      <c r="B34" s="6"/>
      <c r="C34" s="6"/>
      <c r="D34" s="11" t="str">
        <f aca="false">IF(C34="","",IFERROR(INDEX('Cư dân'!$C$2:$C$2000,MATCH(C34,'Cư dân'!$A$2:$A$2000,0)),"Mã không tồn tại"))</f>
        <v/>
      </c>
      <c r="E34" s="6"/>
      <c r="F34" s="6"/>
      <c r="G34" s="6"/>
    </row>
    <row r="35" customFormat="false" ht="15" hidden="false" customHeight="true" outlineLevel="0" collapsed="false">
      <c r="A35" s="13"/>
      <c r="B35" s="6"/>
      <c r="C35" s="6"/>
      <c r="D35" s="11" t="str">
        <f aca="false">IF(C35="","",IFERROR(INDEX('Cư dân'!$C$2:$C$2000,MATCH(C35,'Cư dân'!$A$2:$A$2000,0)),"Mã không tồn tại"))</f>
        <v/>
      </c>
      <c r="E35" s="6"/>
      <c r="F35" s="6"/>
      <c r="G35" s="6"/>
    </row>
    <row r="36" customFormat="false" ht="15" hidden="false" customHeight="true" outlineLevel="0" collapsed="false">
      <c r="A36" s="13"/>
      <c r="B36" s="6"/>
      <c r="C36" s="6"/>
      <c r="D36" s="11" t="str">
        <f aca="false">IF(C36="","",IFERROR(INDEX('Cư dân'!$C$2:$C$2000,MATCH(C36,'Cư dân'!$A$2:$A$2000,0)),"Mã không tồn tại"))</f>
        <v/>
      </c>
      <c r="E36" s="6"/>
      <c r="F36" s="6"/>
      <c r="G36" s="6"/>
    </row>
    <row r="37" customFormat="false" ht="15" hidden="false" customHeight="true" outlineLevel="0" collapsed="false">
      <c r="A37" s="13"/>
      <c r="B37" s="6"/>
      <c r="C37" s="6"/>
      <c r="D37" s="11" t="str">
        <f aca="false">IF(C37="","",IFERROR(INDEX('Cư dân'!$C$2:$C$2000,MATCH(C37,'Cư dân'!$A$2:$A$2000,0)),"Mã không tồn tại"))</f>
        <v/>
      </c>
      <c r="E37" s="6"/>
      <c r="F37" s="6"/>
      <c r="G37" s="6"/>
    </row>
    <row r="38" customFormat="false" ht="15" hidden="false" customHeight="true" outlineLevel="0" collapsed="false">
      <c r="A38" s="13"/>
      <c r="B38" s="6"/>
      <c r="C38" s="6"/>
      <c r="D38" s="11" t="str">
        <f aca="false">IF(C38="","",IFERROR(INDEX('Cư dân'!$C$2:$C$2000,MATCH(C38,'Cư dân'!$A$2:$A$2000,0)),"Mã không tồn tại"))</f>
        <v/>
      </c>
      <c r="E38" s="6"/>
      <c r="F38" s="6"/>
      <c r="G38" s="6"/>
    </row>
    <row r="39" customFormat="false" ht="15" hidden="false" customHeight="true" outlineLevel="0" collapsed="false">
      <c r="A39" s="13"/>
      <c r="B39" s="6"/>
      <c r="C39" s="6"/>
      <c r="D39" s="11" t="str">
        <f aca="false">IF(C39="","",IFERROR(INDEX('Cư dân'!$C$2:$C$2000,MATCH(C39,'Cư dân'!$A$2:$A$2000,0)),"Mã không tồn tại"))</f>
        <v/>
      </c>
      <c r="E39" s="6"/>
      <c r="F39" s="6"/>
      <c r="G39" s="6"/>
    </row>
    <row r="40" customFormat="false" ht="15" hidden="false" customHeight="true" outlineLevel="0" collapsed="false">
      <c r="A40" s="13"/>
      <c r="B40" s="6"/>
      <c r="C40" s="6"/>
      <c r="D40" s="11" t="str">
        <f aca="false">IF(C40="","",IFERROR(INDEX('Cư dân'!$C$2:$C$2000,MATCH(C40,'Cư dân'!$A$2:$A$2000,0)),"Mã không tồn tại"))</f>
        <v/>
      </c>
      <c r="E40" s="6"/>
      <c r="F40" s="6"/>
      <c r="G40" s="6"/>
    </row>
    <row r="41" customFormat="false" ht="15" hidden="false" customHeight="true" outlineLevel="0" collapsed="false">
      <c r="A41" s="13"/>
      <c r="B41" s="6"/>
      <c r="C41" s="6"/>
      <c r="D41" s="11" t="str">
        <f aca="false">IF(C41="","",IFERROR(INDEX('Cư dân'!$C$2:$C$2000,MATCH(C41,'Cư dân'!$A$2:$A$2000,0)),"Mã không tồn tại"))</f>
        <v/>
      </c>
      <c r="E41" s="6"/>
      <c r="F41" s="6"/>
      <c r="G41" s="6"/>
    </row>
    <row r="42" customFormat="false" ht="15" hidden="false" customHeight="true" outlineLevel="0" collapsed="false">
      <c r="A42" s="13"/>
      <c r="B42" s="6"/>
      <c r="C42" s="6"/>
      <c r="D42" s="11" t="str">
        <f aca="false">IF(C42="","",IFERROR(INDEX('Cư dân'!$C$2:$C$2000,MATCH(C42,'Cư dân'!$A$2:$A$2000,0)),"Mã không tồn tại"))</f>
        <v/>
      </c>
      <c r="E42" s="6"/>
      <c r="F42" s="6"/>
      <c r="G42" s="6"/>
    </row>
    <row r="43" customFormat="false" ht="15" hidden="false" customHeight="true" outlineLevel="0" collapsed="false">
      <c r="A43" s="13"/>
      <c r="B43" s="6"/>
      <c r="C43" s="6"/>
      <c r="D43" s="11" t="str">
        <f aca="false">IF(C43="","",IFERROR(INDEX('Cư dân'!$C$2:$C$2000,MATCH(C43,'Cư dân'!$A$2:$A$2000,0)),"Mã không tồn tại"))</f>
        <v/>
      </c>
      <c r="E43" s="6"/>
      <c r="F43" s="6"/>
      <c r="G43" s="6"/>
    </row>
    <row r="44" customFormat="false" ht="15" hidden="false" customHeight="true" outlineLevel="0" collapsed="false">
      <c r="A44" s="13"/>
      <c r="B44" s="6"/>
      <c r="C44" s="6"/>
      <c r="D44" s="11" t="str">
        <f aca="false">IF(C44="","",IFERROR(INDEX('Cư dân'!$C$2:$C$2000,MATCH(C44,'Cư dân'!$A$2:$A$2000,0)),"Mã không tồn tại"))</f>
        <v/>
      </c>
      <c r="E44" s="6"/>
      <c r="F44" s="6"/>
      <c r="G44" s="6"/>
    </row>
    <row r="45" customFormat="false" ht="15" hidden="false" customHeight="true" outlineLevel="0" collapsed="false">
      <c r="A45" s="13"/>
      <c r="B45" s="6"/>
      <c r="C45" s="6"/>
      <c r="D45" s="11" t="str">
        <f aca="false">IF(C45="","",IFERROR(INDEX('Cư dân'!$C$2:$C$2000,MATCH(C45,'Cư dân'!$A$2:$A$2000,0)),"Mã không tồn tại"))</f>
        <v/>
      </c>
      <c r="E45" s="6"/>
      <c r="F45" s="6"/>
      <c r="G45" s="6"/>
    </row>
    <row r="46" customFormat="false" ht="15" hidden="false" customHeight="true" outlineLevel="0" collapsed="false">
      <c r="A46" s="13"/>
      <c r="B46" s="6"/>
      <c r="C46" s="6"/>
      <c r="D46" s="11" t="str">
        <f aca="false">IF(C46="","",IFERROR(INDEX('Cư dân'!$C$2:$C$2000,MATCH(C46,'Cư dân'!$A$2:$A$2000,0)),"Mã không tồn tại"))</f>
        <v/>
      </c>
      <c r="E46" s="6"/>
      <c r="F46" s="6"/>
      <c r="G46" s="6"/>
    </row>
    <row r="47" customFormat="false" ht="15" hidden="false" customHeight="true" outlineLevel="0" collapsed="false">
      <c r="A47" s="13"/>
      <c r="B47" s="6"/>
      <c r="C47" s="6"/>
      <c r="D47" s="11" t="str">
        <f aca="false">IF(C47="","",IFERROR(INDEX('Cư dân'!$C$2:$C$2000,MATCH(C47,'Cư dân'!$A$2:$A$2000,0)),"Mã không tồn tại"))</f>
        <v/>
      </c>
      <c r="E47" s="6"/>
      <c r="F47" s="6"/>
      <c r="G47" s="6"/>
    </row>
    <row r="48" customFormat="false" ht="15" hidden="false" customHeight="true" outlineLevel="0" collapsed="false">
      <c r="A48" s="13"/>
      <c r="B48" s="6"/>
      <c r="C48" s="6"/>
      <c r="D48" s="11" t="str">
        <f aca="false">IF(C48="","",IFERROR(INDEX('Cư dân'!$C$2:$C$2000,MATCH(C48,'Cư dân'!$A$2:$A$2000,0)),"Mã không tồn tại"))</f>
        <v/>
      </c>
      <c r="E48" s="6"/>
      <c r="F48" s="6"/>
      <c r="G48" s="6"/>
    </row>
    <row r="49" customFormat="false" ht="15" hidden="false" customHeight="true" outlineLevel="0" collapsed="false">
      <c r="A49" s="13"/>
      <c r="B49" s="6"/>
      <c r="C49" s="6"/>
      <c r="D49" s="11" t="str">
        <f aca="false">IF(C49="","",IFERROR(INDEX('Cư dân'!$C$2:$C$2000,MATCH(C49,'Cư dân'!$A$2:$A$2000,0)),"Mã không tồn tại"))</f>
        <v/>
      </c>
      <c r="E49" s="6"/>
      <c r="F49" s="6"/>
      <c r="G49" s="6"/>
    </row>
    <row r="50" customFormat="false" ht="15" hidden="false" customHeight="true" outlineLevel="0" collapsed="false">
      <c r="A50" s="13"/>
      <c r="B50" s="6"/>
      <c r="C50" s="6"/>
      <c r="D50" s="11" t="str">
        <f aca="false">IF(C50="","",IFERROR(INDEX('Cư dân'!$C$2:$C$2000,MATCH(C50,'Cư dân'!$A$2:$A$2000,0)),"Mã không tồn tại"))</f>
        <v/>
      </c>
      <c r="E50" s="6"/>
      <c r="F50" s="6"/>
      <c r="G50" s="6"/>
    </row>
    <row r="51" customFormat="false" ht="15" hidden="false" customHeight="true" outlineLevel="0" collapsed="false">
      <c r="A51" s="13"/>
      <c r="B51" s="6"/>
      <c r="C51" s="6"/>
      <c r="D51" s="11" t="str">
        <f aca="false">IF(C51="","",IFERROR(INDEX('Cư dân'!$C$2:$C$2000,MATCH(C51,'Cư dân'!$A$2:$A$2000,0)),"Mã không tồn tại"))</f>
        <v/>
      </c>
      <c r="E51" s="6"/>
      <c r="F51" s="6"/>
      <c r="G51" s="6"/>
    </row>
    <row r="52" customFormat="false" ht="15" hidden="false" customHeight="true" outlineLevel="0" collapsed="false">
      <c r="A52" s="13"/>
      <c r="B52" s="6"/>
      <c r="C52" s="6"/>
      <c r="D52" s="11" t="str">
        <f aca="false">IF(C52="","",IFERROR(INDEX('Cư dân'!$C$2:$C$2000,MATCH(C52,'Cư dân'!$A$2:$A$2000,0)),"Mã không tồn tại"))</f>
        <v/>
      </c>
      <c r="E52" s="6"/>
      <c r="F52" s="6"/>
      <c r="G52" s="6"/>
    </row>
    <row r="53" customFormat="false" ht="15" hidden="false" customHeight="true" outlineLevel="0" collapsed="false">
      <c r="A53" s="13"/>
      <c r="B53" s="6"/>
      <c r="C53" s="6"/>
      <c r="D53" s="11" t="str">
        <f aca="false">IF(C53="","",IFERROR(INDEX('Cư dân'!$C$2:$C$2000,MATCH(C53,'Cư dân'!$A$2:$A$2000,0)),"Mã không tồn tại"))</f>
        <v/>
      </c>
      <c r="E53" s="6"/>
      <c r="F53" s="6"/>
      <c r="G53" s="6"/>
    </row>
    <row r="54" customFormat="false" ht="15" hidden="false" customHeight="true" outlineLevel="0" collapsed="false">
      <c r="A54" s="13"/>
      <c r="B54" s="6"/>
      <c r="C54" s="6"/>
      <c r="D54" s="11" t="str">
        <f aca="false">IF(C54="","",IFERROR(INDEX('Cư dân'!$C$2:$C$2000,MATCH(C54,'Cư dân'!$A$2:$A$2000,0)),"Mã không tồn tại"))</f>
        <v/>
      </c>
      <c r="E54" s="6"/>
      <c r="F54" s="6"/>
      <c r="G54" s="6"/>
    </row>
    <row r="55" customFormat="false" ht="15" hidden="false" customHeight="true" outlineLevel="0" collapsed="false">
      <c r="A55" s="13"/>
      <c r="B55" s="6"/>
      <c r="C55" s="6"/>
      <c r="D55" s="11" t="str">
        <f aca="false">IF(C55="","",IFERROR(INDEX('Cư dân'!$C$2:$C$2000,MATCH(C55,'Cư dân'!$A$2:$A$2000,0)),"Mã không tồn tại"))</f>
        <v/>
      </c>
      <c r="E55" s="6"/>
      <c r="F55" s="6"/>
      <c r="G55" s="6"/>
    </row>
    <row r="56" customFormat="false" ht="15" hidden="false" customHeight="true" outlineLevel="0" collapsed="false">
      <c r="A56" s="13"/>
      <c r="B56" s="6"/>
      <c r="C56" s="6"/>
      <c r="D56" s="11" t="str">
        <f aca="false">IF(C56="","",IFERROR(INDEX('Cư dân'!$C$2:$C$2000,MATCH(C56,'Cư dân'!$A$2:$A$2000,0)),"Mã không tồn tại"))</f>
        <v/>
      </c>
      <c r="E56" s="6"/>
      <c r="F56" s="6"/>
      <c r="G56" s="6"/>
    </row>
    <row r="57" customFormat="false" ht="15" hidden="false" customHeight="true" outlineLevel="0" collapsed="false">
      <c r="A57" s="13"/>
      <c r="B57" s="6"/>
      <c r="C57" s="6"/>
      <c r="D57" s="11" t="str">
        <f aca="false">IF(C57="","",IFERROR(INDEX('Cư dân'!$C$2:$C$2000,MATCH(C57,'Cư dân'!$A$2:$A$2000,0)),"Mã không tồn tại"))</f>
        <v/>
      </c>
      <c r="E57" s="6"/>
      <c r="F57" s="6"/>
      <c r="G57" s="6"/>
    </row>
    <row r="58" customFormat="false" ht="15" hidden="false" customHeight="true" outlineLevel="0" collapsed="false">
      <c r="A58" s="13"/>
      <c r="B58" s="6"/>
      <c r="C58" s="6"/>
      <c r="D58" s="11" t="str">
        <f aca="false">IF(C58="","",IFERROR(INDEX('Cư dân'!$C$2:$C$2000,MATCH(C58,'Cư dân'!$A$2:$A$2000,0)),"Mã không tồn tại"))</f>
        <v/>
      </c>
      <c r="E58" s="6"/>
      <c r="F58" s="6"/>
      <c r="G58" s="6"/>
    </row>
    <row r="59" customFormat="false" ht="15" hidden="false" customHeight="true" outlineLevel="0" collapsed="false">
      <c r="A59" s="13"/>
      <c r="B59" s="6"/>
      <c r="C59" s="6"/>
      <c r="D59" s="11" t="str">
        <f aca="false">IF(C59="","",IFERROR(INDEX('Cư dân'!$C$2:$C$2000,MATCH(C59,'Cư dân'!$A$2:$A$2000,0)),"Mã không tồn tại"))</f>
        <v/>
      </c>
      <c r="E59" s="6"/>
      <c r="F59" s="6"/>
      <c r="G59" s="6"/>
    </row>
    <row r="60" customFormat="false" ht="15" hidden="false" customHeight="true" outlineLevel="0" collapsed="false">
      <c r="A60" s="13"/>
      <c r="B60" s="6"/>
      <c r="C60" s="6"/>
      <c r="D60" s="11" t="str">
        <f aca="false">IF(C60="","",IFERROR(INDEX('Cư dân'!$C$2:$C$2000,MATCH(C60,'Cư dân'!$A$2:$A$2000,0)),"Mã không tồn tại"))</f>
        <v/>
      </c>
      <c r="E60" s="6"/>
      <c r="F60" s="6"/>
      <c r="G60" s="6"/>
    </row>
    <row r="61" customFormat="false" ht="15" hidden="false" customHeight="true" outlineLevel="0" collapsed="false">
      <c r="A61" s="13"/>
      <c r="B61" s="6"/>
      <c r="C61" s="6"/>
      <c r="D61" s="11" t="str">
        <f aca="false">IF(C61="","",IFERROR(INDEX('Cư dân'!$C$2:$C$2000,MATCH(C61,'Cư dân'!$A$2:$A$2000,0)),"Mã không tồn tại"))</f>
        <v/>
      </c>
      <c r="E61" s="6"/>
      <c r="F61" s="6"/>
      <c r="G61" s="6"/>
    </row>
    <row r="62" customFormat="false" ht="15" hidden="false" customHeight="true" outlineLevel="0" collapsed="false">
      <c r="A62" s="13"/>
      <c r="B62" s="6"/>
      <c r="C62" s="6"/>
      <c r="D62" s="11" t="str">
        <f aca="false">IF(C62="","",IFERROR(INDEX('Cư dân'!$C$2:$C$2000,MATCH(C62,'Cư dân'!$A$2:$A$2000,0)),"Mã không tồn tại"))</f>
        <v/>
      </c>
      <c r="E62" s="6"/>
      <c r="F62" s="6"/>
      <c r="G62" s="6"/>
    </row>
    <row r="63" customFormat="false" ht="15" hidden="false" customHeight="true" outlineLevel="0" collapsed="false">
      <c r="A63" s="13"/>
      <c r="B63" s="6"/>
      <c r="C63" s="6"/>
      <c r="D63" s="11" t="str">
        <f aca="false">IF(C63="","",IFERROR(INDEX('Cư dân'!$C$2:$C$2000,MATCH(C63,'Cư dân'!$A$2:$A$2000,0)),"Mã không tồn tại"))</f>
        <v/>
      </c>
      <c r="E63" s="6"/>
      <c r="F63" s="6"/>
      <c r="G63" s="6"/>
    </row>
    <row r="64" customFormat="false" ht="15" hidden="false" customHeight="true" outlineLevel="0" collapsed="false">
      <c r="A64" s="13"/>
      <c r="B64" s="6"/>
      <c r="C64" s="6"/>
      <c r="D64" s="11" t="str">
        <f aca="false">IF(C64="","",IFERROR(INDEX('Cư dân'!$C$2:$C$2000,MATCH(C64,'Cư dân'!$A$2:$A$2000,0)),"Mã không tồn tại"))</f>
        <v/>
      </c>
      <c r="E64" s="6"/>
      <c r="F64" s="6"/>
      <c r="G64" s="6"/>
    </row>
    <row r="65" customFormat="false" ht="15" hidden="false" customHeight="true" outlineLevel="0" collapsed="false">
      <c r="A65" s="13"/>
      <c r="B65" s="6"/>
      <c r="C65" s="6"/>
      <c r="D65" s="11" t="str">
        <f aca="false">IF(C65="","",IFERROR(INDEX('Cư dân'!$C$2:$C$2000,MATCH(C65,'Cư dân'!$A$2:$A$2000,0)),"Mã không tồn tại"))</f>
        <v/>
      </c>
      <c r="E65" s="6"/>
      <c r="F65" s="6"/>
      <c r="G65" s="6"/>
    </row>
    <row r="66" customFormat="false" ht="15" hidden="false" customHeight="true" outlineLevel="0" collapsed="false">
      <c r="A66" s="13"/>
      <c r="B66" s="6"/>
      <c r="C66" s="6"/>
      <c r="D66" s="11" t="str">
        <f aca="false">IF(C66="","",IFERROR(INDEX('Cư dân'!$C$2:$C$2000,MATCH(C66,'Cư dân'!$A$2:$A$2000,0)),"Mã không tồn tại"))</f>
        <v/>
      </c>
      <c r="E66" s="6"/>
      <c r="F66" s="6"/>
      <c r="G66" s="6"/>
    </row>
    <row r="67" customFormat="false" ht="15" hidden="false" customHeight="true" outlineLevel="0" collapsed="false">
      <c r="A67" s="13"/>
      <c r="B67" s="6"/>
      <c r="C67" s="6"/>
      <c r="D67" s="11" t="str">
        <f aca="false">IF(C67="","",IFERROR(INDEX('Cư dân'!$C$2:$C$2000,MATCH(C67,'Cư dân'!$A$2:$A$2000,0)),"Mã không tồn tại"))</f>
        <v/>
      </c>
      <c r="E67" s="6"/>
      <c r="F67" s="6"/>
      <c r="G67" s="6"/>
    </row>
    <row r="68" customFormat="false" ht="15" hidden="false" customHeight="true" outlineLevel="0" collapsed="false">
      <c r="A68" s="13"/>
      <c r="B68" s="6"/>
      <c r="C68" s="6"/>
      <c r="D68" s="11" t="str">
        <f aca="false">IF(C68="","",IFERROR(INDEX('Cư dân'!$C$2:$C$2000,MATCH(C68,'Cư dân'!$A$2:$A$2000,0)),"Mã không tồn tại"))</f>
        <v/>
      </c>
      <c r="E68" s="6"/>
      <c r="F68" s="6"/>
      <c r="G68" s="6"/>
    </row>
    <row r="69" customFormat="false" ht="15" hidden="false" customHeight="true" outlineLevel="0" collapsed="false">
      <c r="A69" s="13"/>
      <c r="B69" s="6"/>
      <c r="C69" s="6"/>
      <c r="D69" s="11" t="str">
        <f aca="false">IF(C69="","",IFERROR(INDEX('Cư dân'!$C$2:$C$2000,MATCH(C69,'Cư dân'!$A$2:$A$2000,0)),"Mã không tồn tại"))</f>
        <v/>
      </c>
      <c r="E69" s="6"/>
      <c r="F69" s="6"/>
      <c r="G69" s="6"/>
    </row>
    <row r="70" customFormat="false" ht="15" hidden="false" customHeight="true" outlineLevel="0" collapsed="false">
      <c r="A70" s="13"/>
      <c r="B70" s="6"/>
      <c r="C70" s="6"/>
      <c r="D70" s="11" t="str">
        <f aca="false">IF(C70="","",IFERROR(INDEX('Cư dân'!$C$2:$C$2000,MATCH(C70,'Cư dân'!$A$2:$A$2000,0)),"Mã không tồn tại"))</f>
        <v/>
      </c>
      <c r="E70" s="6"/>
      <c r="F70" s="6"/>
      <c r="G70" s="6"/>
    </row>
    <row r="71" customFormat="false" ht="15" hidden="false" customHeight="true" outlineLevel="0" collapsed="false">
      <c r="A71" s="13"/>
      <c r="B71" s="6"/>
      <c r="C71" s="6"/>
      <c r="D71" s="11" t="str">
        <f aca="false">IF(C71="","",IFERROR(INDEX('Cư dân'!$C$2:$C$2000,MATCH(C71,'Cư dân'!$A$2:$A$2000,0)),"Mã không tồn tại"))</f>
        <v/>
      </c>
      <c r="E71" s="6"/>
      <c r="F71" s="6"/>
      <c r="G71" s="6"/>
    </row>
    <row r="72" customFormat="false" ht="15" hidden="false" customHeight="true" outlineLevel="0" collapsed="false">
      <c r="A72" s="13"/>
      <c r="B72" s="6"/>
      <c r="C72" s="6"/>
      <c r="D72" s="11" t="str">
        <f aca="false">IF(C72="","",IFERROR(INDEX('Cư dân'!$C$2:$C$2000,MATCH(C72,'Cư dân'!$A$2:$A$2000,0)),"Mã không tồn tại"))</f>
        <v/>
      </c>
      <c r="E72" s="6"/>
      <c r="F72" s="6"/>
      <c r="G72" s="6"/>
    </row>
    <row r="73" customFormat="false" ht="15" hidden="false" customHeight="true" outlineLevel="0" collapsed="false">
      <c r="A73" s="13"/>
      <c r="B73" s="6"/>
      <c r="C73" s="6"/>
      <c r="D73" s="11" t="str">
        <f aca="false">IF(C73="","",IFERROR(INDEX('Cư dân'!$C$2:$C$2000,MATCH(C73,'Cư dân'!$A$2:$A$2000,0)),"Mã không tồn tại"))</f>
        <v/>
      </c>
      <c r="E73" s="6"/>
      <c r="F73" s="6"/>
      <c r="G73" s="6"/>
    </row>
    <row r="74" customFormat="false" ht="15" hidden="false" customHeight="true" outlineLevel="0" collapsed="false">
      <c r="A74" s="13"/>
      <c r="B74" s="6"/>
      <c r="C74" s="6"/>
      <c r="D74" s="11" t="str">
        <f aca="false">IF(C74="","",IFERROR(INDEX('Cư dân'!$C$2:$C$2000,MATCH(C74,'Cư dân'!$A$2:$A$2000,0)),"Mã không tồn tại"))</f>
        <v/>
      </c>
      <c r="E74" s="6"/>
      <c r="F74" s="6"/>
      <c r="G74" s="6"/>
    </row>
    <row r="75" customFormat="false" ht="15" hidden="false" customHeight="true" outlineLevel="0" collapsed="false">
      <c r="A75" s="13"/>
      <c r="B75" s="6"/>
      <c r="C75" s="6"/>
      <c r="D75" s="11" t="str">
        <f aca="false">IF(C75="","",IFERROR(INDEX('Cư dân'!$C$2:$C$2000,MATCH(C75,'Cư dân'!$A$2:$A$2000,0)),"Mã không tồn tại"))</f>
        <v/>
      </c>
      <c r="E75" s="6"/>
      <c r="F75" s="6"/>
      <c r="G75" s="6"/>
    </row>
    <row r="76" customFormat="false" ht="15" hidden="false" customHeight="true" outlineLevel="0" collapsed="false">
      <c r="A76" s="13"/>
      <c r="B76" s="6"/>
      <c r="C76" s="6"/>
      <c r="D76" s="11" t="str">
        <f aca="false">IF(C76="","",IFERROR(INDEX('Cư dân'!$C$2:$C$2000,MATCH(C76,'Cư dân'!$A$2:$A$2000,0)),"Mã không tồn tại"))</f>
        <v/>
      </c>
      <c r="E76" s="6"/>
      <c r="F76" s="6"/>
      <c r="G76" s="6"/>
    </row>
    <row r="77" customFormat="false" ht="15" hidden="false" customHeight="true" outlineLevel="0" collapsed="false">
      <c r="A77" s="13"/>
      <c r="B77" s="6"/>
      <c r="C77" s="6"/>
      <c r="D77" s="11" t="str">
        <f aca="false">IF(C77="","",IFERROR(INDEX('Cư dân'!$C$2:$C$2000,MATCH(C77,'Cư dân'!$A$2:$A$2000,0)),"Mã không tồn tại"))</f>
        <v/>
      </c>
      <c r="E77" s="6"/>
      <c r="F77" s="6"/>
      <c r="G77" s="6"/>
    </row>
    <row r="78" customFormat="false" ht="15" hidden="false" customHeight="true" outlineLevel="0" collapsed="false">
      <c r="A78" s="13"/>
      <c r="B78" s="6"/>
      <c r="C78" s="6"/>
      <c r="D78" s="11" t="str">
        <f aca="false">IF(C78="","",IFERROR(INDEX('Cư dân'!$C$2:$C$2000,MATCH(C78,'Cư dân'!$A$2:$A$2000,0)),"Mã không tồn tại"))</f>
        <v/>
      </c>
      <c r="E78" s="6"/>
      <c r="F78" s="6"/>
      <c r="G78" s="6"/>
    </row>
    <row r="79" customFormat="false" ht="15" hidden="false" customHeight="true" outlineLevel="0" collapsed="false">
      <c r="A79" s="13"/>
      <c r="B79" s="6"/>
      <c r="C79" s="6"/>
      <c r="D79" s="11" t="str">
        <f aca="false">IF(C79="","",IFERROR(INDEX('Cư dân'!$C$2:$C$2000,MATCH(C79,'Cư dân'!$A$2:$A$2000,0)),"Mã không tồn tại"))</f>
        <v/>
      </c>
      <c r="E79" s="6"/>
      <c r="F79" s="6"/>
      <c r="G79" s="6"/>
    </row>
    <row r="80" customFormat="false" ht="15" hidden="false" customHeight="true" outlineLevel="0" collapsed="false">
      <c r="A80" s="13"/>
      <c r="B80" s="6"/>
      <c r="C80" s="6"/>
      <c r="D80" s="11" t="str">
        <f aca="false">IF(C80="","",IFERROR(INDEX('Cư dân'!$C$2:$C$2000,MATCH(C80,'Cư dân'!$A$2:$A$2000,0)),"Mã không tồn tại"))</f>
        <v/>
      </c>
      <c r="E80" s="6"/>
      <c r="F80" s="6"/>
      <c r="G80" s="6"/>
    </row>
    <row r="81" customFormat="false" ht="15" hidden="false" customHeight="true" outlineLevel="0" collapsed="false">
      <c r="A81" s="13"/>
      <c r="B81" s="6"/>
      <c r="C81" s="6"/>
      <c r="D81" s="11" t="str">
        <f aca="false">IF(C81="","",IFERROR(INDEX('Cư dân'!$C$2:$C$2000,MATCH(C81,'Cư dân'!$A$2:$A$2000,0)),"Mã không tồn tại"))</f>
        <v/>
      </c>
      <c r="E81" s="6"/>
      <c r="F81" s="6"/>
      <c r="G81" s="6"/>
    </row>
    <row r="82" customFormat="false" ht="15" hidden="false" customHeight="true" outlineLevel="0" collapsed="false">
      <c r="A82" s="13"/>
      <c r="B82" s="6"/>
      <c r="C82" s="6"/>
      <c r="D82" s="11" t="str">
        <f aca="false">IF(C82="","",IFERROR(INDEX('Cư dân'!$C$2:$C$2000,MATCH(C82,'Cư dân'!$A$2:$A$2000,0)),"Mã không tồn tại"))</f>
        <v/>
      </c>
      <c r="E82" s="6"/>
      <c r="F82" s="6"/>
      <c r="G82" s="6"/>
    </row>
    <row r="83" customFormat="false" ht="15" hidden="false" customHeight="true" outlineLevel="0" collapsed="false">
      <c r="A83" s="13"/>
      <c r="B83" s="6"/>
      <c r="C83" s="6"/>
      <c r="D83" s="11" t="str">
        <f aca="false">IF(C83="","",IFERROR(INDEX('Cư dân'!$C$2:$C$2000,MATCH(C83,'Cư dân'!$A$2:$A$2000,0)),"Mã không tồn tại"))</f>
        <v/>
      </c>
      <c r="E83" s="6"/>
      <c r="F83" s="6"/>
      <c r="G83" s="6"/>
    </row>
    <row r="84" customFormat="false" ht="15" hidden="false" customHeight="true" outlineLevel="0" collapsed="false">
      <c r="A84" s="13"/>
      <c r="B84" s="6"/>
      <c r="C84" s="6"/>
      <c r="D84" s="11" t="str">
        <f aca="false">IF(C84="","",IFERROR(INDEX('Cư dân'!$C$2:$C$2000,MATCH(C84,'Cư dân'!$A$2:$A$2000,0)),"Mã không tồn tại"))</f>
        <v/>
      </c>
      <c r="E84" s="6"/>
      <c r="F84" s="6"/>
      <c r="G84" s="6"/>
    </row>
    <row r="85" customFormat="false" ht="15" hidden="false" customHeight="true" outlineLevel="0" collapsed="false">
      <c r="A85" s="13"/>
      <c r="B85" s="6"/>
      <c r="C85" s="6"/>
      <c r="D85" s="11" t="str">
        <f aca="false">IF(C85="","",IFERROR(INDEX('Cư dân'!$C$2:$C$2000,MATCH(C85,'Cư dân'!$A$2:$A$2000,0)),"Mã không tồn tại"))</f>
        <v/>
      </c>
      <c r="E85" s="6"/>
      <c r="F85" s="6"/>
      <c r="G85" s="6"/>
    </row>
    <row r="86" customFormat="false" ht="15" hidden="false" customHeight="true" outlineLevel="0" collapsed="false">
      <c r="A86" s="13"/>
      <c r="B86" s="6"/>
      <c r="C86" s="6"/>
      <c r="D86" s="11" t="str">
        <f aca="false">IF(C86="","",IFERROR(INDEX('Cư dân'!$C$2:$C$2000,MATCH(C86,'Cư dân'!$A$2:$A$2000,0)),"Mã không tồn tại"))</f>
        <v/>
      </c>
      <c r="E86" s="6"/>
      <c r="F86" s="6"/>
      <c r="G86" s="6"/>
    </row>
    <row r="87" customFormat="false" ht="15" hidden="false" customHeight="true" outlineLevel="0" collapsed="false">
      <c r="A87" s="13"/>
      <c r="B87" s="6"/>
      <c r="C87" s="6"/>
      <c r="D87" s="11" t="str">
        <f aca="false">IF(C87="","",IFERROR(INDEX('Cư dân'!$C$2:$C$2000,MATCH(C87,'Cư dân'!$A$2:$A$2000,0)),"Mã không tồn tại"))</f>
        <v/>
      </c>
      <c r="E87" s="6"/>
      <c r="F87" s="6"/>
      <c r="G87" s="6"/>
    </row>
    <row r="88" customFormat="false" ht="15" hidden="false" customHeight="true" outlineLevel="0" collapsed="false">
      <c r="A88" s="13"/>
      <c r="B88" s="6"/>
      <c r="C88" s="6"/>
      <c r="D88" s="11" t="str">
        <f aca="false">IF(C88="","",IFERROR(INDEX('Cư dân'!$C$2:$C$2000,MATCH(C88,'Cư dân'!$A$2:$A$2000,0)),"Mã không tồn tại"))</f>
        <v/>
      </c>
      <c r="E88" s="6"/>
      <c r="F88" s="6"/>
      <c r="G88" s="6"/>
    </row>
    <row r="89" customFormat="false" ht="15" hidden="false" customHeight="true" outlineLevel="0" collapsed="false">
      <c r="A89" s="13"/>
      <c r="B89" s="6"/>
      <c r="C89" s="6"/>
      <c r="D89" s="11" t="str">
        <f aca="false">IF(C89="","",IFERROR(INDEX('Cư dân'!$C$2:$C$2000,MATCH(C89,'Cư dân'!$A$2:$A$2000,0)),"Mã không tồn tại"))</f>
        <v/>
      </c>
      <c r="E89" s="6"/>
      <c r="F89" s="6"/>
      <c r="G89" s="6"/>
    </row>
    <row r="90" customFormat="false" ht="15" hidden="false" customHeight="true" outlineLevel="0" collapsed="false">
      <c r="A90" s="13"/>
      <c r="B90" s="6"/>
      <c r="C90" s="6"/>
      <c r="D90" s="11" t="str">
        <f aca="false">IF(C90="","",IFERROR(INDEX('Cư dân'!$C$2:$C$2000,MATCH(C90,'Cư dân'!$A$2:$A$2000,0)),"Mã không tồn tại"))</f>
        <v/>
      </c>
      <c r="E90" s="6"/>
      <c r="F90" s="6"/>
      <c r="G90" s="6"/>
    </row>
    <row r="91" customFormat="false" ht="15" hidden="false" customHeight="true" outlineLevel="0" collapsed="false">
      <c r="A91" s="13"/>
      <c r="B91" s="6"/>
      <c r="C91" s="6"/>
      <c r="D91" s="11" t="str">
        <f aca="false">IF(C91="","",IFERROR(INDEX('Cư dân'!$C$2:$C$2000,MATCH(C91,'Cư dân'!$A$2:$A$2000,0)),"Mã không tồn tại"))</f>
        <v/>
      </c>
      <c r="E91" s="6"/>
      <c r="F91" s="6"/>
      <c r="G91" s="6"/>
    </row>
    <row r="92" customFormat="false" ht="15" hidden="false" customHeight="true" outlineLevel="0" collapsed="false">
      <c r="A92" s="13"/>
      <c r="B92" s="6"/>
      <c r="C92" s="6"/>
      <c r="D92" s="11" t="str">
        <f aca="false">IF(C92="","",IFERROR(INDEX('Cư dân'!$C$2:$C$2000,MATCH(C92,'Cư dân'!$A$2:$A$2000,0)),"Mã không tồn tại"))</f>
        <v/>
      </c>
      <c r="E92" s="6"/>
      <c r="F92" s="6"/>
      <c r="G92" s="6"/>
    </row>
    <row r="93" customFormat="false" ht="15" hidden="false" customHeight="true" outlineLevel="0" collapsed="false">
      <c r="A93" s="13"/>
      <c r="B93" s="6"/>
      <c r="C93" s="6"/>
      <c r="D93" s="11" t="str">
        <f aca="false">IF(C93="","",IFERROR(INDEX('Cư dân'!$C$2:$C$2000,MATCH(C93,'Cư dân'!$A$2:$A$2000,0)),"Mã không tồn tại"))</f>
        <v/>
      </c>
      <c r="E93" s="6"/>
      <c r="F93" s="6"/>
      <c r="G93" s="6"/>
    </row>
    <row r="94" customFormat="false" ht="15" hidden="false" customHeight="true" outlineLevel="0" collapsed="false">
      <c r="A94" s="13"/>
      <c r="B94" s="6"/>
      <c r="C94" s="6"/>
      <c r="D94" s="11" t="str">
        <f aca="false">IF(C94="","",IFERROR(INDEX('Cư dân'!$C$2:$C$2000,MATCH(C94,'Cư dân'!$A$2:$A$2000,0)),"Mã không tồn tại"))</f>
        <v/>
      </c>
      <c r="E94" s="6"/>
      <c r="F94" s="6"/>
      <c r="G94" s="6"/>
    </row>
    <row r="95" customFormat="false" ht="15" hidden="false" customHeight="true" outlineLevel="0" collapsed="false">
      <c r="A95" s="13"/>
      <c r="B95" s="6"/>
      <c r="C95" s="6"/>
      <c r="D95" s="11" t="str">
        <f aca="false">IF(C95="","",IFERROR(INDEX('Cư dân'!$C$2:$C$2000,MATCH(C95,'Cư dân'!$A$2:$A$2000,0)),"Mã không tồn tại"))</f>
        <v/>
      </c>
      <c r="E95" s="6"/>
      <c r="F95" s="6"/>
      <c r="G95" s="6"/>
    </row>
    <row r="96" customFormat="false" ht="15" hidden="false" customHeight="true" outlineLevel="0" collapsed="false">
      <c r="A96" s="13"/>
      <c r="B96" s="6"/>
      <c r="C96" s="6"/>
      <c r="D96" s="11" t="str">
        <f aca="false">IF(C96="","",IFERROR(INDEX('Cư dân'!$C$2:$C$2000,MATCH(C96,'Cư dân'!$A$2:$A$2000,0)),"Mã không tồn tại"))</f>
        <v/>
      </c>
      <c r="E96" s="6"/>
      <c r="F96" s="6"/>
      <c r="G96" s="6"/>
    </row>
    <row r="97" customFormat="false" ht="15" hidden="false" customHeight="true" outlineLevel="0" collapsed="false">
      <c r="A97" s="13"/>
      <c r="B97" s="6"/>
      <c r="C97" s="6"/>
      <c r="D97" s="11" t="str">
        <f aca="false">IF(C97="","",IFERROR(INDEX('Cư dân'!$C$2:$C$2000,MATCH(C97,'Cư dân'!$A$2:$A$2000,0)),"Mã không tồn tại"))</f>
        <v/>
      </c>
      <c r="E97" s="6"/>
      <c r="F97" s="6"/>
      <c r="G97" s="6"/>
    </row>
    <row r="98" customFormat="false" ht="15" hidden="false" customHeight="true" outlineLevel="0" collapsed="false">
      <c r="A98" s="13"/>
      <c r="B98" s="6"/>
      <c r="C98" s="6"/>
      <c r="D98" s="11" t="str">
        <f aca="false">IF(C98="","",IFERROR(INDEX('Cư dân'!$C$2:$C$2000,MATCH(C98,'Cư dân'!$A$2:$A$2000,0)),"Mã không tồn tại"))</f>
        <v/>
      </c>
      <c r="E98" s="6"/>
      <c r="F98" s="6"/>
      <c r="G98" s="6"/>
    </row>
    <row r="99" customFormat="false" ht="15" hidden="false" customHeight="true" outlineLevel="0" collapsed="false">
      <c r="A99" s="13"/>
      <c r="B99" s="6"/>
      <c r="C99" s="6"/>
      <c r="D99" s="11" t="str">
        <f aca="false">IF(C99="","",IFERROR(INDEX('Cư dân'!$C$2:$C$2000,MATCH(C99,'Cư dân'!$A$2:$A$2000,0)),"Mã không tồn tại"))</f>
        <v/>
      </c>
      <c r="E99" s="6"/>
      <c r="F99" s="6"/>
      <c r="G99" s="6"/>
    </row>
    <row r="100" customFormat="false" ht="15" hidden="false" customHeight="true" outlineLevel="0" collapsed="false">
      <c r="A100" s="13"/>
      <c r="B100" s="6"/>
      <c r="C100" s="6"/>
      <c r="D100" s="11" t="str">
        <f aca="false">IF(C100="","",IFERROR(INDEX('Cư dân'!$C$2:$C$2000,MATCH(C100,'Cư dân'!$A$2:$A$2000,0)),"Mã không tồn tại"))</f>
        <v/>
      </c>
      <c r="E100" s="6"/>
      <c r="F100" s="6"/>
      <c r="G100" s="6"/>
    </row>
    <row r="101" customFormat="false" ht="15" hidden="false" customHeight="true" outlineLevel="0" collapsed="false">
      <c r="A101" s="13"/>
      <c r="B101" s="6"/>
      <c r="C101" s="6"/>
      <c r="D101" s="11" t="str">
        <f aca="false">IF(C101="","",IFERROR(INDEX('Cư dân'!$C$2:$C$2000,MATCH(C101,'Cư dân'!$A$2:$A$2000,0)),"Mã không tồn tại"))</f>
        <v/>
      </c>
      <c r="E101" s="6"/>
      <c r="F101" s="6"/>
      <c r="G101" s="6"/>
    </row>
    <row r="102" customFormat="false" ht="15" hidden="false" customHeight="true" outlineLevel="0" collapsed="false">
      <c r="A102" s="13"/>
      <c r="B102" s="6"/>
      <c r="C102" s="6"/>
      <c r="D102" s="11" t="str">
        <f aca="false">IF(C102="","",IFERROR(INDEX('Cư dân'!$C$2:$C$2000,MATCH(C102,'Cư dân'!$A$2:$A$2000,0)),"Mã không tồn tại"))</f>
        <v/>
      </c>
      <c r="E102" s="6"/>
      <c r="F102" s="6"/>
      <c r="G102" s="6"/>
    </row>
    <row r="103" customFormat="false" ht="15" hidden="false" customHeight="true" outlineLevel="0" collapsed="false">
      <c r="A103" s="13"/>
      <c r="B103" s="6"/>
      <c r="C103" s="6"/>
      <c r="D103" s="11" t="str">
        <f aca="false">IF(C103="","",IFERROR(INDEX('Cư dân'!$C$2:$C$2000,MATCH(C103,'Cư dân'!$A$2:$A$2000,0)),"Mã không tồn tại"))</f>
        <v/>
      </c>
      <c r="E103" s="6"/>
      <c r="F103" s="6"/>
      <c r="G103" s="6"/>
    </row>
    <row r="104" customFormat="false" ht="15" hidden="false" customHeight="true" outlineLevel="0" collapsed="false">
      <c r="A104" s="13"/>
      <c r="B104" s="6"/>
      <c r="C104" s="6"/>
      <c r="D104" s="11" t="str">
        <f aca="false">IF(C104="","",IFERROR(INDEX('Cư dân'!$C$2:$C$2000,MATCH(C104,'Cư dân'!$A$2:$A$2000,0)),"Mã không tồn tại"))</f>
        <v/>
      </c>
      <c r="E104" s="6"/>
      <c r="F104" s="6"/>
      <c r="G104" s="6"/>
    </row>
    <row r="105" customFormat="false" ht="15" hidden="false" customHeight="true" outlineLevel="0" collapsed="false">
      <c r="A105" s="13"/>
      <c r="B105" s="6"/>
      <c r="C105" s="6"/>
      <c r="D105" s="11" t="str">
        <f aca="false">IF(C105="","",IFERROR(INDEX('Cư dân'!$C$2:$C$2000,MATCH(C105,'Cư dân'!$A$2:$A$2000,0)),"Mã không tồn tại"))</f>
        <v/>
      </c>
      <c r="E105" s="6"/>
      <c r="F105" s="6"/>
      <c r="G105" s="6"/>
    </row>
    <row r="106" customFormat="false" ht="15" hidden="false" customHeight="true" outlineLevel="0" collapsed="false">
      <c r="A106" s="13"/>
      <c r="B106" s="6"/>
      <c r="C106" s="6"/>
      <c r="D106" s="11" t="str">
        <f aca="false">IF(C106="","",IFERROR(INDEX('Cư dân'!$C$2:$C$2000,MATCH(C106,'Cư dân'!$A$2:$A$2000,0)),"Mã không tồn tại"))</f>
        <v/>
      </c>
      <c r="E106" s="6"/>
      <c r="F106" s="6"/>
      <c r="G106" s="6"/>
    </row>
    <row r="107" customFormat="false" ht="15" hidden="false" customHeight="true" outlineLevel="0" collapsed="false">
      <c r="A107" s="13"/>
      <c r="B107" s="6"/>
      <c r="C107" s="6"/>
      <c r="D107" s="11" t="str">
        <f aca="false">IF(C107="","",IFERROR(INDEX('Cư dân'!$C$2:$C$2000,MATCH(C107,'Cư dân'!$A$2:$A$2000,0)),"Mã không tồn tại"))</f>
        <v/>
      </c>
      <c r="E107" s="6"/>
      <c r="F107" s="6"/>
      <c r="G107" s="6"/>
    </row>
    <row r="108" customFormat="false" ht="15" hidden="false" customHeight="true" outlineLevel="0" collapsed="false">
      <c r="A108" s="13"/>
      <c r="B108" s="6"/>
      <c r="C108" s="6"/>
      <c r="D108" s="11" t="str">
        <f aca="false">IF(C108="","",IFERROR(INDEX('Cư dân'!$C$2:$C$2000,MATCH(C108,'Cư dân'!$A$2:$A$2000,0)),"Mã không tồn tại"))</f>
        <v/>
      </c>
      <c r="E108" s="6"/>
      <c r="F108" s="6"/>
      <c r="G108" s="6"/>
    </row>
    <row r="109" customFormat="false" ht="15" hidden="false" customHeight="true" outlineLevel="0" collapsed="false">
      <c r="A109" s="13"/>
      <c r="B109" s="6"/>
      <c r="C109" s="6"/>
      <c r="D109" s="11" t="str">
        <f aca="false">IF(C109="","",IFERROR(INDEX('Cư dân'!$C$2:$C$2000,MATCH(C109,'Cư dân'!$A$2:$A$2000,0)),"Mã không tồn tại"))</f>
        <v/>
      </c>
      <c r="E109" s="6"/>
      <c r="F109" s="6"/>
      <c r="G109" s="6"/>
    </row>
    <row r="110" customFormat="false" ht="15" hidden="false" customHeight="true" outlineLevel="0" collapsed="false">
      <c r="A110" s="13"/>
      <c r="B110" s="6"/>
      <c r="C110" s="6"/>
      <c r="D110" s="11" t="str">
        <f aca="false">IF(C110="","",IFERROR(INDEX('Cư dân'!$C$2:$C$2000,MATCH(C110,'Cư dân'!$A$2:$A$2000,0)),"Mã không tồn tại"))</f>
        <v/>
      </c>
      <c r="E110" s="6"/>
      <c r="F110" s="6"/>
      <c r="G110" s="6"/>
    </row>
    <row r="111" customFormat="false" ht="15" hidden="false" customHeight="true" outlineLevel="0" collapsed="false">
      <c r="A111" s="13"/>
      <c r="B111" s="6"/>
      <c r="C111" s="6"/>
      <c r="D111" s="11" t="str">
        <f aca="false">IF(C111="","",IFERROR(INDEX('Cư dân'!$C$2:$C$2000,MATCH(C111,'Cư dân'!$A$2:$A$2000,0)),"Mã không tồn tại"))</f>
        <v/>
      </c>
      <c r="E111" s="6"/>
      <c r="F111" s="6"/>
      <c r="G111" s="6"/>
    </row>
    <row r="112" customFormat="false" ht="15" hidden="false" customHeight="true" outlineLevel="0" collapsed="false">
      <c r="A112" s="13"/>
      <c r="B112" s="6"/>
      <c r="C112" s="6"/>
      <c r="D112" s="11" t="str">
        <f aca="false">IF(C112="","",IFERROR(INDEX('Cư dân'!$C$2:$C$2000,MATCH(C112,'Cư dân'!$A$2:$A$2000,0)),"Mã không tồn tại"))</f>
        <v/>
      </c>
      <c r="E112" s="6"/>
      <c r="F112" s="6"/>
      <c r="G112" s="6"/>
    </row>
    <row r="113" customFormat="false" ht="15" hidden="false" customHeight="true" outlineLevel="0" collapsed="false">
      <c r="A113" s="13"/>
      <c r="B113" s="6"/>
      <c r="C113" s="6"/>
      <c r="D113" s="11" t="str">
        <f aca="false">IF(C113="","",IFERROR(INDEX('Cư dân'!$C$2:$C$2000,MATCH(C113,'Cư dân'!$A$2:$A$2000,0)),"Mã không tồn tại"))</f>
        <v/>
      </c>
      <c r="E113" s="6"/>
      <c r="F113" s="6"/>
      <c r="G113" s="6"/>
    </row>
    <row r="114" customFormat="false" ht="15" hidden="false" customHeight="true" outlineLevel="0" collapsed="false">
      <c r="A114" s="13"/>
      <c r="B114" s="6"/>
      <c r="C114" s="6"/>
      <c r="D114" s="11" t="str">
        <f aca="false">IF(C114="","",IFERROR(INDEX('Cư dân'!$C$2:$C$2000,MATCH(C114,'Cư dân'!$A$2:$A$2000,0)),"Mã không tồn tại"))</f>
        <v/>
      </c>
      <c r="E114" s="6"/>
      <c r="F114" s="6"/>
      <c r="G114" s="6"/>
    </row>
    <row r="115" customFormat="false" ht="15" hidden="false" customHeight="true" outlineLevel="0" collapsed="false">
      <c r="A115" s="13"/>
      <c r="B115" s="6"/>
      <c r="C115" s="6"/>
      <c r="D115" s="11" t="str">
        <f aca="false">IF(C115="","",IFERROR(INDEX('Cư dân'!$C$2:$C$2000,MATCH(C115,'Cư dân'!$A$2:$A$2000,0)),"Mã không tồn tại"))</f>
        <v/>
      </c>
      <c r="E115" s="6"/>
      <c r="F115" s="6"/>
      <c r="G115" s="6"/>
    </row>
    <row r="116" customFormat="false" ht="15" hidden="false" customHeight="true" outlineLevel="0" collapsed="false">
      <c r="A116" s="13"/>
      <c r="B116" s="6"/>
      <c r="C116" s="6"/>
      <c r="D116" s="11" t="str">
        <f aca="false">IF(C116="","",IFERROR(INDEX('Cư dân'!$C$2:$C$2000,MATCH(C116,'Cư dân'!$A$2:$A$2000,0)),"Mã không tồn tại"))</f>
        <v/>
      </c>
      <c r="E116" s="6"/>
      <c r="F116" s="6"/>
      <c r="G116" s="6"/>
    </row>
    <row r="117" customFormat="false" ht="15" hidden="false" customHeight="true" outlineLevel="0" collapsed="false">
      <c r="A117" s="13"/>
      <c r="B117" s="6"/>
      <c r="C117" s="6"/>
      <c r="D117" s="11" t="str">
        <f aca="false">IF(C117="","",IFERROR(INDEX('Cư dân'!$C$2:$C$2000,MATCH(C117,'Cư dân'!$A$2:$A$2000,0)),"Mã không tồn tại"))</f>
        <v/>
      </c>
      <c r="E117" s="6"/>
      <c r="F117" s="6"/>
      <c r="G117" s="6"/>
    </row>
    <row r="118" customFormat="false" ht="15" hidden="false" customHeight="true" outlineLevel="0" collapsed="false">
      <c r="A118" s="13"/>
      <c r="B118" s="6"/>
      <c r="C118" s="6"/>
      <c r="D118" s="11" t="str">
        <f aca="false">IF(C118="","",IFERROR(INDEX('Cư dân'!$C$2:$C$2000,MATCH(C118,'Cư dân'!$A$2:$A$2000,0)),"Mã không tồn tại"))</f>
        <v/>
      </c>
      <c r="E118" s="6"/>
      <c r="F118" s="6"/>
      <c r="G118" s="6"/>
    </row>
    <row r="119" customFormat="false" ht="15" hidden="false" customHeight="true" outlineLevel="0" collapsed="false">
      <c r="A119" s="13"/>
      <c r="B119" s="6"/>
      <c r="C119" s="6"/>
      <c r="D119" s="11" t="str">
        <f aca="false">IF(C119="","",IFERROR(INDEX('Cư dân'!$C$2:$C$2000,MATCH(C119,'Cư dân'!$A$2:$A$2000,0)),"Mã không tồn tại"))</f>
        <v/>
      </c>
      <c r="E119" s="6"/>
      <c r="F119" s="6"/>
      <c r="G119" s="6"/>
    </row>
    <row r="120" customFormat="false" ht="15" hidden="false" customHeight="true" outlineLevel="0" collapsed="false">
      <c r="A120" s="13"/>
      <c r="B120" s="6"/>
      <c r="C120" s="6"/>
      <c r="D120" s="11" t="str">
        <f aca="false">IF(C120="","",IFERROR(INDEX('Cư dân'!$C$2:$C$2000,MATCH(C120,'Cư dân'!$A$2:$A$2000,0)),"Mã không tồn tại"))</f>
        <v/>
      </c>
      <c r="E120" s="6"/>
      <c r="F120" s="6"/>
      <c r="G120" s="6"/>
    </row>
    <row r="121" customFormat="false" ht="15" hidden="false" customHeight="true" outlineLevel="0" collapsed="false">
      <c r="A121" s="13"/>
      <c r="B121" s="6"/>
      <c r="C121" s="6"/>
      <c r="D121" s="11" t="str">
        <f aca="false">IF(C121="","",IFERROR(INDEX('Cư dân'!$C$2:$C$2000,MATCH(C121,'Cư dân'!$A$2:$A$2000,0)),"Mã không tồn tại"))</f>
        <v/>
      </c>
      <c r="E121" s="6"/>
      <c r="F121" s="6"/>
      <c r="G121" s="6"/>
    </row>
    <row r="122" customFormat="false" ht="15" hidden="false" customHeight="true" outlineLevel="0" collapsed="false">
      <c r="A122" s="13"/>
      <c r="B122" s="6"/>
      <c r="C122" s="6"/>
      <c r="D122" s="11" t="str">
        <f aca="false">IF(C122="","",IFERROR(INDEX('Cư dân'!$C$2:$C$2000,MATCH(C122,'Cư dân'!$A$2:$A$2000,0)),"Mã không tồn tại"))</f>
        <v/>
      </c>
      <c r="E122" s="6"/>
      <c r="F122" s="6"/>
      <c r="G122" s="6"/>
    </row>
    <row r="123" customFormat="false" ht="15" hidden="false" customHeight="true" outlineLevel="0" collapsed="false">
      <c r="A123" s="13"/>
      <c r="B123" s="6"/>
      <c r="C123" s="6"/>
      <c r="D123" s="11" t="str">
        <f aca="false">IF(C123="","",IFERROR(INDEX('Cư dân'!$C$2:$C$2000,MATCH(C123,'Cư dân'!$A$2:$A$2000,0)),"Mã không tồn tại"))</f>
        <v/>
      </c>
      <c r="E123" s="6"/>
      <c r="F123" s="6"/>
      <c r="G123" s="6"/>
    </row>
    <row r="124" customFormat="false" ht="15" hidden="false" customHeight="true" outlineLevel="0" collapsed="false">
      <c r="A124" s="13"/>
      <c r="B124" s="6"/>
      <c r="C124" s="6"/>
      <c r="D124" s="11" t="str">
        <f aca="false">IF(C124="","",IFERROR(INDEX('Cư dân'!$C$2:$C$2000,MATCH(C124,'Cư dân'!$A$2:$A$2000,0)),"Mã không tồn tại"))</f>
        <v/>
      </c>
      <c r="E124" s="6"/>
      <c r="F124" s="6"/>
      <c r="G124" s="6"/>
    </row>
    <row r="125" customFormat="false" ht="15" hidden="false" customHeight="true" outlineLevel="0" collapsed="false">
      <c r="A125" s="13"/>
      <c r="B125" s="6"/>
      <c r="C125" s="6"/>
      <c r="D125" s="11" t="str">
        <f aca="false">IF(C125="","",IFERROR(INDEX('Cư dân'!$C$2:$C$2000,MATCH(C125,'Cư dân'!$A$2:$A$2000,0)),"Mã không tồn tại"))</f>
        <v/>
      </c>
      <c r="E125" s="6"/>
      <c r="F125" s="6"/>
      <c r="G125" s="6"/>
    </row>
    <row r="126" customFormat="false" ht="15" hidden="false" customHeight="true" outlineLevel="0" collapsed="false">
      <c r="A126" s="13"/>
      <c r="B126" s="6"/>
      <c r="C126" s="6"/>
      <c r="D126" s="11" t="str">
        <f aca="false">IF(C126="","",IFERROR(INDEX('Cư dân'!$C$2:$C$2000,MATCH(C126,'Cư dân'!$A$2:$A$2000,0)),"Mã không tồn tại"))</f>
        <v/>
      </c>
      <c r="E126" s="6"/>
      <c r="F126" s="6"/>
      <c r="G126" s="6"/>
    </row>
    <row r="127" customFormat="false" ht="15" hidden="false" customHeight="true" outlineLevel="0" collapsed="false">
      <c r="A127" s="13"/>
      <c r="B127" s="6"/>
      <c r="C127" s="6"/>
      <c r="D127" s="11" t="str">
        <f aca="false">IF(C127="","",IFERROR(INDEX('Cư dân'!$C$2:$C$2000,MATCH(C127,'Cư dân'!$A$2:$A$2000,0)),"Mã không tồn tại"))</f>
        <v/>
      </c>
      <c r="E127" s="6"/>
      <c r="F127" s="6"/>
      <c r="G127" s="6"/>
    </row>
    <row r="128" customFormat="false" ht="15" hidden="false" customHeight="true" outlineLevel="0" collapsed="false">
      <c r="A128" s="13"/>
      <c r="B128" s="6"/>
      <c r="C128" s="6"/>
      <c r="D128" s="11" t="str">
        <f aca="false">IF(C128="","",IFERROR(INDEX('Cư dân'!$C$2:$C$2000,MATCH(C128,'Cư dân'!$A$2:$A$2000,0)),"Mã không tồn tại"))</f>
        <v/>
      </c>
      <c r="E128" s="6"/>
      <c r="F128" s="6"/>
      <c r="G128" s="6"/>
    </row>
    <row r="129" customFormat="false" ht="15" hidden="false" customHeight="true" outlineLevel="0" collapsed="false">
      <c r="A129" s="13"/>
      <c r="B129" s="6"/>
      <c r="C129" s="6"/>
      <c r="D129" s="11" t="str">
        <f aca="false">IF(C129="","",IFERROR(INDEX('Cư dân'!$C$2:$C$2000,MATCH(C129,'Cư dân'!$A$2:$A$2000,0)),"Mã không tồn tại"))</f>
        <v/>
      </c>
      <c r="E129" s="6"/>
      <c r="F129" s="6"/>
      <c r="G129" s="6"/>
    </row>
    <row r="130" customFormat="false" ht="15" hidden="false" customHeight="true" outlineLevel="0" collapsed="false">
      <c r="A130" s="13"/>
      <c r="B130" s="6"/>
      <c r="C130" s="6"/>
      <c r="D130" s="11" t="str">
        <f aca="false">IF(C130="","",IFERROR(INDEX('Cư dân'!$C$2:$C$2000,MATCH(C130,'Cư dân'!$A$2:$A$2000,0)),"Mã không tồn tại"))</f>
        <v/>
      </c>
      <c r="E130" s="6"/>
      <c r="F130" s="6"/>
      <c r="G130" s="6"/>
    </row>
    <row r="131" customFormat="false" ht="15" hidden="false" customHeight="true" outlineLevel="0" collapsed="false">
      <c r="A131" s="13"/>
      <c r="B131" s="6"/>
      <c r="C131" s="6"/>
      <c r="D131" s="11" t="str">
        <f aca="false">IF(C131="","",IFERROR(INDEX('Cư dân'!$C$2:$C$2000,MATCH(C131,'Cư dân'!$A$2:$A$2000,0)),"Mã không tồn tại"))</f>
        <v/>
      </c>
      <c r="E131" s="6"/>
      <c r="F131" s="6"/>
      <c r="G131" s="6"/>
    </row>
    <row r="132" customFormat="false" ht="15" hidden="false" customHeight="true" outlineLevel="0" collapsed="false">
      <c r="A132" s="13"/>
      <c r="B132" s="6"/>
      <c r="C132" s="6"/>
      <c r="D132" s="11" t="str">
        <f aca="false">IF(C132="","",IFERROR(INDEX('Cư dân'!$C$2:$C$2000,MATCH(C132,'Cư dân'!$A$2:$A$2000,0)),"Mã không tồn tại"))</f>
        <v/>
      </c>
      <c r="E132" s="6"/>
      <c r="F132" s="6"/>
      <c r="G132" s="6"/>
    </row>
    <row r="133" customFormat="false" ht="15" hidden="false" customHeight="true" outlineLevel="0" collapsed="false">
      <c r="A133" s="13"/>
      <c r="B133" s="6"/>
      <c r="C133" s="6"/>
      <c r="D133" s="11" t="str">
        <f aca="false">IF(C133="","",IFERROR(INDEX('Cư dân'!$C$2:$C$2000,MATCH(C133,'Cư dân'!$A$2:$A$2000,0)),"Mã không tồn tại"))</f>
        <v/>
      </c>
      <c r="E133" s="6"/>
      <c r="F133" s="6"/>
      <c r="G133" s="6"/>
    </row>
    <row r="134" customFormat="false" ht="15" hidden="false" customHeight="true" outlineLevel="0" collapsed="false">
      <c r="A134" s="13"/>
      <c r="B134" s="6"/>
      <c r="C134" s="6"/>
      <c r="D134" s="11" t="str">
        <f aca="false">IF(C134="","",IFERROR(INDEX('Cư dân'!$C$2:$C$2000,MATCH(C134,'Cư dân'!$A$2:$A$2000,0)),"Mã không tồn tại"))</f>
        <v/>
      </c>
      <c r="E134" s="6"/>
      <c r="F134" s="6"/>
      <c r="G134" s="6"/>
    </row>
    <row r="135" customFormat="false" ht="15" hidden="false" customHeight="true" outlineLevel="0" collapsed="false">
      <c r="A135" s="13"/>
      <c r="B135" s="6"/>
      <c r="C135" s="6"/>
      <c r="D135" s="11" t="str">
        <f aca="false">IF(C135="","",IFERROR(INDEX('Cư dân'!$C$2:$C$2000,MATCH(C135,'Cư dân'!$A$2:$A$2000,0)),"Mã không tồn tại"))</f>
        <v/>
      </c>
      <c r="E135" s="6"/>
      <c r="F135" s="6"/>
      <c r="G135" s="6"/>
    </row>
    <row r="136" customFormat="false" ht="15" hidden="false" customHeight="true" outlineLevel="0" collapsed="false">
      <c r="A136" s="13"/>
      <c r="B136" s="6"/>
      <c r="C136" s="6"/>
      <c r="D136" s="11" t="str">
        <f aca="false">IF(C136="","",IFERROR(INDEX('Cư dân'!$C$2:$C$2000,MATCH(C136,'Cư dân'!$A$2:$A$2000,0)),"Mã không tồn tại"))</f>
        <v/>
      </c>
      <c r="E136" s="6"/>
      <c r="F136" s="6"/>
      <c r="G136" s="6"/>
    </row>
    <row r="137" customFormat="false" ht="15" hidden="false" customHeight="true" outlineLevel="0" collapsed="false">
      <c r="A137" s="13"/>
      <c r="B137" s="6"/>
      <c r="C137" s="6"/>
      <c r="D137" s="11" t="str">
        <f aca="false">IF(C137="","",IFERROR(INDEX('Cư dân'!$C$2:$C$2000,MATCH(C137,'Cư dân'!$A$2:$A$2000,0)),"Mã không tồn tại"))</f>
        <v/>
      </c>
      <c r="E137" s="6"/>
      <c r="F137" s="6"/>
      <c r="G137" s="6"/>
    </row>
    <row r="138" customFormat="false" ht="15" hidden="false" customHeight="true" outlineLevel="0" collapsed="false">
      <c r="A138" s="13"/>
      <c r="B138" s="6"/>
      <c r="C138" s="6"/>
      <c r="D138" s="11" t="str">
        <f aca="false">IF(C138="","",IFERROR(INDEX('Cư dân'!$C$2:$C$2000,MATCH(C138,'Cư dân'!$A$2:$A$2000,0)),"Mã không tồn tại"))</f>
        <v/>
      </c>
      <c r="E138" s="6"/>
      <c r="F138" s="6"/>
      <c r="G138" s="6"/>
    </row>
    <row r="139" customFormat="false" ht="15" hidden="false" customHeight="true" outlineLevel="0" collapsed="false">
      <c r="A139" s="13"/>
      <c r="B139" s="6"/>
      <c r="C139" s="6"/>
      <c r="D139" s="11" t="str">
        <f aca="false">IF(C139="","",IFERROR(INDEX('Cư dân'!$C$2:$C$2000,MATCH(C139,'Cư dân'!$A$2:$A$2000,0)),"Mã không tồn tại"))</f>
        <v/>
      </c>
      <c r="E139" s="6"/>
      <c r="F139" s="6"/>
      <c r="G139" s="6"/>
    </row>
    <row r="140" customFormat="false" ht="15" hidden="false" customHeight="true" outlineLevel="0" collapsed="false">
      <c r="A140" s="13"/>
      <c r="B140" s="6"/>
      <c r="C140" s="6"/>
      <c r="D140" s="11" t="str">
        <f aca="false">IF(C140="","",IFERROR(INDEX('Cư dân'!$C$2:$C$2000,MATCH(C140,'Cư dân'!$A$2:$A$2000,0)),"Mã không tồn tại"))</f>
        <v/>
      </c>
      <c r="E140" s="6"/>
      <c r="F140" s="6"/>
      <c r="G140" s="6"/>
    </row>
    <row r="141" customFormat="false" ht="15" hidden="false" customHeight="true" outlineLevel="0" collapsed="false">
      <c r="A141" s="13"/>
      <c r="B141" s="6"/>
      <c r="C141" s="6"/>
      <c r="D141" s="11" t="str">
        <f aca="false">IF(C141="","",IFERROR(INDEX('Cư dân'!$C$2:$C$2000,MATCH(C141,'Cư dân'!$A$2:$A$2000,0)),"Mã không tồn tại"))</f>
        <v/>
      </c>
      <c r="E141" s="6"/>
      <c r="F141" s="6"/>
      <c r="G141" s="6"/>
    </row>
    <row r="142" customFormat="false" ht="15" hidden="false" customHeight="true" outlineLevel="0" collapsed="false">
      <c r="A142" s="13"/>
      <c r="B142" s="6"/>
      <c r="C142" s="6"/>
      <c r="D142" s="11" t="str">
        <f aca="false">IF(C142="","",IFERROR(INDEX('Cư dân'!$C$2:$C$2000,MATCH(C142,'Cư dân'!$A$2:$A$2000,0)),"Mã không tồn tại"))</f>
        <v/>
      </c>
      <c r="E142" s="6"/>
      <c r="F142" s="6"/>
      <c r="G142" s="6"/>
    </row>
    <row r="143" customFormat="false" ht="15" hidden="false" customHeight="true" outlineLevel="0" collapsed="false">
      <c r="A143" s="13"/>
      <c r="B143" s="6"/>
      <c r="C143" s="6"/>
      <c r="D143" s="11" t="str">
        <f aca="false">IF(C143="","",IFERROR(INDEX('Cư dân'!$C$2:$C$2000,MATCH(C143,'Cư dân'!$A$2:$A$2000,0)),"Mã không tồn tại"))</f>
        <v/>
      </c>
      <c r="E143" s="6"/>
      <c r="F143" s="6"/>
      <c r="G143" s="6"/>
    </row>
    <row r="144" customFormat="false" ht="15" hidden="false" customHeight="true" outlineLevel="0" collapsed="false">
      <c r="A144" s="13"/>
      <c r="B144" s="6"/>
      <c r="C144" s="6"/>
      <c r="D144" s="11" t="str">
        <f aca="false">IF(C144="","",IFERROR(INDEX('Cư dân'!$C$2:$C$2000,MATCH(C144,'Cư dân'!$A$2:$A$2000,0)),"Mã không tồn tại"))</f>
        <v/>
      </c>
      <c r="E144" s="6"/>
      <c r="F144" s="6"/>
      <c r="G144" s="6"/>
    </row>
    <row r="145" customFormat="false" ht="15" hidden="false" customHeight="true" outlineLevel="0" collapsed="false">
      <c r="A145" s="13"/>
      <c r="B145" s="6"/>
      <c r="C145" s="6"/>
      <c r="D145" s="11" t="str">
        <f aca="false">IF(C145="","",IFERROR(INDEX('Cư dân'!$C$2:$C$2000,MATCH(C145,'Cư dân'!$A$2:$A$2000,0)),"Mã không tồn tại"))</f>
        <v/>
      </c>
      <c r="E145" s="6"/>
      <c r="F145" s="6"/>
      <c r="G145" s="6"/>
    </row>
    <row r="146" customFormat="false" ht="15" hidden="false" customHeight="true" outlineLevel="0" collapsed="false">
      <c r="A146" s="13"/>
      <c r="B146" s="6"/>
      <c r="C146" s="6"/>
      <c r="D146" s="11" t="str">
        <f aca="false">IF(C146="","",IFERROR(INDEX('Cư dân'!$C$2:$C$2000,MATCH(C146,'Cư dân'!$A$2:$A$2000,0)),"Mã không tồn tại"))</f>
        <v/>
      </c>
      <c r="E146" s="6"/>
      <c r="F146" s="6"/>
      <c r="G146" s="6"/>
    </row>
    <row r="147" customFormat="false" ht="15" hidden="false" customHeight="true" outlineLevel="0" collapsed="false">
      <c r="A147" s="13"/>
      <c r="B147" s="6"/>
      <c r="C147" s="6"/>
      <c r="D147" s="11" t="str">
        <f aca="false">IF(C147="","",IFERROR(INDEX('Cư dân'!$C$2:$C$2000,MATCH(C147,'Cư dân'!$A$2:$A$2000,0)),"Mã không tồn tại"))</f>
        <v/>
      </c>
      <c r="E147" s="6"/>
      <c r="F147" s="6"/>
      <c r="G147" s="6"/>
    </row>
    <row r="148" customFormat="false" ht="15" hidden="false" customHeight="true" outlineLevel="0" collapsed="false">
      <c r="A148" s="13"/>
      <c r="B148" s="6"/>
      <c r="C148" s="6"/>
      <c r="D148" s="11" t="str">
        <f aca="false">IF(C148="","",IFERROR(INDEX('Cư dân'!$C$2:$C$2000,MATCH(C148,'Cư dân'!$A$2:$A$2000,0)),"Mã không tồn tại"))</f>
        <v/>
      </c>
      <c r="E148" s="6"/>
      <c r="F148" s="6"/>
      <c r="G148" s="6"/>
    </row>
    <row r="149" customFormat="false" ht="15" hidden="false" customHeight="true" outlineLevel="0" collapsed="false">
      <c r="A149" s="13"/>
      <c r="B149" s="6"/>
      <c r="C149" s="6"/>
      <c r="D149" s="11" t="str">
        <f aca="false">IF(C149="","",IFERROR(INDEX('Cư dân'!$C$2:$C$2000,MATCH(C149,'Cư dân'!$A$2:$A$2000,0)),"Mã không tồn tại"))</f>
        <v/>
      </c>
      <c r="E149" s="6"/>
      <c r="F149" s="6"/>
      <c r="G149" s="6"/>
    </row>
    <row r="150" customFormat="false" ht="15" hidden="false" customHeight="true" outlineLevel="0" collapsed="false">
      <c r="A150" s="13"/>
      <c r="B150" s="6"/>
      <c r="C150" s="6"/>
      <c r="D150" s="11" t="str">
        <f aca="false">IF(C150="","",IFERROR(INDEX('Cư dân'!$C$2:$C$2000,MATCH(C150,'Cư dân'!$A$2:$A$2000,0)),"Mã không tồn tại"))</f>
        <v/>
      </c>
      <c r="E150" s="6"/>
      <c r="F150" s="6"/>
      <c r="G150" s="6"/>
    </row>
    <row r="151" customFormat="false" ht="15" hidden="false" customHeight="true" outlineLevel="0" collapsed="false">
      <c r="A151" s="13"/>
      <c r="B151" s="6"/>
      <c r="C151" s="6"/>
      <c r="D151" s="11" t="str">
        <f aca="false">IF(C151="","",IFERROR(INDEX('Cư dân'!$C$2:$C$2000,MATCH(C151,'Cư dân'!$A$2:$A$2000,0)),"Mã không tồn tại"))</f>
        <v/>
      </c>
      <c r="E151" s="6"/>
      <c r="F151" s="6"/>
      <c r="G151" s="6"/>
    </row>
    <row r="152" customFormat="false" ht="15" hidden="false" customHeight="true" outlineLevel="0" collapsed="false">
      <c r="A152" s="13"/>
      <c r="B152" s="6"/>
      <c r="C152" s="6"/>
      <c r="D152" s="11" t="str">
        <f aca="false">IF(C152="","",IFERROR(INDEX('Cư dân'!$C$2:$C$2000,MATCH(C152,'Cư dân'!$A$2:$A$2000,0)),"Mã không tồn tại"))</f>
        <v/>
      </c>
      <c r="E152" s="6"/>
      <c r="F152" s="6"/>
      <c r="G152" s="6"/>
    </row>
    <row r="153" customFormat="false" ht="15" hidden="false" customHeight="true" outlineLevel="0" collapsed="false">
      <c r="A153" s="13"/>
      <c r="B153" s="6"/>
      <c r="C153" s="6"/>
      <c r="D153" s="11" t="str">
        <f aca="false">IF(C153="","",IFERROR(INDEX('Cư dân'!$C$2:$C$2000,MATCH(C153,'Cư dân'!$A$2:$A$2000,0)),"Mã không tồn tại"))</f>
        <v/>
      </c>
      <c r="E153" s="6"/>
      <c r="F153" s="6"/>
      <c r="G153" s="6"/>
    </row>
    <row r="154" customFormat="false" ht="15" hidden="false" customHeight="true" outlineLevel="0" collapsed="false">
      <c r="A154" s="13"/>
      <c r="B154" s="6"/>
      <c r="C154" s="6"/>
      <c r="D154" s="11" t="str">
        <f aca="false">IF(C154="","",IFERROR(INDEX('Cư dân'!$C$2:$C$2000,MATCH(C154,'Cư dân'!$A$2:$A$2000,0)),"Mã không tồn tại"))</f>
        <v/>
      </c>
      <c r="E154" s="6"/>
      <c r="F154" s="6"/>
      <c r="G154" s="6"/>
    </row>
    <row r="155" customFormat="false" ht="15" hidden="false" customHeight="true" outlineLevel="0" collapsed="false">
      <c r="A155" s="13"/>
      <c r="B155" s="6"/>
      <c r="C155" s="6"/>
      <c r="D155" s="11" t="str">
        <f aca="false">IF(C155="","",IFERROR(INDEX('Cư dân'!$C$2:$C$2000,MATCH(C155,'Cư dân'!$A$2:$A$2000,0)),"Mã không tồn tại"))</f>
        <v/>
      </c>
      <c r="E155" s="6"/>
      <c r="F155" s="6"/>
      <c r="G155" s="6"/>
    </row>
    <row r="156" customFormat="false" ht="15" hidden="false" customHeight="true" outlineLevel="0" collapsed="false">
      <c r="A156" s="13"/>
      <c r="B156" s="6"/>
      <c r="C156" s="6"/>
      <c r="D156" s="11" t="str">
        <f aca="false">IF(C156="","",IFERROR(INDEX('Cư dân'!$C$2:$C$2000,MATCH(C156,'Cư dân'!$A$2:$A$2000,0)),"Mã không tồn tại"))</f>
        <v/>
      </c>
      <c r="E156" s="6"/>
      <c r="F156" s="6"/>
      <c r="G156" s="6"/>
    </row>
    <row r="157" customFormat="false" ht="15" hidden="false" customHeight="true" outlineLevel="0" collapsed="false">
      <c r="A157" s="13"/>
      <c r="B157" s="6"/>
      <c r="C157" s="6"/>
      <c r="D157" s="11" t="str">
        <f aca="false">IF(C157="","",IFERROR(INDEX('Cư dân'!$C$2:$C$2000,MATCH(C157,'Cư dân'!$A$2:$A$2000,0)),"Mã không tồn tại"))</f>
        <v/>
      </c>
      <c r="E157" s="6"/>
      <c r="F157" s="6"/>
      <c r="G157" s="6"/>
    </row>
    <row r="158" customFormat="false" ht="15" hidden="false" customHeight="true" outlineLevel="0" collapsed="false">
      <c r="A158" s="13"/>
      <c r="B158" s="6"/>
      <c r="C158" s="6"/>
      <c r="D158" s="11" t="str">
        <f aca="false">IF(C158="","",IFERROR(INDEX('Cư dân'!$C$2:$C$2000,MATCH(C158,'Cư dân'!$A$2:$A$2000,0)),"Mã không tồn tại"))</f>
        <v/>
      </c>
      <c r="E158" s="6"/>
      <c r="F158" s="6"/>
      <c r="G158" s="6"/>
    </row>
    <row r="159" customFormat="false" ht="15" hidden="false" customHeight="true" outlineLevel="0" collapsed="false">
      <c r="A159" s="13"/>
      <c r="B159" s="6"/>
      <c r="C159" s="6"/>
      <c r="D159" s="11" t="str">
        <f aca="false">IF(C159="","",IFERROR(INDEX('Cư dân'!$C$2:$C$2000,MATCH(C159,'Cư dân'!$A$2:$A$2000,0)),"Mã không tồn tại"))</f>
        <v/>
      </c>
      <c r="E159" s="6"/>
      <c r="F159" s="6"/>
      <c r="G159" s="6"/>
    </row>
    <row r="160" customFormat="false" ht="15" hidden="false" customHeight="true" outlineLevel="0" collapsed="false">
      <c r="A160" s="13"/>
      <c r="B160" s="6"/>
      <c r="C160" s="6"/>
      <c r="D160" s="11" t="str">
        <f aca="false">IF(C160="","",IFERROR(INDEX('Cư dân'!$C$2:$C$2000,MATCH(C160,'Cư dân'!$A$2:$A$2000,0)),"Mã không tồn tại"))</f>
        <v/>
      </c>
      <c r="E160" s="6"/>
      <c r="F160" s="6"/>
      <c r="G160" s="6"/>
    </row>
    <row r="161" customFormat="false" ht="15" hidden="false" customHeight="true" outlineLevel="0" collapsed="false">
      <c r="A161" s="13"/>
      <c r="B161" s="6"/>
      <c r="C161" s="6"/>
      <c r="D161" s="11" t="str">
        <f aca="false">IF(C161="","",IFERROR(INDEX('Cư dân'!$C$2:$C$2000,MATCH(C161,'Cư dân'!$A$2:$A$2000,0)),"Mã không tồn tại"))</f>
        <v/>
      </c>
      <c r="E161" s="6"/>
      <c r="F161" s="6"/>
      <c r="G161" s="6"/>
    </row>
    <row r="162" customFormat="false" ht="15" hidden="false" customHeight="true" outlineLevel="0" collapsed="false">
      <c r="A162" s="13"/>
      <c r="B162" s="6"/>
      <c r="C162" s="6"/>
      <c r="D162" s="11" t="str">
        <f aca="false">IF(C162="","",IFERROR(INDEX('Cư dân'!$C$2:$C$2000,MATCH(C162,'Cư dân'!$A$2:$A$2000,0)),"Mã không tồn tại"))</f>
        <v/>
      </c>
      <c r="E162" s="6"/>
      <c r="F162" s="6"/>
      <c r="G162" s="6"/>
    </row>
    <row r="163" customFormat="false" ht="15" hidden="false" customHeight="true" outlineLevel="0" collapsed="false">
      <c r="A163" s="13"/>
      <c r="B163" s="6"/>
      <c r="C163" s="6"/>
      <c r="D163" s="11" t="str">
        <f aca="false">IF(C163="","",IFERROR(INDEX('Cư dân'!$C$2:$C$2000,MATCH(C163,'Cư dân'!$A$2:$A$2000,0)),"Mã không tồn tại"))</f>
        <v/>
      </c>
      <c r="E163" s="6"/>
      <c r="F163" s="6"/>
      <c r="G163" s="6"/>
    </row>
    <row r="164" customFormat="false" ht="15" hidden="false" customHeight="true" outlineLevel="0" collapsed="false">
      <c r="A164" s="13"/>
      <c r="B164" s="6"/>
      <c r="C164" s="6"/>
      <c r="D164" s="11" t="str">
        <f aca="false">IF(C164="","",IFERROR(INDEX('Cư dân'!$C$2:$C$2000,MATCH(C164,'Cư dân'!$A$2:$A$2000,0)),"Mã không tồn tại"))</f>
        <v/>
      </c>
      <c r="E164" s="6"/>
      <c r="F164" s="6"/>
      <c r="G164" s="6"/>
    </row>
    <row r="165" customFormat="false" ht="15" hidden="false" customHeight="true" outlineLevel="0" collapsed="false">
      <c r="A165" s="13"/>
      <c r="B165" s="6"/>
      <c r="C165" s="6"/>
      <c r="D165" s="11" t="str">
        <f aca="false">IF(C165="","",IFERROR(INDEX('Cư dân'!$C$2:$C$2000,MATCH(C165,'Cư dân'!$A$2:$A$2000,0)),"Mã không tồn tại"))</f>
        <v/>
      </c>
      <c r="E165" s="6"/>
      <c r="F165" s="6"/>
      <c r="G165" s="6"/>
    </row>
    <row r="166" customFormat="false" ht="15" hidden="false" customHeight="true" outlineLevel="0" collapsed="false">
      <c r="A166" s="13"/>
      <c r="B166" s="6"/>
      <c r="C166" s="6"/>
      <c r="D166" s="11" t="str">
        <f aca="false">IF(C166="","",IFERROR(INDEX('Cư dân'!$C$2:$C$2000,MATCH(C166,'Cư dân'!$A$2:$A$2000,0)),"Mã không tồn tại"))</f>
        <v/>
      </c>
      <c r="E166" s="6"/>
      <c r="F166" s="6"/>
      <c r="G166" s="6"/>
    </row>
    <row r="167" customFormat="false" ht="15" hidden="false" customHeight="true" outlineLevel="0" collapsed="false">
      <c r="A167" s="13"/>
      <c r="B167" s="6"/>
      <c r="C167" s="6"/>
      <c r="D167" s="11" t="str">
        <f aca="false">IF(C167="","",IFERROR(INDEX('Cư dân'!$C$2:$C$2000,MATCH(C167,'Cư dân'!$A$2:$A$2000,0)),"Mã không tồn tại"))</f>
        <v/>
      </c>
      <c r="E167" s="6"/>
      <c r="F167" s="6"/>
      <c r="G167" s="6"/>
    </row>
    <row r="168" customFormat="false" ht="15" hidden="false" customHeight="true" outlineLevel="0" collapsed="false">
      <c r="A168" s="13"/>
      <c r="B168" s="6"/>
      <c r="C168" s="6"/>
      <c r="D168" s="11" t="str">
        <f aca="false">IF(C168="","",IFERROR(INDEX('Cư dân'!$C$2:$C$2000,MATCH(C168,'Cư dân'!$A$2:$A$2000,0)),"Mã không tồn tại"))</f>
        <v/>
      </c>
      <c r="E168" s="6"/>
      <c r="F168" s="6"/>
      <c r="G168" s="6"/>
    </row>
    <row r="169" customFormat="false" ht="15" hidden="false" customHeight="true" outlineLevel="0" collapsed="false">
      <c r="A169" s="13"/>
      <c r="B169" s="6"/>
      <c r="C169" s="6"/>
      <c r="D169" s="11" t="str">
        <f aca="false">IF(C169="","",IFERROR(INDEX('Cư dân'!$C$2:$C$2000,MATCH(C169,'Cư dân'!$A$2:$A$2000,0)),"Mã không tồn tại"))</f>
        <v/>
      </c>
      <c r="E169" s="6"/>
      <c r="F169" s="6"/>
      <c r="G169" s="6"/>
    </row>
    <row r="170" customFormat="false" ht="15" hidden="false" customHeight="true" outlineLevel="0" collapsed="false">
      <c r="A170" s="13"/>
      <c r="B170" s="6"/>
      <c r="C170" s="6"/>
      <c r="D170" s="11" t="str">
        <f aca="false">IF(C170="","",IFERROR(INDEX('Cư dân'!$C$2:$C$2000,MATCH(C170,'Cư dân'!$A$2:$A$2000,0)),"Mã không tồn tại"))</f>
        <v/>
      </c>
      <c r="E170" s="6"/>
      <c r="F170" s="6"/>
      <c r="G170" s="6"/>
    </row>
    <row r="171" customFormat="false" ht="15" hidden="false" customHeight="true" outlineLevel="0" collapsed="false">
      <c r="A171" s="13"/>
      <c r="B171" s="6"/>
      <c r="C171" s="6"/>
      <c r="D171" s="11" t="str">
        <f aca="false">IF(C171="","",IFERROR(INDEX('Cư dân'!$C$2:$C$2000,MATCH(C171,'Cư dân'!$A$2:$A$2000,0)),"Mã không tồn tại"))</f>
        <v/>
      </c>
      <c r="E171" s="6"/>
      <c r="F171" s="6"/>
      <c r="G171" s="6"/>
    </row>
    <row r="172" customFormat="false" ht="15" hidden="false" customHeight="true" outlineLevel="0" collapsed="false">
      <c r="A172" s="13"/>
      <c r="B172" s="6"/>
      <c r="C172" s="6"/>
      <c r="D172" s="11" t="str">
        <f aca="false">IF(C172="","",IFERROR(INDEX('Cư dân'!$C$2:$C$2000,MATCH(C172,'Cư dân'!$A$2:$A$2000,0)),"Mã không tồn tại"))</f>
        <v/>
      </c>
      <c r="E172" s="6"/>
      <c r="F172" s="6"/>
      <c r="G172" s="6"/>
    </row>
    <row r="173" customFormat="false" ht="15" hidden="false" customHeight="true" outlineLevel="0" collapsed="false">
      <c r="A173" s="13"/>
      <c r="B173" s="6"/>
      <c r="C173" s="6"/>
      <c r="D173" s="11" t="str">
        <f aca="false">IF(C173="","",IFERROR(INDEX('Cư dân'!$C$2:$C$2000,MATCH(C173,'Cư dân'!$A$2:$A$2000,0)),"Mã không tồn tại"))</f>
        <v/>
      </c>
      <c r="E173" s="6"/>
      <c r="F173" s="6"/>
      <c r="G173" s="6"/>
    </row>
    <row r="174" customFormat="false" ht="15" hidden="false" customHeight="true" outlineLevel="0" collapsed="false">
      <c r="A174" s="13"/>
      <c r="B174" s="6"/>
      <c r="C174" s="6"/>
      <c r="D174" s="11" t="str">
        <f aca="false">IF(C174="","",IFERROR(INDEX('Cư dân'!$C$2:$C$2000,MATCH(C174,'Cư dân'!$A$2:$A$2000,0)),"Mã không tồn tại"))</f>
        <v/>
      </c>
      <c r="E174" s="6"/>
      <c r="F174" s="6"/>
      <c r="G174" s="6"/>
    </row>
    <row r="175" customFormat="false" ht="15" hidden="false" customHeight="true" outlineLevel="0" collapsed="false">
      <c r="A175" s="13"/>
      <c r="B175" s="6"/>
      <c r="C175" s="6"/>
      <c r="D175" s="11" t="str">
        <f aca="false">IF(C175="","",IFERROR(INDEX('Cư dân'!$C$2:$C$2000,MATCH(C175,'Cư dân'!$A$2:$A$2000,0)),"Mã không tồn tại"))</f>
        <v/>
      </c>
      <c r="E175" s="6"/>
      <c r="F175" s="6"/>
      <c r="G175" s="6"/>
    </row>
    <row r="176" customFormat="false" ht="15" hidden="false" customHeight="true" outlineLevel="0" collapsed="false">
      <c r="A176" s="13"/>
      <c r="B176" s="6"/>
      <c r="C176" s="6"/>
      <c r="D176" s="11" t="str">
        <f aca="false">IF(C176="","",IFERROR(INDEX('Cư dân'!$C$2:$C$2000,MATCH(C176,'Cư dân'!$A$2:$A$2000,0)),"Mã không tồn tại"))</f>
        <v/>
      </c>
      <c r="E176" s="6"/>
      <c r="F176" s="6"/>
      <c r="G176" s="6"/>
    </row>
    <row r="177" customFormat="false" ht="15" hidden="false" customHeight="true" outlineLevel="0" collapsed="false">
      <c r="A177" s="13"/>
      <c r="B177" s="6"/>
      <c r="C177" s="6"/>
      <c r="D177" s="11" t="str">
        <f aca="false">IF(C177="","",IFERROR(INDEX('Cư dân'!$C$2:$C$2000,MATCH(C177,'Cư dân'!$A$2:$A$2000,0)),"Mã không tồn tại"))</f>
        <v/>
      </c>
      <c r="E177" s="6"/>
      <c r="F177" s="6"/>
      <c r="G177" s="6"/>
    </row>
    <row r="178" customFormat="false" ht="15" hidden="false" customHeight="true" outlineLevel="0" collapsed="false">
      <c r="A178" s="13"/>
      <c r="B178" s="6"/>
      <c r="C178" s="6"/>
      <c r="D178" s="11" t="str">
        <f aca="false">IF(C178="","",IFERROR(INDEX('Cư dân'!$C$2:$C$2000,MATCH(C178,'Cư dân'!$A$2:$A$2000,0)),"Mã không tồn tại"))</f>
        <v/>
      </c>
      <c r="E178" s="6"/>
      <c r="F178" s="6"/>
      <c r="G178" s="6"/>
    </row>
    <row r="179" customFormat="false" ht="15" hidden="false" customHeight="true" outlineLevel="0" collapsed="false">
      <c r="A179" s="13"/>
      <c r="B179" s="6"/>
      <c r="C179" s="6"/>
      <c r="D179" s="11" t="str">
        <f aca="false">IF(C179="","",IFERROR(INDEX('Cư dân'!$C$2:$C$2000,MATCH(C179,'Cư dân'!$A$2:$A$2000,0)),"Mã không tồn tại"))</f>
        <v/>
      </c>
      <c r="E179" s="6"/>
      <c r="F179" s="6"/>
      <c r="G179" s="6"/>
    </row>
    <row r="180" customFormat="false" ht="15" hidden="false" customHeight="true" outlineLevel="0" collapsed="false">
      <c r="A180" s="13"/>
      <c r="B180" s="6"/>
      <c r="C180" s="6"/>
      <c r="D180" s="11" t="str">
        <f aca="false">IF(C180="","",IFERROR(INDEX('Cư dân'!$C$2:$C$2000,MATCH(C180,'Cư dân'!$A$2:$A$2000,0)),"Mã không tồn tại"))</f>
        <v/>
      </c>
      <c r="E180" s="6"/>
      <c r="F180" s="6"/>
      <c r="G180" s="6"/>
    </row>
    <row r="181" customFormat="false" ht="15" hidden="false" customHeight="true" outlineLevel="0" collapsed="false">
      <c r="A181" s="13"/>
      <c r="B181" s="6"/>
      <c r="C181" s="6"/>
      <c r="D181" s="11" t="str">
        <f aca="false">IF(C181="","",IFERROR(INDEX('Cư dân'!$C$2:$C$2000,MATCH(C181,'Cư dân'!$A$2:$A$2000,0)),"Mã không tồn tại"))</f>
        <v/>
      </c>
      <c r="E181" s="6"/>
      <c r="F181" s="6"/>
      <c r="G181" s="6"/>
    </row>
    <row r="182" customFormat="false" ht="15" hidden="false" customHeight="true" outlineLevel="0" collapsed="false">
      <c r="A182" s="13"/>
      <c r="B182" s="6"/>
      <c r="C182" s="6"/>
      <c r="D182" s="11" t="str">
        <f aca="false">IF(C182="","",IFERROR(INDEX('Cư dân'!$C$2:$C$2000,MATCH(C182,'Cư dân'!$A$2:$A$2000,0)),"Mã không tồn tại"))</f>
        <v/>
      </c>
      <c r="E182" s="6"/>
      <c r="F182" s="6"/>
      <c r="G182" s="6"/>
    </row>
    <row r="183" customFormat="false" ht="15" hidden="false" customHeight="true" outlineLevel="0" collapsed="false">
      <c r="A183" s="13"/>
      <c r="B183" s="6"/>
      <c r="C183" s="6"/>
      <c r="D183" s="11" t="str">
        <f aca="false">IF(C183="","",IFERROR(INDEX('Cư dân'!$C$2:$C$2000,MATCH(C183,'Cư dân'!$A$2:$A$2000,0)),"Mã không tồn tại"))</f>
        <v/>
      </c>
      <c r="E183" s="6"/>
      <c r="F183" s="6"/>
      <c r="G183" s="6"/>
    </row>
    <row r="184" customFormat="false" ht="15" hidden="false" customHeight="true" outlineLevel="0" collapsed="false">
      <c r="A184" s="13"/>
      <c r="B184" s="6"/>
      <c r="C184" s="6"/>
      <c r="D184" s="11" t="str">
        <f aca="false">IF(C184="","",IFERROR(INDEX('Cư dân'!$C$2:$C$2000,MATCH(C184,'Cư dân'!$A$2:$A$2000,0)),"Mã không tồn tại"))</f>
        <v/>
      </c>
      <c r="E184" s="6"/>
      <c r="F184" s="6"/>
      <c r="G184" s="6"/>
    </row>
    <row r="185" customFormat="false" ht="15" hidden="false" customHeight="true" outlineLevel="0" collapsed="false">
      <c r="A185" s="13"/>
      <c r="B185" s="6"/>
      <c r="C185" s="6"/>
      <c r="D185" s="11" t="str">
        <f aca="false">IF(C185="","",IFERROR(INDEX('Cư dân'!$C$2:$C$2000,MATCH(C185,'Cư dân'!$A$2:$A$2000,0)),"Mã không tồn tại"))</f>
        <v/>
      </c>
      <c r="E185" s="6"/>
      <c r="F185" s="6"/>
      <c r="G185" s="6"/>
    </row>
    <row r="186" customFormat="false" ht="15" hidden="false" customHeight="true" outlineLevel="0" collapsed="false">
      <c r="A186" s="13"/>
      <c r="B186" s="6"/>
      <c r="C186" s="6"/>
      <c r="D186" s="11" t="str">
        <f aca="false">IF(C186="","",IFERROR(INDEX('Cư dân'!$C$2:$C$2000,MATCH(C186,'Cư dân'!$A$2:$A$2000,0)),"Mã không tồn tại"))</f>
        <v/>
      </c>
      <c r="E186" s="6"/>
      <c r="F186" s="6"/>
      <c r="G186" s="6"/>
    </row>
    <row r="187" customFormat="false" ht="15" hidden="false" customHeight="true" outlineLevel="0" collapsed="false">
      <c r="A187" s="13"/>
      <c r="B187" s="6"/>
      <c r="C187" s="6"/>
      <c r="D187" s="11" t="str">
        <f aca="false">IF(C187="","",IFERROR(INDEX('Cư dân'!$C$2:$C$2000,MATCH(C187,'Cư dân'!$A$2:$A$2000,0)),"Mã không tồn tại"))</f>
        <v/>
      </c>
      <c r="E187" s="6"/>
      <c r="F187" s="6"/>
      <c r="G187" s="6"/>
    </row>
    <row r="188" customFormat="false" ht="15" hidden="false" customHeight="true" outlineLevel="0" collapsed="false">
      <c r="A188" s="13"/>
      <c r="B188" s="6"/>
      <c r="C188" s="6"/>
      <c r="D188" s="11" t="str">
        <f aca="false">IF(C188="","",IFERROR(INDEX('Cư dân'!$C$2:$C$2000,MATCH(C188,'Cư dân'!$A$2:$A$2000,0)),"Mã không tồn tại"))</f>
        <v/>
      </c>
      <c r="E188" s="6"/>
      <c r="F188" s="6"/>
      <c r="G188" s="6"/>
    </row>
    <row r="189" customFormat="false" ht="15" hidden="false" customHeight="true" outlineLevel="0" collapsed="false">
      <c r="A189" s="13"/>
      <c r="B189" s="6"/>
      <c r="C189" s="6"/>
      <c r="D189" s="11" t="str">
        <f aca="false">IF(C189="","",IFERROR(INDEX('Cư dân'!$C$2:$C$2000,MATCH(C189,'Cư dân'!$A$2:$A$2000,0)),"Mã không tồn tại"))</f>
        <v/>
      </c>
      <c r="E189" s="6"/>
      <c r="F189" s="6"/>
      <c r="G189" s="6"/>
    </row>
    <row r="190" customFormat="false" ht="15" hidden="false" customHeight="true" outlineLevel="0" collapsed="false">
      <c r="A190" s="13"/>
      <c r="B190" s="6"/>
      <c r="C190" s="6"/>
      <c r="D190" s="11" t="str">
        <f aca="false">IF(C190="","",IFERROR(INDEX('Cư dân'!$C$2:$C$2000,MATCH(C190,'Cư dân'!$A$2:$A$2000,0)),"Mã không tồn tại"))</f>
        <v/>
      </c>
      <c r="E190" s="6"/>
      <c r="F190" s="6"/>
      <c r="G190" s="6"/>
    </row>
    <row r="191" customFormat="false" ht="15" hidden="false" customHeight="true" outlineLevel="0" collapsed="false">
      <c r="A191" s="13"/>
      <c r="B191" s="6"/>
      <c r="C191" s="6"/>
      <c r="D191" s="11" t="str">
        <f aca="false">IF(C191="","",IFERROR(INDEX('Cư dân'!$C$2:$C$2000,MATCH(C191,'Cư dân'!$A$2:$A$2000,0)),"Mã không tồn tại"))</f>
        <v/>
      </c>
      <c r="E191" s="6"/>
      <c r="F191" s="6"/>
      <c r="G191" s="6"/>
    </row>
    <row r="192" customFormat="false" ht="15" hidden="false" customHeight="true" outlineLevel="0" collapsed="false">
      <c r="A192" s="13"/>
      <c r="B192" s="6"/>
      <c r="C192" s="6"/>
      <c r="D192" s="11" t="str">
        <f aca="false">IF(C192="","",IFERROR(INDEX('Cư dân'!$C$2:$C$2000,MATCH(C192,'Cư dân'!$A$2:$A$2000,0)),"Mã không tồn tại"))</f>
        <v/>
      </c>
      <c r="E192" s="6"/>
      <c r="F192" s="6"/>
      <c r="G192" s="6"/>
    </row>
    <row r="193" customFormat="false" ht="15" hidden="false" customHeight="true" outlineLevel="0" collapsed="false">
      <c r="A193" s="13"/>
      <c r="B193" s="6"/>
      <c r="C193" s="6"/>
      <c r="D193" s="11" t="str">
        <f aca="false">IF(C193="","",IFERROR(INDEX('Cư dân'!$C$2:$C$2000,MATCH(C193,'Cư dân'!$A$2:$A$2000,0)),"Mã không tồn tại"))</f>
        <v/>
      </c>
      <c r="E193" s="6"/>
      <c r="F193" s="6"/>
      <c r="G193" s="6"/>
    </row>
    <row r="194" customFormat="false" ht="15" hidden="false" customHeight="true" outlineLevel="0" collapsed="false">
      <c r="A194" s="13"/>
      <c r="B194" s="6"/>
      <c r="C194" s="6"/>
      <c r="D194" s="11" t="str">
        <f aca="false">IF(C194="","",IFERROR(INDEX('Cư dân'!$C$2:$C$2000,MATCH(C194,'Cư dân'!$A$2:$A$2000,0)),"Mã không tồn tại"))</f>
        <v/>
      </c>
      <c r="E194" s="6"/>
      <c r="F194" s="6"/>
      <c r="G194" s="6"/>
    </row>
    <row r="195" customFormat="false" ht="15" hidden="false" customHeight="true" outlineLevel="0" collapsed="false">
      <c r="A195" s="13"/>
      <c r="B195" s="6"/>
      <c r="C195" s="6"/>
      <c r="D195" s="11" t="str">
        <f aca="false">IF(C195="","",IFERROR(INDEX('Cư dân'!$C$2:$C$2000,MATCH(C195,'Cư dân'!$A$2:$A$2000,0)),"Mã không tồn tại"))</f>
        <v/>
      </c>
      <c r="E195" s="6"/>
      <c r="F195" s="6"/>
      <c r="G195" s="6"/>
    </row>
    <row r="196" customFormat="false" ht="15" hidden="false" customHeight="true" outlineLevel="0" collapsed="false">
      <c r="A196" s="13"/>
      <c r="B196" s="6"/>
      <c r="C196" s="6"/>
      <c r="D196" s="11" t="str">
        <f aca="false">IF(C196="","",IFERROR(INDEX('Cư dân'!$C$2:$C$2000,MATCH(C196,'Cư dân'!$A$2:$A$2000,0)),"Mã không tồn tại"))</f>
        <v/>
      </c>
      <c r="E196" s="6"/>
      <c r="F196" s="6"/>
      <c r="G196" s="6"/>
    </row>
    <row r="197" customFormat="false" ht="15" hidden="false" customHeight="true" outlineLevel="0" collapsed="false">
      <c r="A197" s="13"/>
      <c r="B197" s="6"/>
      <c r="C197" s="6"/>
      <c r="D197" s="11" t="str">
        <f aca="false">IF(C197="","",IFERROR(INDEX('Cư dân'!$C$2:$C$2000,MATCH(C197,'Cư dân'!$A$2:$A$2000,0)),"Mã không tồn tại"))</f>
        <v/>
      </c>
      <c r="E197" s="6"/>
      <c r="F197" s="6"/>
      <c r="G197" s="6"/>
    </row>
    <row r="198" customFormat="false" ht="15" hidden="false" customHeight="true" outlineLevel="0" collapsed="false">
      <c r="A198" s="13"/>
      <c r="B198" s="6"/>
      <c r="C198" s="6"/>
      <c r="D198" s="11" t="str">
        <f aca="false">IF(C198="","",IFERROR(INDEX('Cư dân'!$C$2:$C$2000,MATCH(C198,'Cư dân'!$A$2:$A$2000,0)),"Mã không tồn tại"))</f>
        <v/>
      </c>
      <c r="E198" s="6"/>
      <c r="F198" s="6"/>
      <c r="G198" s="6"/>
    </row>
    <row r="199" customFormat="false" ht="15" hidden="false" customHeight="true" outlineLevel="0" collapsed="false">
      <c r="A199" s="13"/>
      <c r="B199" s="6"/>
      <c r="C199" s="6"/>
      <c r="D199" s="11" t="str">
        <f aca="false">IF(C199="","",IFERROR(INDEX('Cư dân'!$C$2:$C$2000,MATCH(C199,'Cư dân'!$A$2:$A$2000,0)),"Mã không tồn tại"))</f>
        <v/>
      </c>
      <c r="E199" s="6"/>
      <c r="F199" s="6"/>
      <c r="G199" s="6"/>
    </row>
    <row r="200" customFormat="false" ht="15" hidden="false" customHeight="true" outlineLevel="0" collapsed="false">
      <c r="A200" s="13"/>
      <c r="B200" s="6"/>
      <c r="C200" s="6"/>
      <c r="D200" s="11" t="str">
        <f aca="false">IF(C200="","",IFERROR(INDEX('Cư dân'!$C$2:$C$2000,MATCH(C200,'Cư dân'!$A$2:$A$2000,0)),"Mã không tồn tại"))</f>
        <v/>
      </c>
      <c r="E200" s="6"/>
      <c r="F200" s="6"/>
      <c r="G200" s="6"/>
    </row>
    <row r="201" customFormat="false" ht="15" hidden="false" customHeight="true" outlineLevel="0" collapsed="false">
      <c r="A201" s="13"/>
      <c r="B201" s="6"/>
      <c r="C201" s="6"/>
      <c r="D201" s="11" t="str">
        <f aca="false">IF(C201="","",IFERROR(INDEX('Cư dân'!$C$2:$C$2000,MATCH(C201,'Cư dân'!$A$2:$A$2000,0)),"Mã không tồn tại"))</f>
        <v/>
      </c>
      <c r="E201" s="6"/>
      <c r="F201" s="6"/>
      <c r="G201" s="6"/>
    </row>
    <row r="202" customFormat="false" ht="15" hidden="false" customHeight="true" outlineLevel="0" collapsed="false">
      <c r="A202" s="13"/>
      <c r="B202" s="6"/>
      <c r="C202" s="6"/>
      <c r="D202" s="11" t="str">
        <f aca="false">IF(C202="","",IFERROR(INDEX('Cư dân'!$C$2:$C$2000,MATCH(C202,'Cư dân'!$A$2:$A$2000,0)),"Mã không tồn tại"))</f>
        <v/>
      </c>
      <c r="E202" s="6"/>
      <c r="F202" s="6"/>
      <c r="G202" s="6"/>
    </row>
    <row r="203" customFormat="false" ht="15" hidden="false" customHeight="true" outlineLevel="0" collapsed="false">
      <c r="A203" s="13"/>
      <c r="B203" s="6"/>
      <c r="C203" s="6"/>
      <c r="D203" s="11" t="str">
        <f aca="false">IF(C203="","",IFERROR(INDEX('Cư dân'!$C$2:$C$2000,MATCH(C203,'Cư dân'!$A$2:$A$2000,0)),"Mã không tồn tại"))</f>
        <v/>
      </c>
      <c r="E203" s="6"/>
      <c r="F203" s="6"/>
      <c r="G203" s="6"/>
    </row>
    <row r="204" customFormat="false" ht="15" hidden="false" customHeight="true" outlineLevel="0" collapsed="false">
      <c r="A204" s="13"/>
      <c r="B204" s="6"/>
      <c r="C204" s="6"/>
      <c r="D204" s="11" t="str">
        <f aca="false">IF(C204="","",IFERROR(INDEX('Cư dân'!$C$2:$C$2000,MATCH(C204,'Cư dân'!$A$2:$A$2000,0)),"Mã không tồn tại"))</f>
        <v/>
      </c>
      <c r="E204" s="6"/>
      <c r="F204" s="6"/>
      <c r="G204" s="6"/>
    </row>
    <row r="205" customFormat="false" ht="15" hidden="false" customHeight="true" outlineLevel="0" collapsed="false">
      <c r="A205" s="13"/>
      <c r="B205" s="6"/>
      <c r="C205" s="6"/>
      <c r="D205" s="11" t="str">
        <f aca="false">IF(C205="","",IFERROR(INDEX('Cư dân'!$C$2:$C$2000,MATCH(C205,'Cư dân'!$A$2:$A$2000,0)),"Mã không tồn tại"))</f>
        <v/>
      </c>
      <c r="E205" s="6"/>
      <c r="F205" s="6"/>
      <c r="G205" s="6"/>
    </row>
    <row r="206" customFormat="false" ht="15" hidden="false" customHeight="true" outlineLevel="0" collapsed="false">
      <c r="A206" s="13"/>
      <c r="B206" s="6"/>
      <c r="C206" s="6"/>
      <c r="D206" s="11" t="str">
        <f aca="false">IF(C206="","",IFERROR(INDEX('Cư dân'!$C$2:$C$2000,MATCH(C206,'Cư dân'!$A$2:$A$2000,0)),"Mã không tồn tại"))</f>
        <v/>
      </c>
      <c r="E206" s="6"/>
      <c r="F206" s="6"/>
      <c r="G206" s="6"/>
    </row>
    <row r="207" customFormat="false" ht="15" hidden="false" customHeight="true" outlineLevel="0" collapsed="false">
      <c r="A207" s="13"/>
      <c r="B207" s="6"/>
      <c r="C207" s="6"/>
      <c r="D207" s="11" t="str">
        <f aca="false">IF(C207="","",IFERROR(INDEX('Cư dân'!$C$2:$C$2000,MATCH(C207,'Cư dân'!$A$2:$A$2000,0)),"Mã không tồn tại"))</f>
        <v/>
      </c>
      <c r="E207" s="6"/>
      <c r="F207" s="6"/>
      <c r="G207" s="6"/>
    </row>
    <row r="208" customFormat="false" ht="15" hidden="false" customHeight="true" outlineLevel="0" collapsed="false">
      <c r="A208" s="13"/>
      <c r="B208" s="6"/>
      <c r="C208" s="6"/>
      <c r="D208" s="11" t="str">
        <f aca="false">IF(C208="","",IFERROR(INDEX('Cư dân'!$C$2:$C$2000,MATCH(C208,'Cư dân'!$A$2:$A$2000,0)),"Mã không tồn tại"))</f>
        <v/>
      </c>
      <c r="E208" s="6"/>
      <c r="F208" s="6"/>
      <c r="G208" s="6"/>
    </row>
    <row r="209" customFormat="false" ht="15" hidden="false" customHeight="true" outlineLevel="0" collapsed="false">
      <c r="A209" s="13"/>
      <c r="B209" s="6"/>
      <c r="C209" s="6"/>
      <c r="D209" s="11" t="str">
        <f aca="false">IF(C209="","",IFERROR(INDEX('Cư dân'!$C$2:$C$2000,MATCH(C209,'Cư dân'!$A$2:$A$2000,0)),"Mã không tồn tại"))</f>
        <v/>
      </c>
      <c r="E209" s="6"/>
      <c r="F209" s="6"/>
      <c r="G209" s="6"/>
    </row>
    <row r="210" customFormat="false" ht="15" hidden="false" customHeight="true" outlineLevel="0" collapsed="false">
      <c r="A210" s="13"/>
      <c r="B210" s="6"/>
      <c r="C210" s="6"/>
      <c r="D210" s="11" t="str">
        <f aca="false">IF(C210="","",IFERROR(INDEX('Cư dân'!$C$2:$C$2000,MATCH(C210,'Cư dân'!$A$2:$A$2000,0)),"Mã không tồn tại"))</f>
        <v/>
      </c>
      <c r="E210" s="6"/>
      <c r="F210" s="6"/>
      <c r="G210" s="6"/>
    </row>
    <row r="211" customFormat="false" ht="15" hidden="false" customHeight="true" outlineLevel="0" collapsed="false">
      <c r="A211" s="13"/>
      <c r="B211" s="6"/>
      <c r="C211" s="6"/>
      <c r="D211" s="11" t="str">
        <f aca="false">IF(C211="","",IFERROR(INDEX('Cư dân'!$C$2:$C$2000,MATCH(C211,'Cư dân'!$A$2:$A$2000,0)),"Mã không tồn tại"))</f>
        <v/>
      </c>
      <c r="E211" s="6"/>
      <c r="F211" s="6"/>
      <c r="G211" s="6"/>
    </row>
    <row r="212" customFormat="false" ht="15" hidden="false" customHeight="true" outlineLevel="0" collapsed="false">
      <c r="A212" s="13"/>
      <c r="B212" s="6"/>
      <c r="C212" s="6"/>
      <c r="D212" s="11" t="str">
        <f aca="false">IF(C212="","",IFERROR(INDEX('Cư dân'!$C$2:$C$2000,MATCH(C212,'Cư dân'!$A$2:$A$2000,0)),"Mã không tồn tại"))</f>
        <v/>
      </c>
      <c r="E212" s="6"/>
      <c r="F212" s="6"/>
      <c r="G212" s="6"/>
    </row>
    <row r="213" customFormat="false" ht="15" hidden="false" customHeight="true" outlineLevel="0" collapsed="false">
      <c r="A213" s="13"/>
      <c r="B213" s="6"/>
      <c r="C213" s="6"/>
      <c r="D213" s="11" t="str">
        <f aca="false">IF(C213="","",IFERROR(INDEX('Cư dân'!$C$2:$C$2000,MATCH(C213,'Cư dân'!$A$2:$A$2000,0)),"Mã không tồn tại"))</f>
        <v/>
      </c>
      <c r="E213" s="6"/>
      <c r="F213" s="6"/>
      <c r="G213" s="6"/>
    </row>
    <row r="214" customFormat="false" ht="15" hidden="false" customHeight="true" outlineLevel="0" collapsed="false">
      <c r="A214" s="13"/>
      <c r="B214" s="6"/>
      <c r="C214" s="6"/>
      <c r="D214" s="11" t="str">
        <f aca="false">IF(C214="","",IFERROR(INDEX('Cư dân'!$C$2:$C$2000,MATCH(C214,'Cư dân'!$A$2:$A$2000,0)),"Mã không tồn tại"))</f>
        <v/>
      </c>
      <c r="E214" s="6"/>
      <c r="F214" s="6"/>
      <c r="G214" s="6"/>
    </row>
    <row r="215" customFormat="false" ht="15" hidden="false" customHeight="true" outlineLevel="0" collapsed="false">
      <c r="A215" s="13"/>
      <c r="B215" s="6"/>
      <c r="C215" s="6"/>
      <c r="D215" s="11" t="str">
        <f aca="false">IF(C215="","",IFERROR(INDEX('Cư dân'!$C$2:$C$2000,MATCH(C215,'Cư dân'!$A$2:$A$2000,0)),"Mã không tồn tại"))</f>
        <v/>
      </c>
      <c r="E215" s="6"/>
      <c r="F215" s="6"/>
      <c r="G215" s="6"/>
    </row>
    <row r="216" customFormat="false" ht="15" hidden="false" customHeight="true" outlineLevel="0" collapsed="false">
      <c r="A216" s="13"/>
      <c r="B216" s="6"/>
      <c r="C216" s="6"/>
      <c r="D216" s="11" t="str">
        <f aca="false">IF(C216="","",IFERROR(INDEX('Cư dân'!$C$2:$C$2000,MATCH(C216,'Cư dân'!$A$2:$A$2000,0)),"Mã không tồn tại"))</f>
        <v/>
      </c>
      <c r="E216" s="6"/>
      <c r="F216" s="6"/>
      <c r="G216" s="6"/>
    </row>
    <row r="217" customFormat="false" ht="15" hidden="false" customHeight="true" outlineLevel="0" collapsed="false">
      <c r="A217" s="13"/>
      <c r="B217" s="6"/>
      <c r="C217" s="6"/>
      <c r="D217" s="11" t="str">
        <f aca="false">IF(C217="","",IFERROR(INDEX('Cư dân'!$C$2:$C$2000,MATCH(C217,'Cư dân'!$A$2:$A$2000,0)),"Mã không tồn tại"))</f>
        <v/>
      </c>
      <c r="E217" s="6"/>
      <c r="F217" s="6"/>
      <c r="G217" s="6"/>
    </row>
    <row r="218" customFormat="false" ht="15" hidden="false" customHeight="true" outlineLevel="0" collapsed="false">
      <c r="A218" s="13"/>
      <c r="B218" s="6"/>
      <c r="C218" s="6"/>
      <c r="D218" s="11" t="str">
        <f aca="false">IF(C218="","",IFERROR(INDEX('Cư dân'!$C$2:$C$2000,MATCH(C218,'Cư dân'!$A$2:$A$2000,0)),"Mã không tồn tại"))</f>
        <v/>
      </c>
      <c r="E218" s="6"/>
      <c r="F218" s="6"/>
      <c r="G218" s="6"/>
    </row>
    <row r="219" customFormat="false" ht="15" hidden="false" customHeight="true" outlineLevel="0" collapsed="false">
      <c r="A219" s="13"/>
      <c r="B219" s="6"/>
      <c r="C219" s="6"/>
      <c r="D219" s="11" t="str">
        <f aca="false">IF(C219="","",IFERROR(INDEX('Cư dân'!$C$2:$C$2000,MATCH(C219,'Cư dân'!$A$2:$A$2000,0)),"Mã không tồn tại"))</f>
        <v/>
      </c>
      <c r="E219" s="6"/>
      <c r="F219" s="6"/>
      <c r="G219" s="6"/>
    </row>
    <row r="220" customFormat="false" ht="15" hidden="false" customHeight="true" outlineLevel="0" collapsed="false">
      <c r="A220" s="13"/>
      <c r="B220" s="6"/>
      <c r="C220" s="6"/>
      <c r="D220" s="11" t="str">
        <f aca="false">IF(C220="","",IFERROR(INDEX('Cư dân'!$C$2:$C$2000,MATCH(C220,'Cư dân'!$A$2:$A$2000,0)),"Mã không tồn tại"))</f>
        <v/>
      </c>
      <c r="E220" s="6"/>
      <c r="F220" s="6"/>
      <c r="G220" s="6"/>
    </row>
    <row r="221" customFormat="false" ht="15" hidden="false" customHeight="true" outlineLevel="0" collapsed="false">
      <c r="A221" s="13"/>
      <c r="B221" s="6"/>
      <c r="C221" s="6"/>
      <c r="D221" s="11" t="str">
        <f aca="false">IF(C221="","",IFERROR(INDEX('Cư dân'!$C$2:$C$2000,MATCH(C221,'Cư dân'!$A$2:$A$2000,0)),"Mã không tồn tại"))</f>
        <v/>
      </c>
      <c r="E221" s="6"/>
      <c r="F221" s="6"/>
      <c r="G221" s="6"/>
    </row>
    <row r="222" customFormat="false" ht="15" hidden="false" customHeight="true" outlineLevel="0" collapsed="false">
      <c r="A222" s="13"/>
      <c r="B222" s="6"/>
      <c r="C222" s="6"/>
      <c r="D222" s="11" t="str">
        <f aca="false">IF(C222="","",IFERROR(INDEX('Cư dân'!$C$2:$C$2000,MATCH(C222,'Cư dân'!$A$2:$A$2000,0)),"Mã không tồn tại"))</f>
        <v/>
      </c>
      <c r="E222" s="6"/>
      <c r="F222" s="6"/>
      <c r="G222" s="6"/>
    </row>
    <row r="223" customFormat="false" ht="15" hidden="false" customHeight="true" outlineLevel="0" collapsed="false">
      <c r="A223" s="13"/>
      <c r="B223" s="6"/>
      <c r="C223" s="6"/>
      <c r="D223" s="11" t="str">
        <f aca="false">IF(C223="","",IFERROR(INDEX('Cư dân'!$C$2:$C$2000,MATCH(C223,'Cư dân'!$A$2:$A$2000,0)),"Mã không tồn tại"))</f>
        <v/>
      </c>
      <c r="E223" s="6"/>
      <c r="F223" s="6"/>
      <c r="G223" s="6"/>
    </row>
    <row r="224" customFormat="false" ht="15" hidden="false" customHeight="true" outlineLevel="0" collapsed="false">
      <c r="A224" s="13"/>
      <c r="B224" s="6"/>
      <c r="C224" s="6"/>
      <c r="D224" s="11" t="str">
        <f aca="false">IF(C224="","",IFERROR(INDEX('Cư dân'!$C$2:$C$2000,MATCH(C224,'Cư dân'!$A$2:$A$2000,0)),"Mã không tồn tại"))</f>
        <v/>
      </c>
      <c r="E224" s="6"/>
      <c r="F224" s="6"/>
      <c r="G224" s="6"/>
    </row>
    <row r="225" customFormat="false" ht="15" hidden="false" customHeight="true" outlineLevel="0" collapsed="false">
      <c r="A225" s="13"/>
      <c r="B225" s="6"/>
      <c r="C225" s="6"/>
      <c r="D225" s="11" t="str">
        <f aca="false">IF(C225="","",IFERROR(INDEX('Cư dân'!$C$2:$C$2000,MATCH(C225,'Cư dân'!$A$2:$A$2000,0)),"Mã không tồn tại"))</f>
        <v/>
      </c>
      <c r="E225" s="6"/>
      <c r="F225" s="6"/>
      <c r="G225" s="6"/>
    </row>
    <row r="226" customFormat="false" ht="15" hidden="false" customHeight="true" outlineLevel="0" collapsed="false">
      <c r="A226" s="13"/>
      <c r="B226" s="6"/>
      <c r="C226" s="6"/>
      <c r="D226" s="11" t="str">
        <f aca="false">IF(C226="","",IFERROR(INDEX('Cư dân'!$C$2:$C$2000,MATCH(C226,'Cư dân'!$A$2:$A$2000,0)),"Mã không tồn tại"))</f>
        <v/>
      </c>
      <c r="E226" s="6"/>
      <c r="F226" s="6"/>
      <c r="G226" s="6"/>
    </row>
    <row r="227" customFormat="false" ht="15" hidden="false" customHeight="true" outlineLevel="0" collapsed="false">
      <c r="A227" s="13"/>
      <c r="B227" s="6"/>
      <c r="C227" s="6"/>
      <c r="D227" s="11" t="str">
        <f aca="false">IF(C227="","",IFERROR(INDEX('Cư dân'!$C$2:$C$2000,MATCH(C227,'Cư dân'!$A$2:$A$2000,0)),"Mã không tồn tại"))</f>
        <v/>
      </c>
      <c r="E227" s="6"/>
      <c r="F227" s="6"/>
      <c r="G227" s="6"/>
    </row>
    <row r="228" customFormat="false" ht="15" hidden="false" customHeight="true" outlineLevel="0" collapsed="false">
      <c r="A228" s="13"/>
      <c r="B228" s="6"/>
      <c r="C228" s="6"/>
      <c r="D228" s="11" t="str">
        <f aca="false">IF(C228="","",IFERROR(INDEX('Cư dân'!$C$2:$C$2000,MATCH(C228,'Cư dân'!$A$2:$A$2000,0)),"Mã không tồn tại"))</f>
        <v/>
      </c>
      <c r="E228" s="6"/>
      <c r="F228" s="6"/>
      <c r="G228" s="6"/>
    </row>
    <row r="229" customFormat="false" ht="15" hidden="false" customHeight="true" outlineLevel="0" collapsed="false">
      <c r="A229" s="13"/>
      <c r="B229" s="6"/>
      <c r="C229" s="6"/>
      <c r="D229" s="11" t="str">
        <f aca="false">IF(C229="","",IFERROR(INDEX('Cư dân'!$C$2:$C$2000,MATCH(C229,'Cư dân'!$A$2:$A$2000,0)),"Mã không tồn tại"))</f>
        <v/>
      </c>
      <c r="E229" s="6"/>
      <c r="F229" s="6"/>
      <c r="G229" s="6"/>
    </row>
    <row r="230" customFormat="false" ht="15" hidden="false" customHeight="true" outlineLevel="0" collapsed="false">
      <c r="A230" s="13"/>
      <c r="B230" s="6"/>
      <c r="C230" s="6"/>
      <c r="D230" s="11" t="str">
        <f aca="false">IF(C230="","",IFERROR(INDEX('Cư dân'!$C$2:$C$2000,MATCH(C230,'Cư dân'!$A$2:$A$2000,0)),"Mã không tồn tại"))</f>
        <v/>
      </c>
      <c r="E230" s="6"/>
      <c r="F230" s="6"/>
      <c r="G230" s="6"/>
    </row>
    <row r="231" customFormat="false" ht="15" hidden="false" customHeight="true" outlineLevel="0" collapsed="false">
      <c r="A231" s="13"/>
      <c r="B231" s="6"/>
      <c r="C231" s="6"/>
      <c r="D231" s="11" t="str">
        <f aca="false">IF(C231="","",IFERROR(INDEX('Cư dân'!$C$2:$C$2000,MATCH(C231,'Cư dân'!$A$2:$A$2000,0)),"Mã không tồn tại"))</f>
        <v/>
      </c>
      <c r="E231" s="6"/>
      <c r="F231" s="6"/>
      <c r="G231" s="6"/>
    </row>
    <row r="232" customFormat="false" ht="15" hidden="false" customHeight="true" outlineLevel="0" collapsed="false">
      <c r="A232" s="13"/>
      <c r="B232" s="6"/>
      <c r="C232" s="6"/>
      <c r="D232" s="11" t="str">
        <f aca="false">IF(C232="","",IFERROR(INDEX('Cư dân'!$C$2:$C$2000,MATCH(C232,'Cư dân'!$A$2:$A$2000,0)),"Mã không tồn tại"))</f>
        <v/>
      </c>
      <c r="E232" s="6"/>
      <c r="F232" s="6"/>
      <c r="G232" s="6"/>
    </row>
    <row r="233" customFormat="false" ht="15" hidden="false" customHeight="true" outlineLevel="0" collapsed="false">
      <c r="A233" s="13"/>
      <c r="B233" s="6"/>
      <c r="C233" s="6"/>
      <c r="D233" s="11" t="str">
        <f aca="false">IF(C233="","",IFERROR(INDEX('Cư dân'!$C$2:$C$2000,MATCH(C233,'Cư dân'!$A$2:$A$2000,0)),"Mã không tồn tại"))</f>
        <v/>
      </c>
      <c r="E233" s="6"/>
      <c r="F233" s="6"/>
      <c r="G233" s="6"/>
    </row>
    <row r="234" customFormat="false" ht="15" hidden="false" customHeight="true" outlineLevel="0" collapsed="false">
      <c r="A234" s="13"/>
      <c r="B234" s="6"/>
      <c r="C234" s="6"/>
      <c r="D234" s="11" t="str">
        <f aca="false">IF(C234="","",IFERROR(INDEX('Cư dân'!$C$2:$C$2000,MATCH(C234,'Cư dân'!$A$2:$A$2000,0)),"Mã không tồn tại"))</f>
        <v/>
      </c>
      <c r="E234" s="6"/>
      <c r="F234" s="6"/>
      <c r="G234" s="6"/>
    </row>
    <row r="235" customFormat="false" ht="15" hidden="false" customHeight="true" outlineLevel="0" collapsed="false">
      <c r="A235" s="13"/>
      <c r="B235" s="6"/>
      <c r="C235" s="6"/>
      <c r="D235" s="11" t="str">
        <f aca="false">IF(C235="","",IFERROR(INDEX('Cư dân'!$C$2:$C$2000,MATCH(C235,'Cư dân'!$A$2:$A$2000,0)),"Mã không tồn tại"))</f>
        <v/>
      </c>
      <c r="E235" s="6"/>
      <c r="F235" s="6"/>
      <c r="G235" s="6"/>
    </row>
    <row r="236" customFormat="false" ht="15" hidden="false" customHeight="true" outlineLevel="0" collapsed="false">
      <c r="A236" s="13"/>
      <c r="B236" s="6"/>
      <c r="C236" s="6"/>
      <c r="D236" s="11" t="str">
        <f aca="false">IF(C236="","",IFERROR(INDEX('Cư dân'!$C$2:$C$2000,MATCH(C236,'Cư dân'!$A$2:$A$2000,0)),"Mã không tồn tại"))</f>
        <v/>
      </c>
      <c r="E236" s="6"/>
      <c r="F236" s="6"/>
      <c r="G236" s="6"/>
    </row>
    <row r="237" customFormat="false" ht="15" hidden="false" customHeight="true" outlineLevel="0" collapsed="false">
      <c r="A237" s="13"/>
      <c r="B237" s="6"/>
      <c r="C237" s="6"/>
      <c r="D237" s="11" t="str">
        <f aca="false">IF(C237="","",IFERROR(INDEX('Cư dân'!$C$2:$C$2000,MATCH(C237,'Cư dân'!$A$2:$A$2000,0)),"Mã không tồn tại"))</f>
        <v/>
      </c>
      <c r="E237" s="6"/>
      <c r="F237" s="6"/>
      <c r="G237" s="6"/>
    </row>
    <row r="238" customFormat="false" ht="15" hidden="false" customHeight="true" outlineLevel="0" collapsed="false">
      <c r="A238" s="13"/>
      <c r="B238" s="6"/>
      <c r="C238" s="6"/>
      <c r="D238" s="11" t="str">
        <f aca="false">IF(C238="","",IFERROR(INDEX('Cư dân'!$C$2:$C$2000,MATCH(C238,'Cư dân'!$A$2:$A$2000,0)),"Mã không tồn tại"))</f>
        <v/>
      </c>
      <c r="E238" s="6"/>
      <c r="F238" s="6"/>
      <c r="G238" s="6"/>
    </row>
    <row r="239" customFormat="false" ht="15" hidden="false" customHeight="true" outlineLevel="0" collapsed="false">
      <c r="A239" s="13"/>
      <c r="B239" s="6"/>
      <c r="C239" s="6"/>
      <c r="D239" s="11" t="str">
        <f aca="false">IF(C239="","",IFERROR(INDEX('Cư dân'!$C$2:$C$2000,MATCH(C239,'Cư dân'!$A$2:$A$2000,0)),"Mã không tồn tại"))</f>
        <v/>
      </c>
      <c r="E239" s="6"/>
      <c r="F239" s="6"/>
      <c r="G239" s="6"/>
    </row>
    <row r="240" customFormat="false" ht="15" hidden="false" customHeight="true" outlineLevel="0" collapsed="false">
      <c r="A240" s="13"/>
      <c r="B240" s="6"/>
      <c r="C240" s="6"/>
      <c r="D240" s="11" t="str">
        <f aca="false">IF(C240="","",IFERROR(INDEX('Cư dân'!$C$2:$C$2000,MATCH(C240,'Cư dân'!$A$2:$A$2000,0)),"Mã không tồn tại"))</f>
        <v/>
      </c>
      <c r="E240" s="6"/>
      <c r="F240" s="6"/>
      <c r="G240" s="6"/>
    </row>
    <row r="241" customFormat="false" ht="15" hidden="false" customHeight="true" outlineLevel="0" collapsed="false">
      <c r="A241" s="13"/>
      <c r="B241" s="6"/>
      <c r="C241" s="6"/>
      <c r="D241" s="11" t="str">
        <f aca="false">IF(C241="","",IFERROR(INDEX('Cư dân'!$C$2:$C$2000,MATCH(C241,'Cư dân'!$A$2:$A$2000,0)),"Mã không tồn tại"))</f>
        <v/>
      </c>
      <c r="E241" s="6"/>
      <c r="F241" s="6"/>
      <c r="G241" s="6"/>
    </row>
    <row r="242" customFormat="false" ht="15" hidden="false" customHeight="true" outlineLevel="0" collapsed="false">
      <c r="A242" s="13"/>
      <c r="B242" s="6"/>
      <c r="C242" s="6"/>
      <c r="D242" s="11" t="str">
        <f aca="false">IF(C242="","",IFERROR(INDEX('Cư dân'!$C$2:$C$2000,MATCH(C242,'Cư dân'!$A$2:$A$2000,0)),"Mã không tồn tại"))</f>
        <v/>
      </c>
      <c r="E242" s="6"/>
      <c r="F242" s="6"/>
      <c r="G242" s="6"/>
    </row>
    <row r="243" customFormat="false" ht="15" hidden="false" customHeight="true" outlineLevel="0" collapsed="false">
      <c r="A243" s="13"/>
      <c r="B243" s="6"/>
      <c r="C243" s="6"/>
      <c r="D243" s="11" t="str">
        <f aca="false">IF(C243="","",IFERROR(INDEX('Cư dân'!$C$2:$C$2000,MATCH(C243,'Cư dân'!$A$2:$A$2000,0)),"Mã không tồn tại"))</f>
        <v/>
      </c>
      <c r="E243" s="6"/>
      <c r="F243" s="6"/>
      <c r="G243" s="6"/>
    </row>
    <row r="244" customFormat="false" ht="15" hidden="false" customHeight="true" outlineLevel="0" collapsed="false">
      <c r="A244" s="13"/>
      <c r="B244" s="6"/>
      <c r="C244" s="6"/>
      <c r="D244" s="11" t="str">
        <f aca="false">IF(C244="","",IFERROR(INDEX('Cư dân'!$C$2:$C$2000,MATCH(C244,'Cư dân'!$A$2:$A$2000,0)),"Mã không tồn tại"))</f>
        <v/>
      </c>
      <c r="E244" s="6"/>
      <c r="F244" s="6"/>
      <c r="G244" s="6"/>
    </row>
    <row r="245" customFormat="false" ht="15" hidden="false" customHeight="true" outlineLevel="0" collapsed="false">
      <c r="A245" s="13"/>
      <c r="B245" s="6"/>
      <c r="C245" s="6"/>
      <c r="D245" s="11" t="str">
        <f aca="false">IF(C245="","",IFERROR(INDEX('Cư dân'!$C$2:$C$2000,MATCH(C245,'Cư dân'!$A$2:$A$2000,0)),"Mã không tồn tại"))</f>
        <v/>
      </c>
      <c r="E245" s="6"/>
      <c r="F245" s="6"/>
      <c r="G245" s="6"/>
    </row>
    <row r="246" customFormat="false" ht="15" hidden="false" customHeight="true" outlineLevel="0" collapsed="false">
      <c r="A246" s="13"/>
      <c r="B246" s="6"/>
      <c r="C246" s="6"/>
      <c r="D246" s="11" t="str">
        <f aca="false">IF(C246="","",IFERROR(INDEX('Cư dân'!$C$2:$C$2000,MATCH(C246,'Cư dân'!$A$2:$A$2000,0)),"Mã không tồn tại"))</f>
        <v/>
      </c>
      <c r="E246" s="6"/>
      <c r="F246" s="6"/>
      <c r="G246" s="6"/>
    </row>
    <row r="247" customFormat="false" ht="15" hidden="false" customHeight="true" outlineLevel="0" collapsed="false">
      <c r="A247" s="13"/>
      <c r="B247" s="6"/>
      <c r="C247" s="6"/>
      <c r="D247" s="11" t="str">
        <f aca="false">IF(C247="","",IFERROR(INDEX('Cư dân'!$C$2:$C$2000,MATCH(C247,'Cư dân'!$A$2:$A$2000,0)),"Mã không tồn tại"))</f>
        <v/>
      </c>
      <c r="E247" s="6"/>
      <c r="F247" s="6"/>
      <c r="G247" s="6"/>
    </row>
    <row r="248" customFormat="false" ht="15" hidden="false" customHeight="true" outlineLevel="0" collapsed="false">
      <c r="A248" s="13"/>
      <c r="B248" s="6"/>
      <c r="C248" s="6"/>
      <c r="D248" s="11" t="str">
        <f aca="false">IF(C248="","",IFERROR(INDEX('Cư dân'!$C$2:$C$2000,MATCH(C248,'Cư dân'!$A$2:$A$2000,0)),"Mã không tồn tại"))</f>
        <v/>
      </c>
      <c r="E248" s="6"/>
      <c r="F248" s="6"/>
      <c r="G248" s="6"/>
    </row>
    <row r="249" customFormat="false" ht="15" hidden="false" customHeight="true" outlineLevel="0" collapsed="false">
      <c r="A249" s="13"/>
      <c r="B249" s="6"/>
      <c r="C249" s="6"/>
      <c r="D249" s="11" t="str">
        <f aca="false">IF(C249="","",IFERROR(INDEX('Cư dân'!$C$2:$C$2000,MATCH(C249,'Cư dân'!$A$2:$A$2000,0)),"Mã không tồn tại"))</f>
        <v/>
      </c>
      <c r="E249" s="6"/>
      <c r="F249" s="6"/>
      <c r="G249" s="6"/>
    </row>
    <row r="250" customFormat="false" ht="15" hidden="false" customHeight="true" outlineLevel="0" collapsed="false">
      <c r="A250" s="13"/>
      <c r="B250" s="6"/>
      <c r="C250" s="6"/>
      <c r="D250" s="11" t="str">
        <f aca="false">IF(C250="","",IFERROR(INDEX('Cư dân'!$C$2:$C$2000,MATCH(C250,'Cư dân'!$A$2:$A$2000,0)),"Mã không tồn tại"))</f>
        <v/>
      </c>
      <c r="E250" s="6"/>
      <c r="F250" s="6"/>
      <c r="G250" s="6"/>
    </row>
    <row r="251" customFormat="false" ht="15" hidden="false" customHeight="true" outlineLevel="0" collapsed="false">
      <c r="A251" s="13"/>
      <c r="B251" s="6"/>
      <c r="C251" s="6"/>
      <c r="D251" s="11" t="str">
        <f aca="false">IF(C251="","",IFERROR(INDEX('Cư dân'!$C$2:$C$2000,MATCH(C251,'Cư dân'!$A$2:$A$2000,0)),"Mã không tồn tại"))</f>
        <v/>
      </c>
      <c r="E251" s="6"/>
      <c r="F251" s="6"/>
      <c r="G251" s="6"/>
    </row>
    <row r="252" customFormat="false" ht="15" hidden="false" customHeight="true" outlineLevel="0" collapsed="false">
      <c r="A252" s="13"/>
      <c r="B252" s="6"/>
      <c r="C252" s="6"/>
      <c r="D252" s="11" t="str">
        <f aca="false">IF(C252="","",IFERROR(INDEX('Cư dân'!$C$2:$C$2000,MATCH(C252,'Cư dân'!$A$2:$A$2000,0)),"Mã không tồn tại"))</f>
        <v/>
      </c>
      <c r="E252" s="6"/>
      <c r="F252" s="6"/>
      <c r="G252" s="6"/>
    </row>
    <row r="253" customFormat="false" ht="15" hidden="false" customHeight="true" outlineLevel="0" collapsed="false">
      <c r="A253" s="13"/>
      <c r="B253" s="6"/>
      <c r="C253" s="6"/>
      <c r="D253" s="11" t="str">
        <f aca="false">IF(C253="","",IFERROR(INDEX('Cư dân'!$C$2:$C$2000,MATCH(C253,'Cư dân'!$A$2:$A$2000,0)),"Mã không tồn tại"))</f>
        <v/>
      </c>
      <c r="E253" s="6"/>
      <c r="F253" s="6"/>
      <c r="G253" s="6"/>
    </row>
    <row r="254" customFormat="false" ht="15" hidden="false" customHeight="true" outlineLevel="0" collapsed="false">
      <c r="A254" s="13"/>
      <c r="B254" s="6"/>
      <c r="C254" s="6"/>
      <c r="D254" s="11" t="str">
        <f aca="false">IF(C254="","",IFERROR(INDEX('Cư dân'!$C$2:$C$2000,MATCH(C254,'Cư dân'!$A$2:$A$2000,0)),"Mã không tồn tại"))</f>
        <v/>
      </c>
      <c r="E254" s="6"/>
      <c r="F254" s="6"/>
      <c r="G254" s="6"/>
    </row>
    <row r="255" customFormat="false" ht="15" hidden="false" customHeight="true" outlineLevel="0" collapsed="false">
      <c r="A255" s="13"/>
      <c r="B255" s="6"/>
      <c r="C255" s="6"/>
      <c r="D255" s="11" t="str">
        <f aca="false">IF(C255="","",IFERROR(INDEX('Cư dân'!$C$2:$C$2000,MATCH(C255,'Cư dân'!$A$2:$A$2000,0)),"Mã không tồn tại"))</f>
        <v/>
      </c>
      <c r="E255" s="6"/>
      <c r="F255" s="6"/>
      <c r="G255" s="6"/>
    </row>
    <row r="256" customFormat="false" ht="15" hidden="false" customHeight="true" outlineLevel="0" collapsed="false">
      <c r="A256" s="13"/>
      <c r="B256" s="6"/>
      <c r="C256" s="6"/>
      <c r="D256" s="11" t="str">
        <f aca="false">IF(C256="","",IFERROR(INDEX('Cư dân'!$C$2:$C$2000,MATCH(C256,'Cư dân'!$A$2:$A$2000,0)),"Mã không tồn tại"))</f>
        <v/>
      </c>
      <c r="E256" s="6"/>
      <c r="F256" s="6"/>
      <c r="G256" s="6"/>
    </row>
    <row r="257" customFormat="false" ht="15" hidden="false" customHeight="true" outlineLevel="0" collapsed="false">
      <c r="A257" s="13"/>
      <c r="B257" s="6"/>
      <c r="C257" s="6"/>
      <c r="D257" s="11" t="str">
        <f aca="false">IF(C257="","",IFERROR(INDEX('Cư dân'!$C$2:$C$2000,MATCH(C257,'Cư dân'!$A$2:$A$2000,0)),"Mã không tồn tại"))</f>
        <v/>
      </c>
      <c r="E257" s="6"/>
      <c r="F257" s="6"/>
      <c r="G257" s="6"/>
    </row>
    <row r="258" customFormat="false" ht="15" hidden="false" customHeight="true" outlineLevel="0" collapsed="false">
      <c r="A258" s="13"/>
      <c r="B258" s="6"/>
      <c r="C258" s="6"/>
      <c r="D258" s="11" t="str">
        <f aca="false">IF(C258="","",IFERROR(INDEX('Cư dân'!$C$2:$C$2000,MATCH(C258,'Cư dân'!$A$2:$A$2000,0)),"Mã không tồn tại"))</f>
        <v/>
      </c>
      <c r="E258" s="6"/>
      <c r="F258" s="6"/>
      <c r="G258" s="6"/>
    </row>
    <row r="259" customFormat="false" ht="15" hidden="false" customHeight="true" outlineLevel="0" collapsed="false">
      <c r="A259" s="13"/>
      <c r="B259" s="6"/>
      <c r="C259" s="6"/>
      <c r="D259" s="11" t="str">
        <f aca="false">IF(C259="","",IFERROR(INDEX('Cư dân'!$C$2:$C$2000,MATCH(C259,'Cư dân'!$A$2:$A$2000,0)),"Mã không tồn tại"))</f>
        <v/>
      </c>
      <c r="E259" s="6"/>
      <c r="F259" s="6"/>
      <c r="G259" s="6"/>
    </row>
    <row r="260" customFormat="false" ht="15" hidden="false" customHeight="true" outlineLevel="0" collapsed="false">
      <c r="A260" s="13"/>
      <c r="B260" s="6"/>
      <c r="C260" s="6"/>
      <c r="D260" s="11" t="str">
        <f aca="false">IF(C260="","",IFERROR(INDEX('Cư dân'!$C$2:$C$2000,MATCH(C260,'Cư dân'!$A$2:$A$2000,0)),"Mã không tồn tại"))</f>
        <v/>
      </c>
      <c r="E260" s="6"/>
      <c r="F260" s="6"/>
      <c r="G260" s="6"/>
    </row>
    <row r="261" customFormat="false" ht="15" hidden="false" customHeight="true" outlineLevel="0" collapsed="false">
      <c r="A261" s="13"/>
      <c r="B261" s="6"/>
      <c r="C261" s="6"/>
      <c r="D261" s="11" t="str">
        <f aca="false">IF(C261="","",IFERROR(INDEX('Cư dân'!$C$2:$C$2000,MATCH(C261,'Cư dân'!$A$2:$A$2000,0)),"Mã không tồn tại"))</f>
        <v/>
      </c>
      <c r="E261" s="6"/>
      <c r="F261" s="6"/>
      <c r="G261" s="6"/>
    </row>
    <row r="262" customFormat="false" ht="15" hidden="false" customHeight="true" outlineLevel="0" collapsed="false">
      <c r="A262" s="13"/>
      <c r="B262" s="6"/>
      <c r="C262" s="6"/>
      <c r="D262" s="11" t="str">
        <f aca="false">IF(C262="","",IFERROR(INDEX('Cư dân'!$C$2:$C$2000,MATCH(C262,'Cư dân'!$A$2:$A$2000,0)),"Mã không tồn tại"))</f>
        <v/>
      </c>
      <c r="E262" s="6"/>
      <c r="F262" s="6"/>
      <c r="G262" s="6"/>
    </row>
    <row r="263" customFormat="false" ht="15" hidden="false" customHeight="true" outlineLevel="0" collapsed="false">
      <c r="A263" s="13"/>
      <c r="B263" s="6"/>
      <c r="C263" s="6"/>
      <c r="D263" s="11" t="str">
        <f aca="false">IF(C263="","",IFERROR(INDEX('Cư dân'!$C$2:$C$2000,MATCH(C263,'Cư dân'!$A$2:$A$2000,0)),"Mã không tồn tại"))</f>
        <v/>
      </c>
      <c r="E263" s="6"/>
      <c r="F263" s="6"/>
      <c r="G263" s="6"/>
    </row>
    <row r="264" customFormat="false" ht="15" hidden="false" customHeight="true" outlineLevel="0" collapsed="false">
      <c r="A264" s="13"/>
      <c r="B264" s="6"/>
      <c r="C264" s="6"/>
      <c r="D264" s="11" t="str">
        <f aca="false">IF(C264="","",IFERROR(INDEX('Cư dân'!$C$2:$C$2000,MATCH(C264,'Cư dân'!$A$2:$A$2000,0)),"Mã không tồn tại"))</f>
        <v/>
      </c>
      <c r="E264" s="6"/>
      <c r="F264" s="6"/>
      <c r="G264" s="6"/>
    </row>
    <row r="265" customFormat="false" ht="15" hidden="false" customHeight="true" outlineLevel="0" collapsed="false">
      <c r="A265" s="13"/>
      <c r="B265" s="6"/>
      <c r="C265" s="6"/>
      <c r="D265" s="11" t="str">
        <f aca="false">IF(C265="","",IFERROR(INDEX('Cư dân'!$C$2:$C$2000,MATCH(C265,'Cư dân'!$A$2:$A$2000,0)),"Mã không tồn tại"))</f>
        <v/>
      </c>
      <c r="E265" s="6"/>
      <c r="F265" s="6"/>
      <c r="G265" s="6"/>
    </row>
    <row r="266" customFormat="false" ht="15" hidden="false" customHeight="true" outlineLevel="0" collapsed="false">
      <c r="A266" s="13"/>
      <c r="B266" s="6"/>
      <c r="C266" s="6"/>
      <c r="D266" s="11" t="str">
        <f aca="false">IF(C266="","",IFERROR(INDEX('Cư dân'!$C$2:$C$2000,MATCH(C266,'Cư dân'!$A$2:$A$2000,0)),"Mã không tồn tại"))</f>
        <v/>
      </c>
      <c r="E266" s="6"/>
      <c r="F266" s="6"/>
      <c r="G266" s="6"/>
    </row>
    <row r="267" customFormat="false" ht="15" hidden="false" customHeight="true" outlineLevel="0" collapsed="false">
      <c r="A267" s="13"/>
      <c r="B267" s="6"/>
      <c r="C267" s="6"/>
      <c r="D267" s="11" t="str">
        <f aca="false">IF(C267="","",IFERROR(INDEX('Cư dân'!$C$2:$C$2000,MATCH(C267,'Cư dân'!$A$2:$A$2000,0)),"Mã không tồn tại"))</f>
        <v/>
      </c>
      <c r="E267" s="6"/>
      <c r="F267" s="6"/>
      <c r="G267" s="6"/>
    </row>
    <row r="268" customFormat="false" ht="15" hidden="false" customHeight="true" outlineLevel="0" collapsed="false">
      <c r="A268" s="13"/>
      <c r="B268" s="6"/>
      <c r="C268" s="6"/>
      <c r="D268" s="11" t="str">
        <f aca="false">IF(C268="","",IFERROR(INDEX('Cư dân'!$C$2:$C$2000,MATCH(C268,'Cư dân'!$A$2:$A$2000,0)),"Mã không tồn tại"))</f>
        <v/>
      </c>
      <c r="E268" s="6"/>
      <c r="F268" s="6"/>
      <c r="G268" s="6"/>
    </row>
    <row r="269" customFormat="false" ht="15" hidden="false" customHeight="true" outlineLevel="0" collapsed="false">
      <c r="A269" s="13"/>
      <c r="B269" s="6"/>
      <c r="C269" s="6"/>
      <c r="D269" s="11" t="str">
        <f aca="false">IF(C269="","",IFERROR(INDEX('Cư dân'!$C$2:$C$2000,MATCH(C269,'Cư dân'!$A$2:$A$2000,0)),"Mã không tồn tại"))</f>
        <v/>
      </c>
      <c r="E269" s="6"/>
      <c r="F269" s="6"/>
      <c r="G269" s="6"/>
    </row>
    <row r="270" customFormat="false" ht="15" hidden="false" customHeight="true" outlineLevel="0" collapsed="false">
      <c r="A270" s="13"/>
      <c r="B270" s="6"/>
      <c r="C270" s="6"/>
      <c r="D270" s="11" t="str">
        <f aca="false">IF(C270="","",IFERROR(INDEX('Cư dân'!$C$2:$C$2000,MATCH(C270,'Cư dân'!$A$2:$A$2000,0)),"Mã không tồn tại"))</f>
        <v/>
      </c>
      <c r="E270" s="6"/>
      <c r="F270" s="6"/>
      <c r="G270" s="6"/>
    </row>
    <row r="271" customFormat="false" ht="15" hidden="false" customHeight="true" outlineLevel="0" collapsed="false">
      <c r="A271" s="13"/>
      <c r="B271" s="6"/>
      <c r="C271" s="6"/>
      <c r="D271" s="11" t="str">
        <f aca="false">IF(C271="","",IFERROR(INDEX('Cư dân'!$C$2:$C$2000,MATCH(C271,'Cư dân'!$A$2:$A$2000,0)),"Mã không tồn tại"))</f>
        <v/>
      </c>
      <c r="E271" s="6"/>
      <c r="F271" s="6"/>
      <c r="G271" s="6"/>
    </row>
    <row r="272" customFormat="false" ht="15" hidden="false" customHeight="true" outlineLevel="0" collapsed="false">
      <c r="A272" s="13"/>
      <c r="B272" s="6"/>
      <c r="C272" s="6"/>
      <c r="D272" s="11" t="str">
        <f aca="false">IF(C272="","",IFERROR(INDEX('Cư dân'!$C$2:$C$2000,MATCH(C272,'Cư dân'!$A$2:$A$2000,0)),"Mã không tồn tại"))</f>
        <v/>
      </c>
      <c r="E272" s="6"/>
      <c r="F272" s="6"/>
      <c r="G272" s="6"/>
    </row>
    <row r="273" customFormat="false" ht="15" hidden="false" customHeight="true" outlineLevel="0" collapsed="false">
      <c r="A273" s="13"/>
      <c r="B273" s="6"/>
      <c r="C273" s="6"/>
      <c r="D273" s="11" t="str">
        <f aca="false">IF(C273="","",IFERROR(INDEX('Cư dân'!$C$2:$C$2000,MATCH(C273,'Cư dân'!$A$2:$A$2000,0)),"Mã không tồn tại"))</f>
        <v/>
      </c>
      <c r="E273" s="6"/>
      <c r="F273" s="6"/>
      <c r="G273" s="6"/>
    </row>
    <row r="274" customFormat="false" ht="15" hidden="false" customHeight="true" outlineLevel="0" collapsed="false">
      <c r="A274" s="13"/>
      <c r="B274" s="6"/>
      <c r="C274" s="6"/>
      <c r="D274" s="11" t="str">
        <f aca="false">IF(C274="","",IFERROR(INDEX('Cư dân'!$C$2:$C$2000,MATCH(C274,'Cư dân'!$A$2:$A$2000,0)),"Mã không tồn tại"))</f>
        <v/>
      </c>
      <c r="E274" s="6"/>
      <c r="F274" s="6"/>
      <c r="G274" s="6"/>
    </row>
    <row r="275" customFormat="false" ht="15" hidden="false" customHeight="true" outlineLevel="0" collapsed="false">
      <c r="A275" s="13"/>
      <c r="B275" s="6"/>
      <c r="C275" s="6"/>
      <c r="D275" s="11" t="str">
        <f aca="false">IF(C275="","",IFERROR(INDEX('Cư dân'!$C$2:$C$2000,MATCH(C275,'Cư dân'!$A$2:$A$2000,0)),"Mã không tồn tại"))</f>
        <v/>
      </c>
      <c r="E275" s="6"/>
      <c r="F275" s="6"/>
      <c r="G275" s="6"/>
    </row>
    <row r="276" customFormat="false" ht="15" hidden="false" customHeight="true" outlineLevel="0" collapsed="false">
      <c r="A276" s="13"/>
      <c r="B276" s="6"/>
      <c r="C276" s="6"/>
      <c r="D276" s="11" t="str">
        <f aca="false">IF(C276="","",IFERROR(INDEX('Cư dân'!$C$2:$C$2000,MATCH(C276,'Cư dân'!$A$2:$A$2000,0)),"Mã không tồn tại"))</f>
        <v/>
      </c>
      <c r="E276" s="6"/>
      <c r="F276" s="6"/>
      <c r="G276" s="6"/>
    </row>
    <row r="277" customFormat="false" ht="15" hidden="false" customHeight="true" outlineLevel="0" collapsed="false">
      <c r="A277" s="13"/>
      <c r="B277" s="6"/>
      <c r="C277" s="6"/>
      <c r="D277" s="11" t="str">
        <f aca="false">IF(C277="","",IFERROR(INDEX('Cư dân'!$C$2:$C$2000,MATCH(C277,'Cư dân'!$A$2:$A$2000,0)),"Mã không tồn tại"))</f>
        <v/>
      </c>
      <c r="E277" s="6"/>
      <c r="F277" s="6"/>
      <c r="G277" s="6"/>
    </row>
    <row r="278" customFormat="false" ht="15" hidden="false" customHeight="true" outlineLevel="0" collapsed="false">
      <c r="A278" s="13"/>
      <c r="B278" s="6"/>
      <c r="C278" s="6"/>
      <c r="D278" s="11" t="str">
        <f aca="false">IF(C278="","",IFERROR(INDEX('Cư dân'!$C$2:$C$2000,MATCH(C278,'Cư dân'!$A$2:$A$2000,0)),"Mã không tồn tại"))</f>
        <v/>
      </c>
      <c r="E278" s="6"/>
      <c r="F278" s="6"/>
      <c r="G278" s="6"/>
    </row>
    <row r="279" customFormat="false" ht="15" hidden="false" customHeight="true" outlineLevel="0" collapsed="false">
      <c r="A279" s="13"/>
      <c r="B279" s="6"/>
      <c r="C279" s="6"/>
      <c r="D279" s="11" t="str">
        <f aca="false">IF(C279="","",IFERROR(INDEX('Cư dân'!$C$2:$C$2000,MATCH(C279,'Cư dân'!$A$2:$A$2000,0)),"Mã không tồn tại"))</f>
        <v/>
      </c>
      <c r="E279" s="6"/>
      <c r="F279" s="6"/>
      <c r="G279" s="6"/>
    </row>
    <row r="280" customFormat="false" ht="15" hidden="false" customHeight="true" outlineLevel="0" collapsed="false">
      <c r="A280" s="13"/>
      <c r="B280" s="6"/>
      <c r="C280" s="6"/>
      <c r="D280" s="11" t="str">
        <f aca="false">IF(C280="","",IFERROR(INDEX('Cư dân'!$C$2:$C$2000,MATCH(C280,'Cư dân'!$A$2:$A$2000,0)),"Mã không tồn tại"))</f>
        <v/>
      </c>
      <c r="E280" s="6"/>
      <c r="F280" s="6"/>
      <c r="G280" s="6"/>
    </row>
    <row r="281" customFormat="false" ht="15" hidden="false" customHeight="true" outlineLevel="0" collapsed="false">
      <c r="A281" s="13"/>
      <c r="B281" s="6"/>
      <c r="C281" s="6"/>
      <c r="D281" s="11" t="str">
        <f aca="false">IF(C281="","",IFERROR(INDEX('Cư dân'!$C$2:$C$2000,MATCH(C281,'Cư dân'!$A$2:$A$2000,0)),"Mã không tồn tại"))</f>
        <v/>
      </c>
      <c r="E281" s="6"/>
      <c r="F281" s="6"/>
      <c r="G281" s="6"/>
    </row>
    <row r="282" customFormat="false" ht="15" hidden="false" customHeight="true" outlineLevel="0" collapsed="false">
      <c r="A282" s="13"/>
      <c r="B282" s="6"/>
      <c r="C282" s="6"/>
      <c r="D282" s="11" t="str">
        <f aca="false">IF(C282="","",IFERROR(INDEX('Cư dân'!$C$2:$C$2000,MATCH(C282,'Cư dân'!$A$2:$A$2000,0)),"Mã không tồn tại"))</f>
        <v/>
      </c>
      <c r="E282" s="6"/>
      <c r="F282" s="6"/>
      <c r="G282" s="6"/>
    </row>
    <row r="283" customFormat="false" ht="15" hidden="false" customHeight="true" outlineLevel="0" collapsed="false">
      <c r="A283" s="13"/>
      <c r="B283" s="6"/>
      <c r="C283" s="6"/>
      <c r="D283" s="11" t="str">
        <f aca="false">IF(C283="","",IFERROR(INDEX('Cư dân'!$C$2:$C$2000,MATCH(C283,'Cư dân'!$A$2:$A$2000,0)),"Mã không tồn tại"))</f>
        <v/>
      </c>
      <c r="E283" s="6"/>
      <c r="F283" s="6"/>
      <c r="G283" s="6"/>
    </row>
    <row r="284" customFormat="false" ht="15" hidden="false" customHeight="true" outlineLevel="0" collapsed="false">
      <c r="A284" s="13"/>
      <c r="B284" s="6"/>
      <c r="C284" s="6"/>
      <c r="D284" s="11" t="str">
        <f aca="false">IF(C284="","",IFERROR(INDEX('Cư dân'!$C$2:$C$2000,MATCH(C284,'Cư dân'!$A$2:$A$2000,0)),"Mã không tồn tại"))</f>
        <v/>
      </c>
      <c r="E284" s="6"/>
      <c r="F284" s="6"/>
      <c r="G284" s="6"/>
    </row>
    <row r="285" customFormat="false" ht="15" hidden="false" customHeight="true" outlineLevel="0" collapsed="false">
      <c r="A285" s="13"/>
      <c r="B285" s="6"/>
      <c r="C285" s="6"/>
      <c r="D285" s="11" t="str">
        <f aca="false">IF(C285="","",IFERROR(INDEX('Cư dân'!$C$2:$C$2000,MATCH(C285,'Cư dân'!$A$2:$A$2000,0)),"Mã không tồn tại"))</f>
        <v/>
      </c>
      <c r="E285" s="6"/>
      <c r="F285" s="6"/>
      <c r="G285" s="6"/>
    </row>
    <row r="286" customFormat="false" ht="15" hidden="false" customHeight="true" outlineLevel="0" collapsed="false">
      <c r="A286" s="13"/>
      <c r="B286" s="6"/>
      <c r="C286" s="6"/>
      <c r="D286" s="11" t="str">
        <f aca="false">IF(C286="","",IFERROR(INDEX('Cư dân'!$C$2:$C$2000,MATCH(C286,'Cư dân'!$A$2:$A$2000,0)),"Mã không tồn tại"))</f>
        <v/>
      </c>
      <c r="E286" s="6"/>
      <c r="F286" s="6"/>
      <c r="G286" s="6"/>
    </row>
    <row r="287" customFormat="false" ht="15" hidden="false" customHeight="true" outlineLevel="0" collapsed="false">
      <c r="A287" s="13"/>
      <c r="B287" s="6"/>
      <c r="C287" s="6"/>
      <c r="D287" s="11" t="str">
        <f aca="false">IF(C287="","",IFERROR(INDEX('Cư dân'!$C$2:$C$2000,MATCH(C287,'Cư dân'!$A$2:$A$2000,0)),"Mã không tồn tại"))</f>
        <v/>
      </c>
      <c r="E287" s="6"/>
      <c r="F287" s="6"/>
      <c r="G287" s="6"/>
    </row>
    <row r="288" customFormat="false" ht="15" hidden="false" customHeight="true" outlineLevel="0" collapsed="false">
      <c r="A288" s="13"/>
      <c r="B288" s="6"/>
      <c r="C288" s="6"/>
      <c r="D288" s="11" t="str">
        <f aca="false">IF(C288="","",IFERROR(INDEX('Cư dân'!$C$2:$C$2000,MATCH(C288,'Cư dân'!$A$2:$A$2000,0)),"Mã không tồn tại"))</f>
        <v/>
      </c>
      <c r="E288" s="6"/>
      <c r="F288" s="6"/>
      <c r="G288" s="6"/>
    </row>
    <row r="289" customFormat="false" ht="15" hidden="false" customHeight="true" outlineLevel="0" collapsed="false">
      <c r="A289" s="13"/>
      <c r="B289" s="6"/>
      <c r="C289" s="6"/>
      <c r="D289" s="11" t="str">
        <f aca="false">IF(C289="","",IFERROR(INDEX('Cư dân'!$C$2:$C$2000,MATCH(C289,'Cư dân'!$A$2:$A$2000,0)),"Mã không tồn tại"))</f>
        <v/>
      </c>
      <c r="E289" s="6"/>
      <c r="F289" s="6"/>
      <c r="G289" s="6"/>
    </row>
    <row r="290" customFormat="false" ht="15" hidden="false" customHeight="true" outlineLevel="0" collapsed="false">
      <c r="A290" s="13"/>
      <c r="B290" s="6"/>
      <c r="C290" s="6"/>
      <c r="D290" s="11" t="str">
        <f aca="false">IF(C290="","",IFERROR(INDEX('Cư dân'!$C$2:$C$2000,MATCH(C290,'Cư dân'!$A$2:$A$2000,0)),"Mã không tồn tại"))</f>
        <v/>
      </c>
      <c r="E290" s="6"/>
      <c r="F290" s="6"/>
      <c r="G290" s="6"/>
    </row>
    <row r="291" customFormat="false" ht="15" hidden="false" customHeight="true" outlineLevel="0" collapsed="false">
      <c r="A291" s="13"/>
      <c r="B291" s="6"/>
      <c r="C291" s="6"/>
      <c r="D291" s="11" t="str">
        <f aca="false">IF(C291="","",IFERROR(INDEX('Cư dân'!$C$2:$C$2000,MATCH(C291,'Cư dân'!$A$2:$A$2000,0)),"Mã không tồn tại"))</f>
        <v/>
      </c>
      <c r="E291" s="6"/>
      <c r="F291" s="6"/>
      <c r="G291" s="6"/>
    </row>
    <row r="292" customFormat="false" ht="15" hidden="false" customHeight="true" outlineLevel="0" collapsed="false">
      <c r="A292" s="13"/>
      <c r="B292" s="6"/>
      <c r="C292" s="6"/>
      <c r="D292" s="11" t="str">
        <f aca="false">IF(C292="","",IFERROR(INDEX('Cư dân'!$C$2:$C$2000,MATCH(C292,'Cư dân'!$A$2:$A$2000,0)),"Mã không tồn tại"))</f>
        <v/>
      </c>
      <c r="E292" s="6"/>
      <c r="F292" s="6"/>
      <c r="G292" s="6"/>
    </row>
    <row r="293" customFormat="false" ht="15" hidden="false" customHeight="true" outlineLevel="0" collapsed="false">
      <c r="A293" s="13"/>
      <c r="B293" s="6"/>
      <c r="C293" s="6"/>
      <c r="D293" s="11" t="str">
        <f aca="false">IF(C293="","",IFERROR(INDEX('Cư dân'!$C$2:$C$2000,MATCH(C293,'Cư dân'!$A$2:$A$2000,0)),"Mã không tồn tại"))</f>
        <v/>
      </c>
      <c r="E293" s="6"/>
      <c r="F293" s="6"/>
      <c r="G293" s="6"/>
    </row>
    <row r="294" customFormat="false" ht="15" hidden="false" customHeight="true" outlineLevel="0" collapsed="false">
      <c r="A294" s="13"/>
      <c r="B294" s="6"/>
      <c r="C294" s="6"/>
      <c r="D294" s="11" t="str">
        <f aca="false">IF(C294="","",IFERROR(INDEX('Cư dân'!$C$2:$C$2000,MATCH(C294,'Cư dân'!$A$2:$A$2000,0)),"Mã không tồn tại"))</f>
        <v/>
      </c>
      <c r="E294" s="6"/>
      <c r="F294" s="6"/>
      <c r="G294" s="6"/>
    </row>
    <row r="295" customFormat="false" ht="15" hidden="false" customHeight="true" outlineLevel="0" collapsed="false">
      <c r="A295" s="13"/>
      <c r="B295" s="6"/>
      <c r="C295" s="6"/>
      <c r="D295" s="11" t="str">
        <f aca="false">IF(C295="","",IFERROR(INDEX('Cư dân'!$C$2:$C$2000,MATCH(C295,'Cư dân'!$A$2:$A$2000,0)),"Mã không tồn tại"))</f>
        <v/>
      </c>
      <c r="E295" s="6"/>
      <c r="F295" s="6"/>
      <c r="G295" s="6"/>
    </row>
    <row r="296" customFormat="false" ht="15" hidden="false" customHeight="true" outlineLevel="0" collapsed="false">
      <c r="A296" s="13"/>
      <c r="B296" s="6"/>
      <c r="C296" s="6"/>
      <c r="D296" s="11" t="str">
        <f aca="false">IF(C296="","",IFERROR(INDEX('Cư dân'!$C$2:$C$2000,MATCH(C296,'Cư dân'!$A$2:$A$2000,0)),"Mã không tồn tại"))</f>
        <v/>
      </c>
      <c r="E296" s="6"/>
      <c r="F296" s="6"/>
      <c r="G296" s="6"/>
    </row>
    <row r="297" customFormat="false" ht="15" hidden="false" customHeight="true" outlineLevel="0" collapsed="false">
      <c r="A297" s="13"/>
      <c r="B297" s="6"/>
      <c r="C297" s="6"/>
      <c r="D297" s="11" t="str">
        <f aca="false">IF(C297="","",IFERROR(INDEX('Cư dân'!$C$2:$C$2000,MATCH(C297,'Cư dân'!$A$2:$A$2000,0)),"Mã không tồn tại"))</f>
        <v/>
      </c>
      <c r="E297" s="6"/>
      <c r="F297" s="6"/>
      <c r="G297" s="6"/>
    </row>
    <row r="298" customFormat="false" ht="15" hidden="false" customHeight="true" outlineLevel="0" collapsed="false">
      <c r="A298" s="13"/>
      <c r="B298" s="6"/>
      <c r="C298" s="6"/>
      <c r="D298" s="11" t="str">
        <f aca="false">IF(C298="","",IFERROR(INDEX('Cư dân'!$C$2:$C$2000,MATCH(C298,'Cư dân'!$A$2:$A$2000,0)),"Mã không tồn tại"))</f>
        <v/>
      </c>
      <c r="E298" s="6"/>
      <c r="F298" s="6"/>
      <c r="G298" s="6"/>
    </row>
    <row r="299" customFormat="false" ht="15" hidden="false" customHeight="true" outlineLevel="0" collapsed="false">
      <c r="A299" s="13"/>
      <c r="B299" s="6"/>
      <c r="C299" s="6"/>
      <c r="D299" s="11" t="str">
        <f aca="false">IF(C299="","",IFERROR(INDEX('Cư dân'!$C$2:$C$2000,MATCH(C299,'Cư dân'!$A$2:$A$2000,0)),"Mã không tồn tại"))</f>
        <v/>
      </c>
      <c r="E299" s="6"/>
      <c r="F299" s="6"/>
      <c r="G299" s="6"/>
    </row>
    <row r="300" customFormat="false" ht="15" hidden="false" customHeight="true" outlineLevel="0" collapsed="false">
      <c r="A300" s="13"/>
      <c r="B300" s="6"/>
      <c r="C300" s="6"/>
      <c r="D300" s="11" t="str">
        <f aca="false">IF(C300="","",IFERROR(INDEX('Cư dân'!$C$2:$C$2000,MATCH(C300,'Cư dân'!$A$2:$A$2000,0)),"Mã không tồn tại"))</f>
        <v/>
      </c>
      <c r="E300" s="6"/>
      <c r="F300" s="6"/>
      <c r="G300" s="6"/>
    </row>
    <row r="301" customFormat="false" ht="15" hidden="false" customHeight="true" outlineLevel="0" collapsed="false">
      <c r="A301" s="13"/>
      <c r="B301" s="6"/>
      <c r="C301" s="6"/>
      <c r="D301" s="11" t="str">
        <f aca="false">IF(C301="","",IFERROR(INDEX('Cư dân'!$C$2:$C$2000,MATCH(C301,'Cư dân'!$A$2:$A$2000,0)),"Mã không tồn tại"))</f>
        <v/>
      </c>
      <c r="E301" s="6"/>
      <c r="F301" s="6"/>
      <c r="G301" s="6"/>
    </row>
    <row r="302" customFormat="false" ht="15" hidden="false" customHeight="true" outlineLevel="0" collapsed="false">
      <c r="A302" s="13"/>
      <c r="B302" s="6"/>
      <c r="C302" s="6"/>
      <c r="D302" s="11" t="str">
        <f aca="false">IF(C302="","",IFERROR(INDEX('Cư dân'!$C$2:$C$2000,MATCH(C302,'Cư dân'!$A$2:$A$2000,0)),"Mã không tồn tại"))</f>
        <v/>
      </c>
      <c r="E302" s="6"/>
      <c r="F302" s="6"/>
      <c r="G302" s="6"/>
    </row>
    <row r="303" customFormat="false" ht="15" hidden="false" customHeight="true" outlineLevel="0" collapsed="false">
      <c r="A303" s="13"/>
      <c r="B303" s="6"/>
      <c r="C303" s="6"/>
      <c r="D303" s="11" t="str">
        <f aca="false">IF(C303="","",IFERROR(INDEX('Cư dân'!$C$2:$C$2000,MATCH(C303,'Cư dân'!$A$2:$A$2000,0)),"Mã không tồn tại"))</f>
        <v/>
      </c>
      <c r="E303" s="6"/>
      <c r="F303" s="6"/>
      <c r="G303" s="6"/>
    </row>
    <row r="304" customFormat="false" ht="15" hidden="false" customHeight="true" outlineLevel="0" collapsed="false">
      <c r="A304" s="13"/>
      <c r="B304" s="6"/>
      <c r="C304" s="6"/>
      <c r="D304" s="11" t="str">
        <f aca="false">IF(C304="","",IFERROR(INDEX('Cư dân'!$C$2:$C$2000,MATCH(C304,'Cư dân'!$A$2:$A$2000,0)),"Mã không tồn tại"))</f>
        <v/>
      </c>
      <c r="E304" s="6"/>
      <c r="F304" s="6"/>
      <c r="G304" s="6"/>
    </row>
    <row r="305" customFormat="false" ht="15" hidden="false" customHeight="true" outlineLevel="0" collapsed="false">
      <c r="A305" s="13"/>
      <c r="B305" s="6"/>
      <c r="C305" s="6"/>
      <c r="D305" s="11" t="str">
        <f aca="false">IF(C305="","",IFERROR(INDEX('Cư dân'!$C$2:$C$2000,MATCH(C305,'Cư dân'!$A$2:$A$2000,0)),"Mã không tồn tại"))</f>
        <v/>
      </c>
      <c r="E305" s="6"/>
      <c r="F305" s="6"/>
      <c r="G305" s="6"/>
    </row>
    <row r="306" customFormat="false" ht="15" hidden="false" customHeight="true" outlineLevel="0" collapsed="false">
      <c r="A306" s="13"/>
      <c r="B306" s="6"/>
      <c r="C306" s="6"/>
      <c r="D306" s="11" t="str">
        <f aca="false">IF(C306="","",IFERROR(INDEX('Cư dân'!$C$2:$C$2000,MATCH(C306,'Cư dân'!$A$2:$A$2000,0)),"Mã không tồn tại"))</f>
        <v/>
      </c>
      <c r="E306" s="6"/>
      <c r="F306" s="6"/>
      <c r="G306" s="6"/>
    </row>
    <row r="307" customFormat="false" ht="15" hidden="false" customHeight="true" outlineLevel="0" collapsed="false">
      <c r="A307" s="13"/>
      <c r="B307" s="6"/>
      <c r="C307" s="6"/>
      <c r="D307" s="11" t="str">
        <f aca="false">IF(C307="","",IFERROR(INDEX('Cư dân'!$C$2:$C$2000,MATCH(C307,'Cư dân'!$A$2:$A$2000,0)),"Mã không tồn tại"))</f>
        <v/>
      </c>
      <c r="E307" s="6"/>
      <c r="F307" s="6"/>
      <c r="G307" s="6"/>
    </row>
    <row r="308" customFormat="false" ht="15" hidden="false" customHeight="true" outlineLevel="0" collapsed="false">
      <c r="A308" s="13"/>
      <c r="B308" s="6"/>
      <c r="C308" s="6"/>
      <c r="D308" s="11" t="str">
        <f aca="false">IF(C308="","",IFERROR(INDEX('Cư dân'!$C$2:$C$2000,MATCH(C308,'Cư dân'!$A$2:$A$2000,0)),"Mã không tồn tại"))</f>
        <v/>
      </c>
      <c r="E308" s="6"/>
      <c r="F308" s="6"/>
      <c r="G308" s="6"/>
    </row>
    <row r="309" customFormat="false" ht="15" hidden="false" customHeight="true" outlineLevel="0" collapsed="false">
      <c r="A309" s="13"/>
      <c r="B309" s="6"/>
      <c r="C309" s="6"/>
      <c r="D309" s="11" t="str">
        <f aca="false">IF(C309="","",IFERROR(INDEX('Cư dân'!$C$2:$C$2000,MATCH(C309,'Cư dân'!$A$2:$A$2000,0)),"Mã không tồn tại"))</f>
        <v/>
      </c>
      <c r="E309" s="6"/>
      <c r="F309" s="6"/>
      <c r="G309" s="6"/>
    </row>
    <row r="310" customFormat="false" ht="15" hidden="false" customHeight="true" outlineLevel="0" collapsed="false">
      <c r="A310" s="13"/>
      <c r="B310" s="6"/>
      <c r="C310" s="6"/>
      <c r="D310" s="11" t="str">
        <f aca="false">IF(C310="","",IFERROR(INDEX('Cư dân'!$C$2:$C$2000,MATCH(C310,'Cư dân'!$A$2:$A$2000,0)),"Mã không tồn tại"))</f>
        <v/>
      </c>
      <c r="E310" s="6"/>
      <c r="F310" s="6"/>
      <c r="G310" s="6"/>
    </row>
    <row r="311" customFormat="false" ht="15" hidden="false" customHeight="true" outlineLevel="0" collapsed="false">
      <c r="A311" s="13"/>
      <c r="B311" s="6"/>
      <c r="C311" s="6"/>
      <c r="D311" s="11" t="str">
        <f aca="false">IF(C311="","",IFERROR(INDEX('Cư dân'!$C$2:$C$2000,MATCH(C311,'Cư dân'!$A$2:$A$2000,0)),"Mã không tồn tại"))</f>
        <v/>
      </c>
      <c r="E311" s="6"/>
      <c r="F311" s="6"/>
      <c r="G311" s="6"/>
    </row>
    <row r="312" customFormat="false" ht="15" hidden="false" customHeight="true" outlineLevel="0" collapsed="false">
      <c r="A312" s="13"/>
      <c r="B312" s="6"/>
      <c r="C312" s="6"/>
      <c r="D312" s="11" t="str">
        <f aca="false">IF(C312="","",IFERROR(INDEX('Cư dân'!$C$2:$C$2000,MATCH(C312,'Cư dân'!$A$2:$A$2000,0)),"Mã không tồn tại"))</f>
        <v/>
      </c>
      <c r="E312" s="6"/>
      <c r="F312" s="6"/>
      <c r="G312" s="6"/>
    </row>
    <row r="313" customFormat="false" ht="15" hidden="false" customHeight="true" outlineLevel="0" collapsed="false">
      <c r="A313" s="13"/>
      <c r="B313" s="6"/>
      <c r="C313" s="6"/>
      <c r="D313" s="11" t="str">
        <f aca="false">IF(C313="","",IFERROR(INDEX('Cư dân'!$C$2:$C$2000,MATCH(C313,'Cư dân'!$A$2:$A$2000,0)),"Mã không tồn tại"))</f>
        <v/>
      </c>
      <c r="E313" s="6"/>
      <c r="F313" s="6"/>
      <c r="G313" s="6"/>
    </row>
    <row r="314" customFormat="false" ht="15" hidden="false" customHeight="true" outlineLevel="0" collapsed="false">
      <c r="A314" s="13"/>
      <c r="B314" s="6"/>
      <c r="C314" s="6"/>
      <c r="D314" s="11" t="str">
        <f aca="false">IF(C314="","",IFERROR(INDEX('Cư dân'!$C$2:$C$2000,MATCH(C314,'Cư dân'!$A$2:$A$2000,0)),"Mã không tồn tại"))</f>
        <v/>
      </c>
      <c r="E314" s="6"/>
      <c r="F314" s="6"/>
      <c r="G314" s="6"/>
    </row>
    <row r="315" customFormat="false" ht="15" hidden="false" customHeight="true" outlineLevel="0" collapsed="false">
      <c r="A315" s="13"/>
      <c r="B315" s="6"/>
      <c r="C315" s="6"/>
      <c r="D315" s="11" t="str">
        <f aca="false">IF(C315="","",IFERROR(INDEX('Cư dân'!$C$2:$C$2000,MATCH(C315,'Cư dân'!$A$2:$A$2000,0)),"Mã không tồn tại"))</f>
        <v/>
      </c>
      <c r="E315" s="6"/>
      <c r="F315" s="6"/>
      <c r="G315" s="6"/>
    </row>
    <row r="316" customFormat="false" ht="15" hidden="false" customHeight="true" outlineLevel="0" collapsed="false">
      <c r="A316" s="13"/>
      <c r="B316" s="6"/>
      <c r="C316" s="6"/>
      <c r="D316" s="11" t="str">
        <f aca="false">IF(C316="","",IFERROR(INDEX('Cư dân'!$C$2:$C$2000,MATCH(C316,'Cư dân'!$A$2:$A$2000,0)),"Mã không tồn tại"))</f>
        <v/>
      </c>
      <c r="E316" s="6"/>
      <c r="F316" s="6"/>
      <c r="G316" s="6"/>
    </row>
    <row r="317" customFormat="false" ht="15" hidden="false" customHeight="true" outlineLevel="0" collapsed="false">
      <c r="A317" s="13"/>
      <c r="B317" s="6"/>
      <c r="C317" s="6"/>
      <c r="D317" s="11" t="str">
        <f aca="false">IF(C317="","",IFERROR(INDEX('Cư dân'!$C$2:$C$2000,MATCH(C317,'Cư dân'!$A$2:$A$2000,0)),"Mã không tồn tại"))</f>
        <v/>
      </c>
      <c r="E317" s="6"/>
      <c r="F317" s="6"/>
      <c r="G317" s="6"/>
    </row>
    <row r="318" customFormat="false" ht="15" hidden="false" customHeight="true" outlineLevel="0" collapsed="false">
      <c r="A318" s="13"/>
      <c r="B318" s="6"/>
      <c r="C318" s="6"/>
      <c r="D318" s="11" t="str">
        <f aca="false">IF(C318="","",IFERROR(INDEX('Cư dân'!$C$2:$C$2000,MATCH(C318,'Cư dân'!$A$2:$A$2000,0)),"Mã không tồn tại"))</f>
        <v/>
      </c>
      <c r="E318" s="6"/>
      <c r="F318" s="6"/>
      <c r="G318" s="6"/>
    </row>
    <row r="319" customFormat="false" ht="15" hidden="false" customHeight="true" outlineLevel="0" collapsed="false">
      <c r="A319" s="13"/>
      <c r="B319" s="6"/>
      <c r="C319" s="6"/>
      <c r="D319" s="11" t="str">
        <f aca="false">IF(C319="","",IFERROR(INDEX('Cư dân'!$C$2:$C$2000,MATCH(C319,'Cư dân'!$A$2:$A$2000,0)),"Mã không tồn tại"))</f>
        <v/>
      </c>
      <c r="E319" s="6"/>
      <c r="F319" s="6"/>
      <c r="G319" s="6"/>
    </row>
    <row r="320" customFormat="false" ht="15" hidden="false" customHeight="true" outlineLevel="0" collapsed="false">
      <c r="A320" s="13"/>
      <c r="B320" s="6"/>
      <c r="C320" s="6"/>
      <c r="D320" s="11" t="str">
        <f aca="false">IF(C320="","",IFERROR(INDEX('Cư dân'!$C$2:$C$2000,MATCH(C320,'Cư dân'!$A$2:$A$2000,0)),"Mã không tồn tại"))</f>
        <v/>
      </c>
      <c r="E320" s="6"/>
      <c r="F320" s="6"/>
      <c r="G320" s="6"/>
    </row>
    <row r="321" customFormat="false" ht="15" hidden="false" customHeight="true" outlineLevel="0" collapsed="false">
      <c r="A321" s="13"/>
      <c r="B321" s="6"/>
      <c r="C321" s="6"/>
      <c r="D321" s="11" t="str">
        <f aca="false">IF(C321="","",IFERROR(INDEX('Cư dân'!$C$2:$C$2000,MATCH(C321,'Cư dân'!$A$2:$A$2000,0)),"Mã không tồn tại"))</f>
        <v/>
      </c>
      <c r="E321" s="6"/>
      <c r="F321" s="6"/>
      <c r="G321" s="6"/>
    </row>
    <row r="322" customFormat="false" ht="15" hidden="false" customHeight="true" outlineLevel="0" collapsed="false">
      <c r="A322" s="13"/>
      <c r="B322" s="6"/>
      <c r="C322" s="6"/>
      <c r="D322" s="11" t="str">
        <f aca="false">IF(C322="","",IFERROR(INDEX('Cư dân'!$C$2:$C$2000,MATCH(C322,'Cư dân'!$A$2:$A$2000,0)),"Mã không tồn tại"))</f>
        <v/>
      </c>
      <c r="E322" s="6"/>
      <c r="F322" s="6"/>
      <c r="G322" s="6"/>
    </row>
    <row r="323" customFormat="false" ht="15" hidden="false" customHeight="true" outlineLevel="0" collapsed="false">
      <c r="A323" s="13"/>
      <c r="B323" s="6"/>
      <c r="C323" s="6"/>
      <c r="D323" s="11" t="str">
        <f aca="false">IF(C323="","",IFERROR(INDEX('Cư dân'!$C$2:$C$2000,MATCH(C323,'Cư dân'!$A$2:$A$2000,0)),"Mã không tồn tại"))</f>
        <v/>
      </c>
      <c r="E323" s="6"/>
      <c r="F323" s="6"/>
      <c r="G323" s="6"/>
    </row>
    <row r="324" customFormat="false" ht="15" hidden="false" customHeight="true" outlineLevel="0" collapsed="false">
      <c r="A324" s="13"/>
      <c r="B324" s="6"/>
      <c r="C324" s="6"/>
      <c r="D324" s="11" t="str">
        <f aca="false">IF(C324="","",IFERROR(INDEX('Cư dân'!$C$2:$C$2000,MATCH(C324,'Cư dân'!$A$2:$A$2000,0)),"Mã không tồn tại"))</f>
        <v/>
      </c>
      <c r="E324" s="6"/>
      <c r="F324" s="6"/>
      <c r="G324" s="6"/>
    </row>
    <row r="325" customFormat="false" ht="15" hidden="false" customHeight="true" outlineLevel="0" collapsed="false">
      <c r="A325" s="13"/>
      <c r="B325" s="6"/>
      <c r="C325" s="6"/>
      <c r="D325" s="11" t="str">
        <f aca="false">IF(C325="","",IFERROR(INDEX('Cư dân'!$C$2:$C$2000,MATCH(C325,'Cư dân'!$A$2:$A$2000,0)),"Mã không tồn tại"))</f>
        <v/>
      </c>
      <c r="E325" s="6"/>
      <c r="F325" s="6"/>
      <c r="G325" s="6"/>
    </row>
    <row r="326" customFormat="false" ht="15" hidden="false" customHeight="true" outlineLevel="0" collapsed="false">
      <c r="A326" s="13"/>
      <c r="B326" s="6"/>
      <c r="C326" s="6"/>
      <c r="D326" s="11" t="str">
        <f aca="false">IF(C326="","",IFERROR(INDEX('Cư dân'!$C$2:$C$2000,MATCH(C326,'Cư dân'!$A$2:$A$2000,0)),"Mã không tồn tại"))</f>
        <v/>
      </c>
      <c r="E326" s="6"/>
      <c r="F326" s="6"/>
      <c r="G326" s="6"/>
    </row>
    <row r="327" customFormat="false" ht="15" hidden="false" customHeight="true" outlineLevel="0" collapsed="false">
      <c r="A327" s="13"/>
      <c r="B327" s="6"/>
      <c r="C327" s="6"/>
      <c r="D327" s="11" t="str">
        <f aca="false">IF(C327="","",IFERROR(INDEX('Cư dân'!$C$2:$C$2000,MATCH(C327,'Cư dân'!$A$2:$A$2000,0)),"Mã không tồn tại"))</f>
        <v/>
      </c>
      <c r="E327" s="6"/>
      <c r="F327" s="6"/>
      <c r="G327" s="6"/>
    </row>
    <row r="328" customFormat="false" ht="15" hidden="false" customHeight="true" outlineLevel="0" collapsed="false">
      <c r="A328" s="13"/>
      <c r="B328" s="6"/>
      <c r="C328" s="6"/>
      <c r="D328" s="11" t="str">
        <f aca="false">IF(C328="","",IFERROR(INDEX('Cư dân'!$C$2:$C$2000,MATCH(C328,'Cư dân'!$A$2:$A$2000,0)),"Mã không tồn tại"))</f>
        <v/>
      </c>
      <c r="E328" s="6"/>
      <c r="F328" s="6"/>
      <c r="G328" s="6"/>
    </row>
    <row r="329" customFormat="false" ht="15" hidden="false" customHeight="true" outlineLevel="0" collapsed="false">
      <c r="A329" s="13"/>
      <c r="B329" s="6"/>
      <c r="C329" s="6"/>
      <c r="D329" s="11" t="str">
        <f aca="false">IF(C329="","",IFERROR(INDEX('Cư dân'!$C$2:$C$2000,MATCH(C329,'Cư dân'!$A$2:$A$2000,0)),"Mã không tồn tại"))</f>
        <v/>
      </c>
      <c r="E329" s="6"/>
      <c r="F329" s="6"/>
      <c r="G329" s="6"/>
    </row>
    <row r="330" customFormat="false" ht="15" hidden="false" customHeight="true" outlineLevel="0" collapsed="false">
      <c r="A330" s="13"/>
      <c r="B330" s="6"/>
      <c r="C330" s="6"/>
      <c r="D330" s="11" t="str">
        <f aca="false">IF(C330="","",IFERROR(INDEX('Cư dân'!$C$2:$C$2000,MATCH(C330,'Cư dân'!$A$2:$A$2000,0)),"Mã không tồn tại"))</f>
        <v/>
      </c>
      <c r="E330" s="6"/>
      <c r="F330" s="6"/>
      <c r="G330" s="6"/>
    </row>
    <row r="331" customFormat="false" ht="15" hidden="false" customHeight="true" outlineLevel="0" collapsed="false">
      <c r="A331" s="13"/>
      <c r="B331" s="6"/>
      <c r="C331" s="6"/>
      <c r="D331" s="11" t="str">
        <f aca="false">IF(C331="","",IFERROR(INDEX('Cư dân'!$C$2:$C$2000,MATCH(C331,'Cư dân'!$A$2:$A$2000,0)),"Mã không tồn tại"))</f>
        <v/>
      </c>
      <c r="E331" s="6"/>
      <c r="F331" s="6"/>
      <c r="G331" s="6"/>
    </row>
    <row r="332" customFormat="false" ht="15" hidden="false" customHeight="true" outlineLevel="0" collapsed="false">
      <c r="A332" s="13"/>
      <c r="B332" s="6"/>
      <c r="C332" s="6"/>
      <c r="D332" s="11" t="str">
        <f aca="false">IF(C332="","",IFERROR(INDEX('Cư dân'!$C$2:$C$2000,MATCH(C332,'Cư dân'!$A$2:$A$2000,0)),"Mã không tồn tại"))</f>
        <v/>
      </c>
      <c r="E332" s="6"/>
      <c r="F332" s="6"/>
      <c r="G332" s="6"/>
    </row>
    <row r="333" customFormat="false" ht="15" hidden="false" customHeight="true" outlineLevel="0" collapsed="false">
      <c r="A333" s="13"/>
      <c r="B333" s="6"/>
      <c r="C333" s="6"/>
      <c r="D333" s="11" t="str">
        <f aca="false">IF(C333="","",IFERROR(INDEX('Cư dân'!$C$2:$C$2000,MATCH(C333,'Cư dân'!$A$2:$A$2000,0)),"Mã không tồn tại"))</f>
        <v/>
      </c>
      <c r="E333" s="6"/>
      <c r="F333" s="6"/>
      <c r="G333" s="6"/>
    </row>
    <row r="334" customFormat="false" ht="15" hidden="false" customHeight="true" outlineLevel="0" collapsed="false">
      <c r="A334" s="13"/>
      <c r="B334" s="6"/>
      <c r="C334" s="6"/>
      <c r="D334" s="11" t="str">
        <f aca="false">IF(C334="","",IFERROR(INDEX('Cư dân'!$C$2:$C$2000,MATCH(C334,'Cư dân'!$A$2:$A$2000,0)),"Mã không tồn tại"))</f>
        <v/>
      </c>
      <c r="E334" s="6"/>
      <c r="F334" s="6"/>
      <c r="G334" s="6"/>
    </row>
    <row r="335" customFormat="false" ht="15" hidden="false" customHeight="true" outlineLevel="0" collapsed="false">
      <c r="A335" s="13"/>
      <c r="B335" s="6"/>
      <c r="C335" s="6"/>
      <c r="D335" s="11" t="str">
        <f aca="false">IF(C335="","",IFERROR(INDEX('Cư dân'!$C$2:$C$2000,MATCH(C335,'Cư dân'!$A$2:$A$2000,0)),"Mã không tồn tại"))</f>
        <v/>
      </c>
      <c r="E335" s="6"/>
      <c r="F335" s="6"/>
      <c r="G335" s="6"/>
    </row>
    <row r="336" customFormat="false" ht="15" hidden="false" customHeight="true" outlineLevel="0" collapsed="false">
      <c r="A336" s="13"/>
      <c r="B336" s="6"/>
      <c r="C336" s="6"/>
      <c r="D336" s="11" t="str">
        <f aca="false">IF(C336="","",IFERROR(INDEX('Cư dân'!$C$2:$C$2000,MATCH(C336,'Cư dân'!$A$2:$A$2000,0)),"Mã không tồn tại"))</f>
        <v/>
      </c>
      <c r="E336" s="6"/>
      <c r="F336" s="6"/>
      <c r="G336" s="6"/>
    </row>
    <row r="337" customFormat="false" ht="15" hidden="false" customHeight="true" outlineLevel="0" collapsed="false">
      <c r="A337" s="13"/>
      <c r="B337" s="6"/>
      <c r="C337" s="6"/>
      <c r="D337" s="11" t="str">
        <f aca="false">IF(C337="","",IFERROR(INDEX('Cư dân'!$C$2:$C$2000,MATCH(C337,'Cư dân'!$A$2:$A$2000,0)),"Mã không tồn tại"))</f>
        <v/>
      </c>
      <c r="E337" s="6"/>
      <c r="F337" s="6"/>
      <c r="G337" s="6"/>
    </row>
    <row r="338" customFormat="false" ht="15" hidden="false" customHeight="true" outlineLevel="0" collapsed="false">
      <c r="A338" s="13"/>
      <c r="B338" s="6"/>
      <c r="C338" s="6"/>
      <c r="D338" s="11" t="str">
        <f aca="false">IF(C338="","",IFERROR(INDEX('Cư dân'!$C$2:$C$2000,MATCH(C338,'Cư dân'!$A$2:$A$2000,0)),"Mã không tồn tại"))</f>
        <v/>
      </c>
      <c r="E338" s="6"/>
      <c r="F338" s="6"/>
      <c r="G338" s="6"/>
    </row>
    <row r="339" customFormat="false" ht="15" hidden="false" customHeight="true" outlineLevel="0" collapsed="false">
      <c r="A339" s="13"/>
      <c r="B339" s="6"/>
      <c r="C339" s="6"/>
      <c r="D339" s="11" t="str">
        <f aca="false">IF(C339="","",IFERROR(INDEX('Cư dân'!$C$2:$C$2000,MATCH(C339,'Cư dân'!$A$2:$A$2000,0)),"Mã không tồn tại"))</f>
        <v/>
      </c>
      <c r="E339" s="6"/>
      <c r="F339" s="6"/>
      <c r="G339" s="6"/>
    </row>
    <row r="340" customFormat="false" ht="15" hidden="false" customHeight="true" outlineLevel="0" collapsed="false">
      <c r="A340" s="13"/>
      <c r="B340" s="6"/>
      <c r="C340" s="6"/>
      <c r="D340" s="11" t="str">
        <f aca="false">IF(C340="","",IFERROR(INDEX('Cư dân'!$C$2:$C$2000,MATCH(C340,'Cư dân'!$A$2:$A$2000,0)),"Mã không tồn tại"))</f>
        <v/>
      </c>
      <c r="E340" s="6"/>
      <c r="F340" s="6"/>
      <c r="G340" s="6"/>
    </row>
    <row r="341" customFormat="false" ht="15" hidden="false" customHeight="true" outlineLevel="0" collapsed="false">
      <c r="A341" s="13"/>
      <c r="B341" s="6"/>
      <c r="C341" s="6"/>
      <c r="D341" s="11" t="str">
        <f aca="false">IF(C341="","",IFERROR(INDEX('Cư dân'!$C$2:$C$2000,MATCH(C341,'Cư dân'!$A$2:$A$2000,0)),"Mã không tồn tại"))</f>
        <v/>
      </c>
      <c r="E341" s="6"/>
      <c r="F341" s="6"/>
      <c r="G341" s="6"/>
    </row>
    <row r="342" customFormat="false" ht="15" hidden="false" customHeight="true" outlineLevel="0" collapsed="false">
      <c r="A342" s="13"/>
      <c r="B342" s="6"/>
      <c r="C342" s="6"/>
      <c r="D342" s="11" t="str">
        <f aca="false">IF(C342="","",IFERROR(INDEX('Cư dân'!$C$2:$C$2000,MATCH(C342,'Cư dân'!$A$2:$A$2000,0)),"Mã không tồn tại"))</f>
        <v/>
      </c>
      <c r="E342" s="6"/>
      <c r="F342" s="6"/>
      <c r="G342" s="6"/>
    </row>
    <row r="343" customFormat="false" ht="15" hidden="false" customHeight="true" outlineLevel="0" collapsed="false">
      <c r="A343" s="13"/>
      <c r="B343" s="6"/>
      <c r="C343" s="6"/>
      <c r="D343" s="11" t="str">
        <f aca="false">IF(C343="","",IFERROR(INDEX('Cư dân'!$C$2:$C$2000,MATCH(C343,'Cư dân'!$A$2:$A$2000,0)),"Mã không tồn tại"))</f>
        <v/>
      </c>
      <c r="E343" s="6"/>
      <c r="F343" s="6"/>
      <c r="G343" s="6"/>
    </row>
    <row r="344" customFormat="false" ht="15" hidden="false" customHeight="true" outlineLevel="0" collapsed="false">
      <c r="A344" s="13"/>
      <c r="B344" s="6"/>
      <c r="C344" s="6"/>
      <c r="D344" s="11" t="str">
        <f aca="false">IF(C344="","",IFERROR(INDEX('Cư dân'!$C$2:$C$2000,MATCH(C344,'Cư dân'!$A$2:$A$2000,0)),"Mã không tồn tại"))</f>
        <v/>
      </c>
      <c r="E344" s="6"/>
      <c r="F344" s="6"/>
      <c r="G344" s="6"/>
    </row>
    <row r="345" customFormat="false" ht="15" hidden="false" customHeight="true" outlineLevel="0" collapsed="false">
      <c r="A345" s="13"/>
      <c r="B345" s="6"/>
      <c r="C345" s="6"/>
      <c r="D345" s="11" t="str">
        <f aca="false">IF(C345="","",IFERROR(INDEX('Cư dân'!$C$2:$C$2000,MATCH(C345,'Cư dân'!$A$2:$A$2000,0)),"Mã không tồn tại"))</f>
        <v/>
      </c>
      <c r="E345" s="6"/>
      <c r="F345" s="6"/>
      <c r="G345" s="6"/>
    </row>
    <row r="346" customFormat="false" ht="15" hidden="false" customHeight="true" outlineLevel="0" collapsed="false">
      <c r="A346" s="13"/>
      <c r="B346" s="6"/>
      <c r="C346" s="6"/>
      <c r="D346" s="11" t="str">
        <f aca="false">IF(C346="","",IFERROR(INDEX('Cư dân'!$C$2:$C$2000,MATCH(C346,'Cư dân'!$A$2:$A$2000,0)),"Mã không tồn tại"))</f>
        <v/>
      </c>
      <c r="E346" s="6"/>
      <c r="F346" s="6"/>
      <c r="G346" s="6"/>
    </row>
    <row r="347" customFormat="false" ht="15" hidden="false" customHeight="true" outlineLevel="0" collapsed="false">
      <c r="A347" s="13"/>
      <c r="B347" s="6"/>
      <c r="C347" s="6"/>
      <c r="D347" s="11" t="str">
        <f aca="false">IF(C347="","",IFERROR(INDEX('Cư dân'!$C$2:$C$2000,MATCH(C347,'Cư dân'!$A$2:$A$2000,0)),"Mã không tồn tại"))</f>
        <v/>
      </c>
      <c r="E347" s="6"/>
      <c r="F347" s="6"/>
      <c r="G347" s="6"/>
    </row>
    <row r="348" customFormat="false" ht="15" hidden="false" customHeight="true" outlineLevel="0" collapsed="false">
      <c r="A348" s="13"/>
      <c r="B348" s="6"/>
      <c r="C348" s="6"/>
      <c r="D348" s="11" t="str">
        <f aca="false">IF(C348="","",IFERROR(INDEX('Cư dân'!$C$2:$C$2000,MATCH(C348,'Cư dân'!$A$2:$A$2000,0)),"Mã không tồn tại"))</f>
        <v/>
      </c>
      <c r="E348" s="6"/>
      <c r="F348" s="6"/>
      <c r="G348" s="6"/>
    </row>
    <row r="349" customFormat="false" ht="15" hidden="false" customHeight="true" outlineLevel="0" collapsed="false">
      <c r="A349" s="13"/>
      <c r="B349" s="6"/>
      <c r="C349" s="6"/>
      <c r="D349" s="11" t="str">
        <f aca="false">IF(C349="","",IFERROR(INDEX('Cư dân'!$C$2:$C$2000,MATCH(C349,'Cư dân'!$A$2:$A$2000,0)),"Mã không tồn tại"))</f>
        <v/>
      </c>
      <c r="E349" s="6"/>
      <c r="F349" s="6"/>
      <c r="G349" s="6"/>
    </row>
    <row r="350" customFormat="false" ht="15" hidden="false" customHeight="true" outlineLevel="0" collapsed="false">
      <c r="A350" s="13"/>
      <c r="B350" s="6"/>
      <c r="C350" s="6"/>
      <c r="D350" s="11" t="str">
        <f aca="false">IF(C350="","",IFERROR(INDEX('Cư dân'!$C$2:$C$2000,MATCH(C350,'Cư dân'!$A$2:$A$2000,0)),"Mã không tồn tại"))</f>
        <v/>
      </c>
      <c r="E350" s="6"/>
      <c r="F350" s="6"/>
      <c r="G350" s="6"/>
    </row>
    <row r="351" customFormat="false" ht="15" hidden="false" customHeight="true" outlineLevel="0" collapsed="false">
      <c r="A351" s="13"/>
      <c r="B351" s="6"/>
      <c r="C351" s="6"/>
      <c r="D351" s="11" t="str">
        <f aca="false">IF(C351="","",IFERROR(INDEX('Cư dân'!$C$2:$C$2000,MATCH(C351,'Cư dân'!$A$2:$A$2000,0)),"Mã không tồn tại"))</f>
        <v/>
      </c>
      <c r="E351" s="6"/>
      <c r="F351" s="6"/>
      <c r="G351" s="6"/>
    </row>
    <row r="352" customFormat="false" ht="15" hidden="false" customHeight="true" outlineLevel="0" collapsed="false">
      <c r="A352" s="13"/>
      <c r="B352" s="6"/>
      <c r="C352" s="6"/>
      <c r="D352" s="11" t="str">
        <f aca="false">IF(C352="","",IFERROR(INDEX('Cư dân'!$C$2:$C$2000,MATCH(C352,'Cư dân'!$A$2:$A$2000,0)),"Mã không tồn tại"))</f>
        <v/>
      </c>
      <c r="E352" s="6"/>
      <c r="F352" s="6"/>
      <c r="G352" s="6"/>
    </row>
    <row r="353" customFormat="false" ht="15" hidden="false" customHeight="true" outlineLevel="0" collapsed="false">
      <c r="A353" s="13"/>
      <c r="B353" s="6"/>
      <c r="C353" s="6"/>
      <c r="D353" s="11" t="str">
        <f aca="false">IF(C353="","",IFERROR(INDEX('Cư dân'!$C$2:$C$2000,MATCH(C353,'Cư dân'!$A$2:$A$2000,0)),"Mã không tồn tại"))</f>
        <v/>
      </c>
      <c r="E353" s="6"/>
      <c r="F353" s="6"/>
      <c r="G353" s="6"/>
    </row>
    <row r="354" customFormat="false" ht="15" hidden="false" customHeight="true" outlineLevel="0" collapsed="false">
      <c r="A354" s="13"/>
      <c r="B354" s="6"/>
      <c r="C354" s="6"/>
      <c r="D354" s="11" t="str">
        <f aca="false">IF(C354="","",IFERROR(INDEX('Cư dân'!$C$2:$C$2000,MATCH(C354,'Cư dân'!$A$2:$A$2000,0)),"Mã không tồn tại"))</f>
        <v/>
      </c>
      <c r="E354" s="6"/>
      <c r="F354" s="6"/>
      <c r="G354" s="6"/>
    </row>
    <row r="355" customFormat="false" ht="15" hidden="false" customHeight="true" outlineLevel="0" collapsed="false">
      <c r="A355" s="13"/>
      <c r="B355" s="6"/>
      <c r="C355" s="6"/>
      <c r="D355" s="11" t="str">
        <f aca="false">IF(C355="","",IFERROR(INDEX('Cư dân'!$C$2:$C$2000,MATCH(C355,'Cư dân'!$A$2:$A$2000,0)),"Mã không tồn tại"))</f>
        <v/>
      </c>
      <c r="E355" s="6"/>
      <c r="F355" s="6"/>
      <c r="G355" s="6"/>
    </row>
    <row r="356" customFormat="false" ht="15" hidden="false" customHeight="true" outlineLevel="0" collapsed="false">
      <c r="A356" s="13"/>
      <c r="B356" s="6"/>
      <c r="C356" s="6"/>
      <c r="D356" s="11" t="str">
        <f aca="false">IF(C356="","",IFERROR(INDEX('Cư dân'!$C$2:$C$2000,MATCH(C356,'Cư dân'!$A$2:$A$2000,0)),"Mã không tồn tại"))</f>
        <v/>
      </c>
      <c r="E356" s="6"/>
      <c r="F356" s="6"/>
      <c r="G356" s="6"/>
    </row>
    <row r="357" customFormat="false" ht="15" hidden="false" customHeight="true" outlineLevel="0" collapsed="false">
      <c r="A357" s="13"/>
      <c r="B357" s="6"/>
      <c r="C357" s="6"/>
      <c r="D357" s="11" t="str">
        <f aca="false">IF(C357="","",IFERROR(INDEX('Cư dân'!$C$2:$C$2000,MATCH(C357,'Cư dân'!$A$2:$A$2000,0)),"Mã không tồn tại"))</f>
        <v/>
      </c>
      <c r="E357" s="6"/>
      <c r="F357" s="6"/>
      <c r="G357" s="6"/>
    </row>
    <row r="358" customFormat="false" ht="15" hidden="false" customHeight="true" outlineLevel="0" collapsed="false">
      <c r="A358" s="13"/>
      <c r="B358" s="6"/>
      <c r="C358" s="6"/>
      <c r="D358" s="11" t="str">
        <f aca="false">IF(C358="","",IFERROR(INDEX('Cư dân'!$C$2:$C$2000,MATCH(C358,'Cư dân'!$A$2:$A$2000,0)),"Mã không tồn tại"))</f>
        <v/>
      </c>
      <c r="E358" s="6"/>
      <c r="F358" s="6"/>
      <c r="G358" s="6"/>
    </row>
    <row r="359" customFormat="false" ht="15" hidden="false" customHeight="true" outlineLevel="0" collapsed="false">
      <c r="A359" s="13"/>
      <c r="B359" s="6"/>
      <c r="C359" s="6"/>
      <c r="D359" s="11" t="str">
        <f aca="false">IF(C359="","",IFERROR(INDEX('Cư dân'!$C$2:$C$2000,MATCH(C359,'Cư dân'!$A$2:$A$2000,0)),"Mã không tồn tại"))</f>
        <v/>
      </c>
      <c r="E359" s="6"/>
      <c r="F359" s="6"/>
      <c r="G359" s="6"/>
    </row>
    <row r="360" customFormat="false" ht="15" hidden="false" customHeight="true" outlineLevel="0" collapsed="false">
      <c r="A360" s="13"/>
      <c r="B360" s="6"/>
      <c r="C360" s="6"/>
      <c r="D360" s="11" t="str">
        <f aca="false">IF(C360="","",IFERROR(INDEX('Cư dân'!$C$2:$C$2000,MATCH(C360,'Cư dân'!$A$2:$A$2000,0)),"Mã không tồn tại"))</f>
        <v/>
      </c>
      <c r="E360" s="6"/>
      <c r="F360" s="6"/>
      <c r="G360" s="6"/>
    </row>
    <row r="361" customFormat="false" ht="15" hidden="false" customHeight="true" outlineLevel="0" collapsed="false">
      <c r="A361" s="13"/>
      <c r="B361" s="6"/>
      <c r="C361" s="6"/>
      <c r="D361" s="11" t="str">
        <f aca="false">IF(C361="","",IFERROR(INDEX('Cư dân'!$C$2:$C$2000,MATCH(C361,'Cư dân'!$A$2:$A$2000,0)),"Mã không tồn tại"))</f>
        <v/>
      </c>
      <c r="E361" s="6"/>
      <c r="F361" s="6"/>
      <c r="G361" s="6"/>
    </row>
    <row r="362" customFormat="false" ht="15" hidden="false" customHeight="true" outlineLevel="0" collapsed="false">
      <c r="A362" s="13"/>
      <c r="B362" s="6"/>
      <c r="C362" s="6"/>
      <c r="D362" s="11" t="str">
        <f aca="false">IF(C362="","",IFERROR(INDEX('Cư dân'!$C$2:$C$2000,MATCH(C362,'Cư dân'!$A$2:$A$2000,0)),"Mã không tồn tại"))</f>
        <v/>
      </c>
      <c r="E362" s="6"/>
      <c r="F362" s="6"/>
      <c r="G362" s="6"/>
    </row>
    <row r="363" customFormat="false" ht="15" hidden="false" customHeight="true" outlineLevel="0" collapsed="false">
      <c r="A363" s="13"/>
      <c r="B363" s="6"/>
      <c r="C363" s="6"/>
      <c r="D363" s="11" t="str">
        <f aca="false">IF(C363="","",IFERROR(INDEX('Cư dân'!$C$2:$C$2000,MATCH(C363,'Cư dân'!$A$2:$A$2000,0)),"Mã không tồn tại"))</f>
        <v/>
      </c>
      <c r="E363" s="6"/>
      <c r="F363" s="6"/>
      <c r="G363" s="6"/>
    </row>
    <row r="364" customFormat="false" ht="15" hidden="false" customHeight="true" outlineLevel="0" collapsed="false">
      <c r="A364" s="13"/>
      <c r="B364" s="6"/>
      <c r="C364" s="6"/>
      <c r="D364" s="11" t="str">
        <f aca="false">IF(C364="","",IFERROR(INDEX('Cư dân'!$C$2:$C$2000,MATCH(C364,'Cư dân'!$A$2:$A$2000,0)),"Mã không tồn tại"))</f>
        <v/>
      </c>
      <c r="E364" s="6"/>
      <c r="F364" s="6"/>
      <c r="G364" s="6"/>
    </row>
    <row r="365" customFormat="false" ht="15" hidden="false" customHeight="true" outlineLevel="0" collapsed="false">
      <c r="A365" s="13"/>
      <c r="B365" s="6"/>
      <c r="C365" s="6"/>
      <c r="D365" s="11" t="str">
        <f aca="false">IF(C365="","",IFERROR(INDEX('Cư dân'!$C$2:$C$2000,MATCH(C365,'Cư dân'!$A$2:$A$2000,0)),"Mã không tồn tại"))</f>
        <v/>
      </c>
      <c r="E365" s="6"/>
      <c r="F365" s="6"/>
      <c r="G365" s="6"/>
    </row>
    <row r="366" customFormat="false" ht="15" hidden="false" customHeight="true" outlineLevel="0" collapsed="false">
      <c r="A366" s="13"/>
      <c r="B366" s="6"/>
      <c r="C366" s="6"/>
      <c r="D366" s="11" t="str">
        <f aca="false">IF(C366="","",IFERROR(INDEX('Cư dân'!$C$2:$C$2000,MATCH(C366,'Cư dân'!$A$2:$A$2000,0)),"Mã không tồn tại"))</f>
        <v/>
      </c>
      <c r="E366" s="6"/>
      <c r="F366" s="6"/>
      <c r="G366" s="6"/>
    </row>
    <row r="367" customFormat="false" ht="15" hidden="false" customHeight="true" outlineLevel="0" collapsed="false">
      <c r="A367" s="13"/>
      <c r="B367" s="6"/>
      <c r="C367" s="6"/>
      <c r="D367" s="11" t="str">
        <f aca="false">IF(C367="","",IFERROR(INDEX('Cư dân'!$C$2:$C$2000,MATCH(C367,'Cư dân'!$A$2:$A$2000,0)),"Mã không tồn tại"))</f>
        <v/>
      </c>
      <c r="E367" s="6"/>
      <c r="F367" s="6"/>
      <c r="G367" s="6"/>
    </row>
    <row r="368" customFormat="false" ht="15" hidden="false" customHeight="true" outlineLevel="0" collapsed="false">
      <c r="A368" s="13"/>
      <c r="B368" s="6"/>
      <c r="C368" s="6"/>
      <c r="D368" s="11" t="str">
        <f aca="false">IF(C368="","",IFERROR(INDEX('Cư dân'!$C$2:$C$2000,MATCH(C368,'Cư dân'!$A$2:$A$2000,0)),"Mã không tồn tại"))</f>
        <v/>
      </c>
      <c r="E368" s="6"/>
      <c r="F368" s="6"/>
      <c r="G368" s="6"/>
    </row>
    <row r="369" customFormat="false" ht="15" hidden="false" customHeight="true" outlineLevel="0" collapsed="false">
      <c r="A369" s="13"/>
      <c r="B369" s="6"/>
      <c r="C369" s="6"/>
      <c r="D369" s="11" t="str">
        <f aca="false">IF(C369="","",IFERROR(INDEX('Cư dân'!$C$2:$C$2000,MATCH(C369,'Cư dân'!$A$2:$A$2000,0)),"Mã không tồn tại"))</f>
        <v/>
      </c>
      <c r="E369" s="6"/>
      <c r="F369" s="6"/>
      <c r="G369" s="6"/>
    </row>
    <row r="370" customFormat="false" ht="15" hidden="false" customHeight="true" outlineLevel="0" collapsed="false">
      <c r="A370" s="13"/>
      <c r="B370" s="6"/>
      <c r="C370" s="6"/>
      <c r="D370" s="11" t="str">
        <f aca="false">IF(C370="","",IFERROR(INDEX('Cư dân'!$C$2:$C$2000,MATCH(C370,'Cư dân'!$A$2:$A$2000,0)),"Mã không tồn tại"))</f>
        <v/>
      </c>
      <c r="E370" s="6"/>
      <c r="F370" s="6"/>
      <c r="G370" s="6"/>
    </row>
    <row r="371" customFormat="false" ht="15" hidden="false" customHeight="true" outlineLevel="0" collapsed="false">
      <c r="A371" s="13"/>
      <c r="B371" s="6"/>
      <c r="C371" s="6"/>
      <c r="D371" s="11" t="str">
        <f aca="false">IF(C371="","",IFERROR(INDEX('Cư dân'!$C$2:$C$2000,MATCH(C371,'Cư dân'!$A$2:$A$2000,0)),"Mã không tồn tại"))</f>
        <v/>
      </c>
      <c r="E371" s="6"/>
      <c r="F371" s="6"/>
      <c r="G371" s="6"/>
    </row>
    <row r="372" customFormat="false" ht="15" hidden="false" customHeight="true" outlineLevel="0" collapsed="false">
      <c r="A372" s="13"/>
      <c r="B372" s="6"/>
      <c r="C372" s="6"/>
      <c r="D372" s="11" t="str">
        <f aca="false">IF(C372="","",IFERROR(INDEX('Cư dân'!$C$2:$C$2000,MATCH(C372,'Cư dân'!$A$2:$A$2000,0)),"Mã không tồn tại"))</f>
        <v/>
      </c>
      <c r="E372" s="6"/>
      <c r="F372" s="6"/>
      <c r="G372" s="6"/>
    </row>
    <row r="373" customFormat="false" ht="15" hidden="false" customHeight="true" outlineLevel="0" collapsed="false">
      <c r="A373" s="13"/>
      <c r="B373" s="6"/>
      <c r="C373" s="6"/>
      <c r="D373" s="11" t="str">
        <f aca="false">IF(C373="","",IFERROR(INDEX('Cư dân'!$C$2:$C$2000,MATCH(C373,'Cư dân'!$A$2:$A$2000,0)),"Mã không tồn tại"))</f>
        <v/>
      </c>
      <c r="E373" s="6"/>
      <c r="F373" s="6"/>
      <c r="G373" s="6"/>
    </row>
    <row r="374" customFormat="false" ht="15" hidden="false" customHeight="true" outlineLevel="0" collapsed="false">
      <c r="A374" s="13"/>
      <c r="B374" s="6"/>
      <c r="C374" s="6"/>
      <c r="D374" s="11" t="str">
        <f aca="false">IF(C374="","",IFERROR(INDEX('Cư dân'!$C$2:$C$2000,MATCH(C374,'Cư dân'!$A$2:$A$2000,0)),"Mã không tồn tại"))</f>
        <v/>
      </c>
      <c r="E374" s="6"/>
      <c r="F374" s="6"/>
      <c r="G374" s="6"/>
    </row>
    <row r="375" customFormat="false" ht="15" hidden="false" customHeight="true" outlineLevel="0" collapsed="false">
      <c r="A375" s="13"/>
      <c r="B375" s="6"/>
      <c r="C375" s="6"/>
      <c r="D375" s="11" t="str">
        <f aca="false">IF(C375="","",IFERROR(INDEX('Cư dân'!$C$2:$C$2000,MATCH(C375,'Cư dân'!$A$2:$A$2000,0)),"Mã không tồn tại"))</f>
        <v/>
      </c>
      <c r="E375" s="6"/>
      <c r="F375" s="6"/>
      <c r="G375" s="6"/>
    </row>
    <row r="376" customFormat="false" ht="15" hidden="false" customHeight="true" outlineLevel="0" collapsed="false">
      <c r="A376" s="13"/>
      <c r="B376" s="6"/>
      <c r="C376" s="6"/>
      <c r="D376" s="11" t="str">
        <f aca="false">IF(C376="","",IFERROR(INDEX('Cư dân'!$C$2:$C$2000,MATCH(C376,'Cư dân'!$A$2:$A$2000,0)),"Mã không tồn tại"))</f>
        <v/>
      </c>
      <c r="E376" s="6"/>
      <c r="F376" s="6"/>
      <c r="G376" s="6"/>
    </row>
    <row r="377" customFormat="false" ht="15" hidden="false" customHeight="true" outlineLevel="0" collapsed="false">
      <c r="A377" s="13"/>
      <c r="B377" s="6"/>
      <c r="C377" s="6"/>
      <c r="D377" s="11" t="str">
        <f aca="false">IF(C377="","",IFERROR(INDEX('Cư dân'!$C$2:$C$2000,MATCH(C377,'Cư dân'!$A$2:$A$2000,0)),"Mã không tồn tại"))</f>
        <v/>
      </c>
      <c r="E377" s="6"/>
      <c r="F377" s="6"/>
      <c r="G377" s="6"/>
    </row>
    <row r="378" customFormat="false" ht="15" hidden="false" customHeight="true" outlineLevel="0" collapsed="false">
      <c r="A378" s="13"/>
      <c r="B378" s="6"/>
      <c r="C378" s="6"/>
      <c r="D378" s="11" t="str">
        <f aca="false">IF(C378="","",IFERROR(INDEX('Cư dân'!$C$2:$C$2000,MATCH(C378,'Cư dân'!$A$2:$A$2000,0)),"Mã không tồn tại"))</f>
        <v/>
      </c>
      <c r="E378" s="6"/>
      <c r="F378" s="6"/>
      <c r="G378" s="6"/>
    </row>
    <row r="379" customFormat="false" ht="15" hidden="false" customHeight="true" outlineLevel="0" collapsed="false">
      <c r="A379" s="13"/>
      <c r="B379" s="6"/>
      <c r="C379" s="6"/>
      <c r="D379" s="11" t="str">
        <f aca="false">IF(C379="","",IFERROR(INDEX('Cư dân'!$C$2:$C$2000,MATCH(C379,'Cư dân'!$A$2:$A$2000,0)),"Mã không tồn tại"))</f>
        <v/>
      </c>
      <c r="E379" s="6"/>
      <c r="F379" s="6"/>
      <c r="G379" s="6"/>
    </row>
    <row r="380" customFormat="false" ht="15" hidden="false" customHeight="true" outlineLevel="0" collapsed="false">
      <c r="A380" s="13"/>
      <c r="B380" s="6"/>
      <c r="C380" s="6"/>
      <c r="D380" s="11" t="str">
        <f aca="false">IF(C380="","",IFERROR(INDEX('Cư dân'!$C$2:$C$2000,MATCH(C380,'Cư dân'!$A$2:$A$2000,0)),"Mã không tồn tại"))</f>
        <v/>
      </c>
      <c r="E380" s="6"/>
      <c r="F380" s="6"/>
      <c r="G380" s="6"/>
    </row>
    <row r="381" customFormat="false" ht="15" hidden="false" customHeight="true" outlineLevel="0" collapsed="false">
      <c r="A381" s="13"/>
      <c r="B381" s="6"/>
      <c r="C381" s="6"/>
      <c r="D381" s="11" t="str">
        <f aca="false">IF(C381="","",IFERROR(INDEX('Cư dân'!$C$2:$C$2000,MATCH(C381,'Cư dân'!$A$2:$A$2000,0)),"Mã không tồn tại"))</f>
        <v/>
      </c>
      <c r="E381" s="6"/>
      <c r="F381" s="6"/>
      <c r="G381" s="6"/>
    </row>
    <row r="382" customFormat="false" ht="15" hidden="false" customHeight="true" outlineLevel="0" collapsed="false">
      <c r="A382" s="13"/>
      <c r="B382" s="6"/>
      <c r="C382" s="6"/>
      <c r="D382" s="11" t="str">
        <f aca="false">IF(C382="","",IFERROR(INDEX('Cư dân'!$C$2:$C$2000,MATCH(C382,'Cư dân'!$A$2:$A$2000,0)),"Mã không tồn tại"))</f>
        <v/>
      </c>
      <c r="E382" s="6"/>
      <c r="F382" s="6"/>
      <c r="G382" s="6"/>
    </row>
    <row r="383" customFormat="false" ht="15" hidden="false" customHeight="true" outlineLevel="0" collapsed="false">
      <c r="A383" s="13"/>
      <c r="B383" s="6"/>
      <c r="C383" s="6"/>
      <c r="D383" s="11" t="str">
        <f aca="false">IF(C383="","",IFERROR(INDEX('Cư dân'!$C$2:$C$2000,MATCH(C383,'Cư dân'!$A$2:$A$2000,0)),"Mã không tồn tại"))</f>
        <v/>
      </c>
      <c r="E383" s="6"/>
      <c r="F383" s="6"/>
      <c r="G383" s="6"/>
    </row>
    <row r="384" customFormat="false" ht="15" hidden="false" customHeight="true" outlineLevel="0" collapsed="false">
      <c r="A384" s="13"/>
      <c r="B384" s="6"/>
      <c r="C384" s="6"/>
      <c r="D384" s="11" t="str">
        <f aca="false">IF(C384="","",IFERROR(INDEX('Cư dân'!$C$2:$C$2000,MATCH(C384,'Cư dân'!$A$2:$A$2000,0)),"Mã không tồn tại"))</f>
        <v/>
      </c>
      <c r="E384" s="6"/>
      <c r="F384" s="6"/>
      <c r="G384" s="6"/>
    </row>
    <row r="385" customFormat="false" ht="15" hidden="false" customHeight="true" outlineLevel="0" collapsed="false">
      <c r="A385" s="13"/>
      <c r="B385" s="6"/>
      <c r="C385" s="6"/>
      <c r="D385" s="11" t="str">
        <f aca="false">IF(C385="","",IFERROR(INDEX('Cư dân'!$C$2:$C$2000,MATCH(C385,'Cư dân'!$A$2:$A$2000,0)),"Mã không tồn tại"))</f>
        <v/>
      </c>
      <c r="E385" s="6"/>
      <c r="F385" s="6"/>
      <c r="G385" s="6"/>
    </row>
    <row r="386" customFormat="false" ht="15" hidden="false" customHeight="true" outlineLevel="0" collapsed="false">
      <c r="A386" s="13"/>
      <c r="B386" s="6"/>
      <c r="C386" s="6"/>
      <c r="D386" s="11" t="str">
        <f aca="false">IF(C386="","",IFERROR(INDEX('Cư dân'!$C$2:$C$2000,MATCH(C386,'Cư dân'!$A$2:$A$2000,0)),"Mã không tồn tại"))</f>
        <v/>
      </c>
      <c r="E386" s="6"/>
      <c r="F386" s="6"/>
      <c r="G386" s="6"/>
    </row>
    <row r="387" customFormat="false" ht="15" hidden="false" customHeight="true" outlineLevel="0" collapsed="false">
      <c r="A387" s="13"/>
      <c r="B387" s="6"/>
      <c r="C387" s="6"/>
      <c r="D387" s="11" t="str">
        <f aca="false">IF(C387="","",IFERROR(INDEX('Cư dân'!$C$2:$C$2000,MATCH(C387,'Cư dân'!$A$2:$A$2000,0)),"Mã không tồn tại"))</f>
        <v/>
      </c>
      <c r="E387" s="6"/>
      <c r="F387" s="6"/>
      <c r="G387" s="6"/>
    </row>
    <row r="388" customFormat="false" ht="15" hidden="false" customHeight="true" outlineLevel="0" collapsed="false">
      <c r="A388" s="13"/>
      <c r="B388" s="6"/>
      <c r="C388" s="6"/>
      <c r="D388" s="11" t="str">
        <f aca="false">IF(C388="","",IFERROR(INDEX('Cư dân'!$C$2:$C$2000,MATCH(C388,'Cư dân'!$A$2:$A$2000,0)),"Mã không tồn tại"))</f>
        <v/>
      </c>
      <c r="E388" s="6"/>
      <c r="F388" s="6"/>
      <c r="G388" s="6"/>
    </row>
    <row r="389" customFormat="false" ht="15" hidden="false" customHeight="true" outlineLevel="0" collapsed="false">
      <c r="A389" s="13"/>
      <c r="B389" s="6"/>
      <c r="C389" s="6"/>
      <c r="D389" s="11" t="str">
        <f aca="false">IF(C389="","",IFERROR(INDEX('Cư dân'!$C$2:$C$2000,MATCH(C389,'Cư dân'!$A$2:$A$2000,0)),"Mã không tồn tại"))</f>
        <v/>
      </c>
      <c r="E389" s="6"/>
      <c r="F389" s="6"/>
      <c r="G389" s="6"/>
    </row>
    <row r="390" customFormat="false" ht="15" hidden="false" customHeight="true" outlineLevel="0" collapsed="false">
      <c r="A390" s="13"/>
      <c r="B390" s="6"/>
      <c r="C390" s="6"/>
      <c r="D390" s="11" t="str">
        <f aca="false">IF(C390="","",IFERROR(INDEX('Cư dân'!$C$2:$C$2000,MATCH(C390,'Cư dân'!$A$2:$A$2000,0)),"Mã không tồn tại"))</f>
        <v/>
      </c>
      <c r="E390" s="6"/>
      <c r="F390" s="6"/>
      <c r="G390" s="6"/>
    </row>
    <row r="391" customFormat="false" ht="15" hidden="false" customHeight="true" outlineLevel="0" collapsed="false">
      <c r="A391" s="13"/>
      <c r="B391" s="6"/>
      <c r="C391" s="6"/>
      <c r="D391" s="11" t="str">
        <f aca="false">IF(C391="","",IFERROR(INDEX('Cư dân'!$C$2:$C$2000,MATCH(C391,'Cư dân'!$A$2:$A$2000,0)),"Mã không tồn tại"))</f>
        <v/>
      </c>
      <c r="E391" s="6"/>
      <c r="F391" s="6"/>
      <c r="G391" s="6"/>
    </row>
    <row r="392" customFormat="false" ht="15" hidden="false" customHeight="true" outlineLevel="0" collapsed="false">
      <c r="A392" s="13"/>
      <c r="B392" s="6"/>
      <c r="C392" s="6"/>
      <c r="D392" s="11" t="str">
        <f aca="false">IF(C392="","",IFERROR(INDEX('Cư dân'!$C$2:$C$2000,MATCH(C392,'Cư dân'!$A$2:$A$2000,0)),"Mã không tồn tại"))</f>
        <v/>
      </c>
      <c r="E392" s="6"/>
      <c r="F392" s="6"/>
      <c r="G392" s="6"/>
    </row>
    <row r="393" customFormat="false" ht="15" hidden="false" customHeight="true" outlineLevel="0" collapsed="false">
      <c r="A393" s="13"/>
      <c r="B393" s="6"/>
      <c r="C393" s="6"/>
      <c r="D393" s="11" t="str">
        <f aca="false">IF(C393="","",IFERROR(INDEX('Cư dân'!$C$2:$C$2000,MATCH(C393,'Cư dân'!$A$2:$A$2000,0)),"Mã không tồn tại"))</f>
        <v/>
      </c>
      <c r="E393" s="6"/>
      <c r="F393" s="6"/>
      <c r="G393" s="6"/>
    </row>
    <row r="394" customFormat="false" ht="15" hidden="false" customHeight="true" outlineLevel="0" collapsed="false">
      <c r="A394" s="13"/>
      <c r="B394" s="6"/>
      <c r="C394" s="6"/>
      <c r="D394" s="11" t="str">
        <f aca="false">IF(C394="","",IFERROR(INDEX('Cư dân'!$C$2:$C$2000,MATCH(C394,'Cư dân'!$A$2:$A$2000,0)),"Mã không tồn tại"))</f>
        <v/>
      </c>
      <c r="E394" s="6"/>
      <c r="F394" s="6"/>
      <c r="G394" s="6"/>
    </row>
    <row r="395" customFormat="false" ht="15" hidden="false" customHeight="true" outlineLevel="0" collapsed="false">
      <c r="A395" s="13"/>
      <c r="B395" s="6"/>
      <c r="C395" s="6"/>
      <c r="D395" s="11" t="str">
        <f aca="false">IF(C395="","",IFERROR(INDEX('Cư dân'!$C$2:$C$2000,MATCH(C395,'Cư dân'!$A$2:$A$2000,0)),"Mã không tồn tại"))</f>
        <v/>
      </c>
      <c r="E395" s="6"/>
      <c r="F395" s="6"/>
      <c r="G395" s="6"/>
    </row>
    <row r="396" customFormat="false" ht="15" hidden="false" customHeight="true" outlineLevel="0" collapsed="false">
      <c r="A396" s="13"/>
      <c r="B396" s="6"/>
      <c r="C396" s="6"/>
      <c r="D396" s="11" t="str">
        <f aca="false">IF(C396="","",IFERROR(INDEX('Cư dân'!$C$2:$C$2000,MATCH(C396,'Cư dân'!$A$2:$A$2000,0)),"Mã không tồn tại"))</f>
        <v/>
      </c>
      <c r="E396" s="6"/>
      <c r="F396" s="6"/>
      <c r="G396" s="6"/>
    </row>
    <row r="397" customFormat="false" ht="15" hidden="false" customHeight="true" outlineLevel="0" collapsed="false">
      <c r="A397" s="13"/>
      <c r="B397" s="6"/>
      <c r="C397" s="6"/>
      <c r="D397" s="11" t="str">
        <f aca="false">IF(C397="","",IFERROR(INDEX('Cư dân'!$C$2:$C$2000,MATCH(C397,'Cư dân'!$A$2:$A$2000,0)),"Mã không tồn tại"))</f>
        <v/>
      </c>
      <c r="E397" s="6"/>
      <c r="F397" s="6"/>
      <c r="G397" s="6"/>
    </row>
    <row r="398" customFormat="false" ht="15" hidden="false" customHeight="true" outlineLevel="0" collapsed="false">
      <c r="A398" s="13"/>
      <c r="B398" s="6"/>
      <c r="C398" s="6"/>
      <c r="D398" s="11" t="str">
        <f aca="false">IF(C398="","",IFERROR(INDEX('Cư dân'!$C$2:$C$2000,MATCH(C398,'Cư dân'!$A$2:$A$2000,0)),"Mã không tồn tại"))</f>
        <v/>
      </c>
      <c r="E398" s="6"/>
      <c r="F398" s="6"/>
      <c r="G398" s="6"/>
    </row>
    <row r="399" customFormat="false" ht="15" hidden="false" customHeight="true" outlineLevel="0" collapsed="false">
      <c r="A399" s="13"/>
      <c r="B399" s="6"/>
      <c r="C399" s="6"/>
      <c r="D399" s="11" t="str">
        <f aca="false">IF(C399="","",IFERROR(INDEX('Cư dân'!$C$2:$C$2000,MATCH(C399,'Cư dân'!$A$2:$A$2000,0)),"Mã không tồn tại"))</f>
        <v/>
      </c>
      <c r="E399" s="6"/>
      <c r="F399" s="6"/>
      <c r="G399" s="6"/>
    </row>
    <row r="400" customFormat="false" ht="15" hidden="false" customHeight="true" outlineLevel="0" collapsed="false">
      <c r="A400" s="13"/>
      <c r="B400" s="6"/>
      <c r="C400" s="6"/>
      <c r="D400" s="11" t="str">
        <f aca="false">IF(C400="","",IFERROR(INDEX('Cư dân'!$C$2:$C$2000,MATCH(C400,'Cư dân'!$A$2:$A$2000,0)),"Mã không tồn tại"))</f>
        <v/>
      </c>
      <c r="E400" s="6"/>
      <c r="F400" s="6"/>
      <c r="G400" s="6"/>
    </row>
    <row r="401" customFormat="false" ht="15" hidden="false" customHeight="true" outlineLevel="0" collapsed="false">
      <c r="A401" s="13"/>
      <c r="B401" s="6"/>
      <c r="C401" s="6"/>
      <c r="D401" s="11" t="str">
        <f aca="false">IF(C401="","",IFERROR(INDEX('Cư dân'!$C$2:$C$2000,MATCH(C401,'Cư dân'!$A$2:$A$2000,0)),"Mã không tồn tại"))</f>
        <v/>
      </c>
      <c r="E401" s="6"/>
      <c r="F401" s="6"/>
      <c r="G401" s="6"/>
    </row>
    <row r="402" customFormat="false" ht="15" hidden="false" customHeight="true" outlineLevel="0" collapsed="false">
      <c r="A402" s="13"/>
      <c r="B402" s="6"/>
      <c r="C402" s="6"/>
      <c r="D402" s="11" t="str">
        <f aca="false">IF(C402="","",IFERROR(INDEX('Cư dân'!$C$2:$C$2000,MATCH(C402,'Cư dân'!$A$2:$A$2000,0)),"Mã không tồn tại"))</f>
        <v/>
      </c>
      <c r="E402" s="6"/>
      <c r="F402" s="6"/>
      <c r="G402" s="6"/>
    </row>
    <row r="403" customFormat="false" ht="15" hidden="false" customHeight="true" outlineLevel="0" collapsed="false">
      <c r="A403" s="13"/>
      <c r="B403" s="6"/>
      <c r="C403" s="6"/>
      <c r="D403" s="11" t="str">
        <f aca="false">IF(C403="","",IFERROR(INDEX('Cư dân'!$C$2:$C$2000,MATCH(C403,'Cư dân'!$A$2:$A$2000,0)),"Mã không tồn tại"))</f>
        <v/>
      </c>
      <c r="E403" s="6"/>
      <c r="F403" s="6"/>
      <c r="G403" s="6"/>
    </row>
    <row r="404" customFormat="false" ht="15" hidden="false" customHeight="true" outlineLevel="0" collapsed="false">
      <c r="A404" s="13"/>
      <c r="B404" s="6"/>
      <c r="C404" s="6"/>
      <c r="D404" s="11" t="str">
        <f aca="false">IF(C404="","",IFERROR(INDEX('Cư dân'!$C$2:$C$2000,MATCH(C404,'Cư dân'!$A$2:$A$2000,0)),"Mã không tồn tại"))</f>
        <v/>
      </c>
      <c r="E404" s="6"/>
      <c r="F404" s="6"/>
      <c r="G404" s="6"/>
    </row>
    <row r="405" customFormat="false" ht="15" hidden="false" customHeight="true" outlineLevel="0" collapsed="false">
      <c r="A405" s="13"/>
      <c r="B405" s="6"/>
      <c r="C405" s="6"/>
      <c r="D405" s="11" t="str">
        <f aca="false">IF(C405="","",IFERROR(INDEX('Cư dân'!$C$2:$C$2000,MATCH(C405,'Cư dân'!$A$2:$A$2000,0)),"Mã không tồn tại"))</f>
        <v/>
      </c>
      <c r="E405" s="6"/>
      <c r="F405" s="6"/>
      <c r="G405" s="6"/>
    </row>
    <row r="406" customFormat="false" ht="15" hidden="false" customHeight="true" outlineLevel="0" collapsed="false">
      <c r="A406" s="13"/>
      <c r="B406" s="6"/>
      <c r="C406" s="6"/>
      <c r="D406" s="11" t="str">
        <f aca="false">IF(C406="","",IFERROR(INDEX('Cư dân'!$C$2:$C$2000,MATCH(C406,'Cư dân'!$A$2:$A$2000,0)),"Mã không tồn tại"))</f>
        <v/>
      </c>
      <c r="E406" s="6"/>
      <c r="F406" s="6"/>
      <c r="G406" s="6"/>
    </row>
    <row r="407" customFormat="false" ht="15" hidden="false" customHeight="true" outlineLevel="0" collapsed="false">
      <c r="A407" s="13"/>
      <c r="B407" s="6"/>
      <c r="C407" s="6"/>
      <c r="D407" s="11" t="str">
        <f aca="false">IF(C407="","",IFERROR(INDEX('Cư dân'!$C$2:$C$2000,MATCH(C407,'Cư dân'!$A$2:$A$2000,0)),"Mã không tồn tại"))</f>
        <v/>
      </c>
      <c r="E407" s="6"/>
      <c r="F407" s="6"/>
      <c r="G407" s="6"/>
    </row>
    <row r="408" customFormat="false" ht="15" hidden="false" customHeight="true" outlineLevel="0" collapsed="false">
      <c r="A408" s="13"/>
      <c r="B408" s="6"/>
      <c r="C408" s="6"/>
      <c r="D408" s="11" t="str">
        <f aca="false">IF(C408="","",IFERROR(INDEX('Cư dân'!$C$2:$C$2000,MATCH(C408,'Cư dân'!$A$2:$A$2000,0)),"Mã không tồn tại"))</f>
        <v/>
      </c>
      <c r="E408" s="6"/>
      <c r="F408" s="6"/>
      <c r="G408" s="6"/>
    </row>
    <row r="409" customFormat="false" ht="15" hidden="false" customHeight="true" outlineLevel="0" collapsed="false">
      <c r="A409" s="13"/>
      <c r="B409" s="6"/>
      <c r="C409" s="6"/>
      <c r="D409" s="11" t="str">
        <f aca="false">IF(C409="","",IFERROR(INDEX('Cư dân'!$C$2:$C$2000,MATCH(C409,'Cư dân'!$A$2:$A$2000,0)),"Mã không tồn tại"))</f>
        <v/>
      </c>
      <c r="E409" s="6"/>
      <c r="F409" s="6"/>
      <c r="G409" s="6"/>
    </row>
    <row r="410" customFormat="false" ht="15" hidden="false" customHeight="true" outlineLevel="0" collapsed="false">
      <c r="A410" s="13"/>
      <c r="B410" s="6"/>
      <c r="C410" s="6"/>
      <c r="D410" s="11" t="str">
        <f aca="false">IF(C410="","",IFERROR(INDEX('Cư dân'!$C$2:$C$2000,MATCH(C410,'Cư dân'!$A$2:$A$2000,0)),"Mã không tồn tại"))</f>
        <v/>
      </c>
      <c r="E410" s="6"/>
      <c r="F410" s="6"/>
      <c r="G410" s="6"/>
    </row>
    <row r="411" customFormat="false" ht="15" hidden="false" customHeight="true" outlineLevel="0" collapsed="false">
      <c r="A411" s="13"/>
      <c r="B411" s="6"/>
      <c r="C411" s="6"/>
      <c r="D411" s="11" t="str">
        <f aca="false">IF(C411="","",IFERROR(INDEX('Cư dân'!$C$2:$C$2000,MATCH(C411,'Cư dân'!$A$2:$A$2000,0)),"Mã không tồn tại"))</f>
        <v/>
      </c>
      <c r="E411" s="6"/>
      <c r="F411" s="6"/>
      <c r="G411" s="6"/>
    </row>
    <row r="412" customFormat="false" ht="15" hidden="false" customHeight="true" outlineLevel="0" collapsed="false">
      <c r="A412" s="13"/>
      <c r="B412" s="6"/>
      <c r="C412" s="6"/>
      <c r="D412" s="11" t="str">
        <f aca="false">IF(C412="","",IFERROR(INDEX('Cư dân'!$C$2:$C$2000,MATCH(C412,'Cư dân'!$A$2:$A$2000,0)),"Mã không tồn tại"))</f>
        <v/>
      </c>
      <c r="E412" s="6"/>
      <c r="F412" s="6"/>
      <c r="G412" s="6"/>
    </row>
    <row r="413" customFormat="false" ht="15" hidden="false" customHeight="true" outlineLevel="0" collapsed="false">
      <c r="A413" s="13"/>
      <c r="B413" s="6"/>
      <c r="C413" s="6"/>
      <c r="D413" s="11" t="str">
        <f aca="false">IF(C413="","",IFERROR(INDEX('Cư dân'!$C$2:$C$2000,MATCH(C413,'Cư dân'!$A$2:$A$2000,0)),"Mã không tồn tại"))</f>
        <v/>
      </c>
      <c r="E413" s="6"/>
      <c r="F413" s="6"/>
      <c r="G413" s="6"/>
    </row>
    <row r="414" customFormat="false" ht="15" hidden="false" customHeight="true" outlineLevel="0" collapsed="false">
      <c r="A414" s="13"/>
      <c r="B414" s="6"/>
      <c r="C414" s="6"/>
      <c r="D414" s="11" t="str">
        <f aca="false">IF(C414="","",IFERROR(INDEX('Cư dân'!$C$2:$C$2000,MATCH(C414,'Cư dân'!$A$2:$A$2000,0)),"Mã không tồn tại"))</f>
        <v/>
      </c>
      <c r="E414" s="6"/>
      <c r="F414" s="6"/>
      <c r="G414" s="6"/>
    </row>
    <row r="415" customFormat="false" ht="15" hidden="false" customHeight="true" outlineLevel="0" collapsed="false">
      <c r="A415" s="13"/>
      <c r="B415" s="6"/>
      <c r="C415" s="6"/>
      <c r="D415" s="11" t="str">
        <f aca="false">IF(C415="","",IFERROR(INDEX('Cư dân'!$C$2:$C$2000,MATCH(C415,'Cư dân'!$A$2:$A$2000,0)),"Mã không tồn tại"))</f>
        <v/>
      </c>
      <c r="E415" s="6"/>
      <c r="F415" s="6"/>
      <c r="G415" s="6"/>
    </row>
    <row r="416" customFormat="false" ht="15" hidden="false" customHeight="true" outlineLevel="0" collapsed="false">
      <c r="A416" s="13"/>
      <c r="B416" s="6"/>
      <c r="C416" s="6"/>
      <c r="D416" s="11" t="str">
        <f aca="false">IF(C416="","",IFERROR(INDEX('Cư dân'!$C$2:$C$2000,MATCH(C416,'Cư dân'!$A$2:$A$2000,0)),"Mã không tồn tại"))</f>
        <v/>
      </c>
      <c r="E416" s="6"/>
      <c r="F416" s="6"/>
      <c r="G416" s="6"/>
    </row>
    <row r="417" customFormat="false" ht="15" hidden="false" customHeight="true" outlineLevel="0" collapsed="false">
      <c r="A417" s="13"/>
      <c r="B417" s="6"/>
      <c r="C417" s="6"/>
      <c r="D417" s="11" t="str">
        <f aca="false">IF(C417="","",IFERROR(INDEX('Cư dân'!$C$2:$C$2000,MATCH(C417,'Cư dân'!$A$2:$A$2000,0)),"Mã không tồn tại"))</f>
        <v/>
      </c>
      <c r="E417" s="6"/>
      <c r="F417" s="6"/>
      <c r="G417" s="6"/>
    </row>
    <row r="418" customFormat="false" ht="15" hidden="false" customHeight="true" outlineLevel="0" collapsed="false">
      <c r="A418" s="13"/>
      <c r="B418" s="6"/>
      <c r="C418" s="6"/>
      <c r="D418" s="11" t="str">
        <f aca="false">IF(C418="","",IFERROR(INDEX('Cư dân'!$C$2:$C$2000,MATCH(C418,'Cư dân'!$A$2:$A$2000,0)),"Mã không tồn tại"))</f>
        <v/>
      </c>
      <c r="E418" s="6"/>
      <c r="F418" s="6"/>
      <c r="G418" s="6"/>
    </row>
    <row r="419" customFormat="false" ht="15" hidden="false" customHeight="true" outlineLevel="0" collapsed="false">
      <c r="A419" s="13"/>
      <c r="B419" s="6"/>
      <c r="C419" s="6"/>
      <c r="D419" s="11" t="str">
        <f aca="false">IF(C419="","",IFERROR(INDEX('Cư dân'!$C$2:$C$2000,MATCH(C419,'Cư dân'!$A$2:$A$2000,0)),"Mã không tồn tại"))</f>
        <v/>
      </c>
      <c r="E419" s="6"/>
      <c r="F419" s="6"/>
      <c r="G419" s="6"/>
    </row>
    <row r="420" customFormat="false" ht="15" hidden="false" customHeight="true" outlineLevel="0" collapsed="false">
      <c r="A420" s="13"/>
      <c r="B420" s="6"/>
      <c r="C420" s="6"/>
      <c r="D420" s="11" t="str">
        <f aca="false">IF(C420="","",IFERROR(INDEX('Cư dân'!$C$2:$C$2000,MATCH(C420,'Cư dân'!$A$2:$A$2000,0)),"Mã không tồn tại"))</f>
        <v/>
      </c>
      <c r="E420" s="6"/>
      <c r="F420" s="6"/>
      <c r="G420" s="6"/>
    </row>
    <row r="421" customFormat="false" ht="15" hidden="false" customHeight="true" outlineLevel="0" collapsed="false">
      <c r="A421" s="13"/>
      <c r="B421" s="6"/>
      <c r="C421" s="6"/>
      <c r="D421" s="11" t="str">
        <f aca="false">IF(C421="","",IFERROR(INDEX('Cư dân'!$C$2:$C$2000,MATCH(C421,'Cư dân'!$A$2:$A$2000,0)),"Mã không tồn tại"))</f>
        <v/>
      </c>
      <c r="E421" s="6"/>
      <c r="F421" s="6"/>
      <c r="G421" s="6"/>
    </row>
    <row r="422" customFormat="false" ht="15" hidden="false" customHeight="true" outlineLevel="0" collapsed="false">
      <c r="A422" s="13"/>
      <c r="B422" s="6"/>
      <c r="C422" s="6"/>
      <c r="D422" s="11" t="str">
        <f aca="false">IF(C422="","",IFERROR(INDEX('Cư dân'!$C$2:$C$2000,MATCH(C422,'Cư dân'!$A$2:$A$2000,0)),"Mã không tồn tại"))</f>
        <v/>
      </c>
      <c r="E422" s="6"/>
      <c r="F422" s="6"/>
      <c r="G422" s="6"/>
    </row>
    <row r="423" customFormat="false" ht="15" hidden="false" customHeight="true" outlineLevel="0" collapsed="false">
      <c r="A423" s="13"/>
      <c r="B423" s="6"/>
      <c r="C423" s="6"/>
      <c r="D423" s="11" t="str">
        <f aca="false">IF(C423="","",IFERROR(INDEX('Cư dân'!$C$2:$C$2000,MATCH(C423,'Cư dân'!$A$2:$A$2000,0)),"Mã không tồn tại"))</f>
        <v/>
      </c>
      <c r="E423" s="6"/>
      <c r="F423" s="6"/>
      <c r="G423" s="6"/>
    </row>
    <row r="424" customFormat="false" ht="15" hidden="false" customHeight="true" outlineLevel="0" collapsed="false">
      <c r="A424" s="13"/>
      <c r="B424" s="6"/>
      <c r="C424" s="6"/>
      <c r="D424" s="11" t="str">
        <f aca="false">IF(C424="","",IFERROR(INDEX('Cư dân'!$C$2:$C$2000,MATCH(C424,'Cư dân'!$A$2:$A$2000,0)),"Mã không tồn tại"))</f>
        <v/>
      </c>
      <c r="E424" s="6"/>
      <c r="F424" s="6"/>
      <c r="G424" s="6"/>
    </row>
    <row r="425" customFormat="false" ht="15" hidden="false" customHeight="true" outlineLevel="0" collapsed="false">
      <c r="A425" s="13"/>
      <c r="B425" s="6"/>
      <c r="C425" s="6"/>
      <c r="D425" s="11" t="str">
        <f aca="false">IF(C425="","",IFERROR(INDEX('Cư dân'!$C$2:$C$2000,MATCH(C425,'Cư dân'!$A$2:$A$2000,0)),"Mã không tồn tại"))</f>
        <v/>
      </c>
      <c r="E425" s="6"/>
      <c r="F425" s="6"/>
      <c r="G425" s="6"/>
    </row>
    <row r="426" customFormat="false" ht="15" hidden="false" customHeight="true" outlineLevel="0" collapsed="false">
      <c r="A426" s="13"/>
      <c r="B426" s="6"/>
      <c r="C426" s="6"/>
      <c r="D426" s="11" t="str">
        <f aca="false">IF(C426="","",IFERROR(INDEX('Cư dân'!$C$2:$C$2000,MATCH(C426,'Cư dân'!$A$2:$A$2000,0)),"Mã không tồn tại"))</f>
        <v/>
      </c>
      <c r="E426" s="6"/>
      <c r="F426" s="6"/>
      <c r="G426" s="6"/>
    </row>
    <row r="427" customFormat="false" ht="15" hidden="false" customHeight="true" outlineLevel="0" collapsed="false">
      <c r="A427" s="13"/>
      <c r="B427" s="6"/>
      <c r="C427" s="6"/>
      <c r="D427" s="11" t="str">
        <f aca="false">IF(C427="","",IFERROR(INDEX('Cư dân'!$C$2:$C$2000,MATCH(C427,'Cư dân'!$A$2:$A$2000,0)),"Mã không tồn tại"))</f>
        <v/>
      </c>
      <c r="E427" s="6"/>
      <c r="F427" s="6"/>
      <c r="G427" s="6"/>
    </row>
    <row r="428" customFormat="false" ht="15" hidden="false" customHeight="true" outlineLevel="0" collapsed="false">
      <c r="A428" s="13"/>
      <c r="B428" s="6"/>
      <c r="C428" s="6"/>
      <c r="D428" s="11" t="str">
        <f aca="false">IF(C428="","",IFERROR(INDEX('Cư dân'!$C$2:$C$2000,MATCH(C428,'Cư dân'!$A$2:$A$2000,0)),"Mã không tồn tại"))</f>
        <v/>
      </c>
      <c r="E428" s="6"/>
      <c r="F428" s="6"/>
      <c r="G428" s="6"/>
    </row>
    <row r="429" customFormat="false" ht="15" hidden="false" customHeight="true" outlineLevel="0" collapsed="false">
      <c r="A429" s="13"/>
      <c r="B429" s="6"/>
      <c r="C429" s="6"/>
      <c r="D429" s="11" t="str">
        <f aca="false">IF(C429="","",IFERROR(INDEX('Cư dân'!$C$2:$C$2000,MATCH(C429,'Cư dân'!$A$2:$A$2000,0)),"Mã không tồn tại"))</f>
        <v/>
      </c>
      <c r="E429" s="6"/>
      <c r="F429" s="6"/>
      <c r="G429" s="6"/>
    </row>
    <row r="430" customFormat="false" ht="15" hidden="false" customHeight="true" outlineLevel="0" collapsed="false">
      <c r="A430" s="13"/>
      <c r="B430" s="6"/>
      <c r="C430" s="6"/>
      <c r="D430" s="11" t="str">
        <f aca="false">IF(C430="","",IFERROR(INDEX('Cư dân'!$C$2:$C$2000,MATCH(C430,'Cư dân'!$A$2:$A$2000,0)),"Mã không tồn tại"))</f>
        <v/>
      </c>
      <c r="E430" s="6"/>
      <c r="F430" s="6"/>
      <c r="G430" s="6"/>
    </row>
    <row r="431" customFormat="false" ht="15" hidden="false" customHeight="true" outlineLevel="0" collapsed="false">
      <c r="A431" s="13"/>
      <c r="B431" s="6"/>
      <c r="C431" s="6"/>
      <c r="D431" s="11" t="str">
        <f aca="false">IF(C431="","",IFERROR(INDEX('Cư dân'!$C$2:$C$2000,MATCH(C431,'Cư dân'!$A$2:$A$2000,0)),"Mã không tồn tại"))</f>
        <v/>
      </c>
      <c r="E431" s="6"/>
      <c r="F431" s="6"/>
      <c r="G431" s="6"/>
    </row>
    <row r="432" customFormat="false" ht="15" hidden="false" customHeight="true" outlineLevel="0" collapsed="false">
      <c r="A432" s="13"/>
      <c r="B432" s="6"/>
      <c r="C432" s="6"/>
      <c r="D432" s="11" t="str">
        <f aca="false">IF(C432="","",IFERROR(INDEX('Cư dân'!$C$2:$C$2000,MATCH(C432,'Cư dân'!$A$2:$A$2000,0)),"Mã không tồn tại"))</f>
        <v/>
      </c>
      <c r="E432" s="6"/>
      <c r="F432" s="6"/>
      <c r="G432" s="6"/>
    </row>
    <row r="433" customFormat="false" ht="15" hidden="false" customHeight="true" outlineLevel="0" collapsed="false">
      <c r="A433" s="13"/>
      <c r="B433" s="6"/>
      <c r="C433" s="6"/>
      <c r="D433" s="11" t="str">
        <f aca="false">IF(C433="","",IFERROR(INDEX('Cư dân'!$C$2:$C$2000,MATCH(C433,'Cư dân'!$A$2:$A$2000,0)),"Mã không tồn tại"))</f>
        <v/>
      </c>
      <c r="E433" s="6"/>
      <c r="F433" s="6"/>
      <c r="G433" s="6"/>
    </row>
    <row r="434" customFormat="false" ht="15" hidden="false" customHeight="true" outlineLevel="0" collapsed="false">
      <c r="A434" s="13"/>
      <c r="B434" s="6"/>
      <c r="C434" s="6"/>
      <c r="D434" s="11" t="str">
        <f aca="false">IF(C434="","",IFERROR(INDEX('Cư dân'!$C$2:$C$2000,MATCH(C434,'Cư dân'!$A$2:$A$2000,0)),"Mã không tồn tại"))</f>
        <v/>
      </c>
      <c r="E434" s="6"/>
      <c r="F434" s="6"/>
      <c r="G434" s="6"/>
    </row>
    <row r="435" customFormat="false" ht="15" hidden="false" customHeight="true" outlineLevel="0" collapsed="false">
      <c r="A435" s="13"/>
      <c r="B435" s="6"/>
      <c r="C435" s="6"/>
      <c r="D435" s="11" t="str">
        <f aca="false">IF(C435="","",IFERROR(INDEX('Cư dân'!$C$2:$C$2000,MATCH(C435,'Cư dân'!$A$2:$A$2000,0)),"Mã không tồn tại"))</f>
        <v/>
      </c>
      <c r="E435" s="6"/>
      <c r="F435" s="6"/>
      <c r="G435" s="6"/>
    </row>
    <row r="436" customFormat="false" ht="15" hidden="false" customHeight="true" outlineLevel="0" collapsed="false">
      <c r="A436" s="13"/>
      <c r="B436" s="6"/>
      <c r="C436" s="6"/>
      <c r="D436" s="11" t="str">
        <f aca="false">IF(C436="","",IFERROR(INDEX('Cư dân'!$C$2:$C$2000,MATCH(C436,'Cư dân'!$A$2:$A$2000,0)),"Mã không tồn tại"))</f>
        <v/>
      </c>
      <c r="E436" s="6"/>
      <c r="F436" s="6"/>
      <c r="G436" s="6"/>
    </row>
    <row r="437" customFormat="false" ht="15" hidden="false" customHeight="true" outlineLevel="0" collapsed="false">
      <c r="A437" s="13"/>
      <c r="B437" s="6"/>
      <c r="C437" s="6"/>
      <c r="D437" s="11" t="str">
        <f aca="false">IF(C437="","",IFERROR(INDEX('Cư dân'!$C$2:$C$2000,MATCH(C437,'Cư dân'!$A$2:$A$2000,0)),"Mã không tồn tại"))</f>
        <v/>
      </c>
      <c r="E437" s="6"/>
      <c r="F437" s="6"/>
      <c r="G437" s="6"/>
    </row>
    <row r="438" customFormat="false" ht="15" hidden="false" customHeight="true" outlineLevel="0" collapsed="false">
      <c r="A438" s="13"/>
      <c r="B438" s="6"/>
      <c r="C438" s="6"/>
      <c r="D438" s="11" t="str">
        <f aca="false">IF(C438="","",IFERROR(INDEX('Cư dân'!$C$2:$C$2000,MATCH(C438,'Cư dân'!$A$2:$A$2000,0)),"Mã không tồn tại"))</f>
        <v/>
      </c>
      <c r="E438" s="6"/>
      <c r="F438" s="6"/>
      <c r="G438" s="6"/>
    </row>
    <row r="439" customFormat="false" ht="15" hidden="false" customHeight="true" outlineLevel="0" collapsed="false">
      <c r="A439" s="13"/>
      <c r="B439" s="6"/>
      <c r="C439" s="6"/>
      <c r="D439" s="11" t="str">
        <f aca="false">IF(C439="","",IFERROR(INDEX('Cư dân'!$C$2:$C$2000,MATCH(C439,'Cư dân'!$A$2:$A$2000,0)),"Mã không tồn tại"))</f>
        <v/>
      </c>
      <c r="E439" s="6"/>
      <c r="F439" s="6"/>
      <c r="G439" s="6"/>
    </row>
    <row r="440" customFormat="false" ht="15" hidden="false" customHeight="true" outlineLevel="0" collapsed="false">
      <c r="A440" s="13"/>
      <c r="B440" s="6"/>
      <c r="C440" s="6"/>
      <c r="D440" s="11" t="str">
        <f aca="false">IF(C440="","",IFERROR(INDEX('Cư dân'!$C$2:$C$2000,MATCH(C440,'Cư dân'!$A$2:$A$2000,0)),"Mã không tồn tại"))</f>
        <v/>
      </c>
      <c r="E440" s="6"/>
      <c r="F440" s="6"/>
      <c r="G440" s="6"/>
    </row>
    <row r="441" customFormat="false" ht="15" hidden="false" customHeight="true" outlineLevel="0" collapsed="false">
      <c r="A441" s="13"/>
      <c r="B441" s="6"/>
      <c r="C441" s="6"/>
      <c r="D441" s="11" t="str">
        <f aca="false">IF(C441="","",IFERROR(INDEX('Cư dân'!$C$2:$C$2000,MATCH(C441,'Cư dân'!$A$2:$A$2000,0)),"Mã không tồn tại"))</f>
        <v/>
      </c>
      <c r="E441" s="6"/>
      <c r="F441" s="6"/>
      <c r="G441" s="6"/>
    </row>
    <row r="442" customFormat="false" ht="15" hidden="false" customHeight="true" outlineLevel="0" collapsed="false">
      <c r="A442" s="13"/>
      <c r="B442" s="6"/>
      <c r="C442" s="6"/>
      <c r="D442" s="11" t="str">
        <f aca="false">IF(C442="","",IFERROR(INDEX('Cư dân'!$C$2:$C$2000,MATCH(C442,'Cư dân'!$A$2:$A$2000,0)),"Mã không tồn tại"))</f>
        <v/>
      </c>
      <c r="E442" s="6"/>
      <c r="F442" s="6"/>
      <c r="G442" s="6"/>
    </row>
    <row r="443" customFormat="false" ht="15" hidden="false" customHeight="true" outlineLevel="0" collapsed="false">
      <c r="A443" s="13"/>
      <c r="B443" s="6"/>
      <c r="C443" s="6"/>
      <c r="D443" s="11" t="str">
        <f aca="false">IF(C443="","",IFERROR(INDEX('Cư dân'!$C$2:$C$2000,MATCH(C443,'Cư dân'!$A$2:$A$2000,0)),"Mã không tồn tại"))</f>
        <v/>
      </c>
      <c r="E443" s="6"/>
      <c r="F443" s="6"/>
      <c r="G443" s="6"/>
    </row>
    <row r="444" customFormat="false" ht="15" hidden="false" customHeight="true" outlineLevel="0" collapsed="false">
      <c r="A444" s="13"/>
      <c r="B444" s="6"/>
      <c r="C444" s="6"/>
      <c r="D444" s="11" t="str">
        <f aca="false">IF(C444="","",IFERROR(INDEX('Cư dân'!$C$2:$C$2000,MATCH(C444,'Cư dân'!$A$2:$A$2000,0)),"Mã không tồn tại"))</f>
        <v/>
      </c>
      <c r="E444" s="6"/>
      <c r="F444" s="6"/>
      <c r="G444" s="6"/>
    </row>
    <row r="445" customFormat="false" ht="15" hidden="false" customHeight="true" outlineLevel="0" collapsed="false">
      <c r="A445" s="13"/>
      <c r="B445" s="6"/>
      <c r="C445" s="6"/>
      <c r="D445" s="11" t="str">
        <f aca="false">IF(C445="","",IFERROR(INDEX('Cư dân'!$C$2:$C$2000,MATCH(C445,'Cư dân'!$A$2:$A$2000,0)),"Mã không tồn tại"))</f>
        <v/>
      </c>
      <c r="E445" s="6"/>
      <c r="F445" s="6"/>
      <c r="G445" s="6"/>
    </row>
    <row r="446" customFormat="false" ht="15" hidden="false" customHeight="true" outlineLevel="0" collapsed="false">
      <c r="A446" s="13"/>
      <c r="B446" s="6"/>
      <c r="C446" s="6"/>
      <c r="D446" s="11" t="str">
        <f aca="false">IF(C446="","",IFERROR(INDEX('Cư dân'!$C$2:$C$2000,MATCH(C446,'Cư dân'!$A$2:$A$2000,0)),"Mã không tồn tại"))</f>
        <v/>
      </c>
      <c r="E446" s="6"/>
      <c r="F446" s="6"/>
      <c r="G446" s="6"/>
    </row>
    <row r="447" customFormat="false" ht="15" hidden="false" customHeight="true" outlineLevel="0" collapsed="false">
      <c r="A447" s="13"/>
      <c r="B447" s="6"/>
      <c r="C447" s="6"/>
      <c r="D447" s="11" t="str">
        <f aca="false">IF(C447="","",IFERROR(INDEX('Cư dân'!$C$2:$C$2000,MATCH(C447,'Cư dân'!$A$2:$A$2000,0)),"Mã không tồn tại"))</f>
        <v/>
      </c>
      <c r="E447" s="6"/>
      <c r="F447" s="6"/>
      <c r="G447" s="6"/>
    </row>
    <row r="448" customFormat="false" ht="15" hidden="false" customHeight="true" outlineLevel="0" collapsed="false">
      <c r="A448" s="13"/>
      <c r="B448" s="6"/>
      <c r="C448" s="6"/>
      <c r="D448" s="11" t="str">
        <f aca="false">IF(C448="","",IFERROR(INDEX('Cư dân'!$C$2:$C$2000,MATCH(C448,'Cư dân'!$A$2:$A$2000,0)),"Mã không tồn tại"))</f>
        <v/>
      </c>
      <c r="E448" s="6"/>
      <c r="F448" s="6"/>
      <c r="G448" s="6"/>
    </row>
    <row r="449" customFormat="false" ht="15" hidden="false" customHeight="true" outlineLevel="0" collapsed="false">
      <c r="A449" s="13"/>
      <c r="B449" s="6"/>
      <c r="C449" s="6"/>
      <c r="D449" s="11" t="str">
        <f aca="false">IF(C449="","",IFERROR(INDEX('Cư dân'!$C$2:$C$2000,MATCH(C449,'Cư dân'!$A$2:$A$2000,0)),"Mã không tồn tại"))</f>
        <v/>
      </c>
      <c r="E449" s="6"/>
      <c r="F449" s="6"/>
      <c r="G449" s="6"/>
    </row>
    <row r="450" customFormat="false" ht="15" hidden="false" customHeight="true" outlineLevel="0" collapsed="false">
      <c r="A450" s="13"/>
      <c r="B450" s="6"/>
      <c r="C450" s="6"/>
      <c r="D450" s="11" t="str">
        <f aca="false">IF(C450="","",IFERROR(INDEX('Cư dân'!$C$2:$C$2000,MATCH(C450,'Cư dân'!$A$2:$A$2000,0)),"Mã không tồn tại"))</f>
        <v/>
      </c>
      <c r="E450" s="6"/>
      <c r="F450" s="6"/>
      <c r="G450" s="6"/>
    </row>
    <row r="451" customFormat="false" ht="15" hidden="false" customHeight="true" outlineLevel="0" collapsed="false">
      <c r="A451" s="13"/>
      <c r="B451" s="6"/>
      <c r="C451" s="6"/>
      <c r="D451" s="11" t="str">
        <f aca="false">IF(C451="","",IFERROR(INDEX('Cư dân'!$C$2:$C$2000,MATCH(C451,'Cư dân'!$A$2:$A$2000,0)),"Mã không tồn tại"))</f>
        <v/>
      </c>
      <c r="E451" s="6"/>
      <c r="F451" s="6"/>
      <c r="G451" s="6"/>
    </row>
    <row r="452" customFormat="false" ht="15" hidden="false" customHeight="true" outlineLevel="0" collapsed="false">
      <c r="A452" s="13"/>
      <c r="B452" s="6"/>
      <c r="C452" s="6"/>
      <c r="D452" s="11" t="str">
        <f aca="false">IF(C452="","",IFERROR(INDEX('Cư dân'!$C$2:$C$2000,MATCH(C452,'Cư dân'!$A$2:$A$2000,0)),"Mã không tồn tại"))</f>
        <v/>
      </c>
      <c r="E452" s="6"/>
      <c r="F452" s="6"/>
      <c r="G452" s="6"/>
    </row>
    <row r="453" customFormat="false" ht="15" hidden="false" customHeight="true" outlineLevel="0" collapsed="false">
      <c r="A453" s="13"/>
      <c r="B453" s="6"/>
      <c r="C453" s="6"/>
      <c r="D453" s="11" t="str">
        <f aca="false">IF(C453="","",IFERROR(INDEX('Cư dân'!$C$2:$C$2000,MATCH(C453,'Cư dân'!$A$2:$A$2000,0)),"Mã không tồn tại"))</f>
        <v/>
      </c>
      <c r="E453" s="6"/>
      <c r="F453" s="6"/>
      <c r="G453" s="6"/>
    </row>
    <row r="454" customFormat="false" ht="15" hidden="false" customHeight="true" outlineLevel="0" collapsed="false">
      <c r="A454" s="13"/>
      <c r="B454" s="6"/>
      <c r="C454" s="6"/>
      <c r="D454" s="11" t="str">
        <f aca="false">IF(C454="","",IFERROR(INDEX('Cư dân'!$C$2:$C$2000,MATCH(C454,'Cư dân'!$A$2:$A$2000,0)),"Mã không tồn tại"))</f>
        <v/>
      </c>
      <c r="E454" s="6"/>
      <c r="F454" s="6"/>
      <c r="G454" s="6"/>
    </row>
    <row r="455" customFormat="false" ht="15" hidden="false" customHeight="true" outlineLevel="0" collapsed="false">
      <c r="A455" s="13"/>
      <c r="B455" s="6"/>
      <c r="C455" s="6"/>
      <c r="D455" s="11" t="str">
        <f aca="false">IF(C455="","",IFERROR(INDEX('Cư dân'!$C$2:$C$2000,MATCH(C455,'Cư dân'!$A$2:$A$2000,0)),"Mã không tồn tại"))</f>
        <v/>
      </c>
      <c r="E455" s="6"/>
      <c r="F455" s="6"/>
      <c r="G455" s="6"/>
    </row>
    <row r="456" customFormat="false" ht="15" hidden="false" customHeight="true" outlineLevel="0" collapsed="false">
      <c r="A456" s="13"/>
      <c r="B456" s="6"/>
      <c r="C456" s="6"/>
      <c r="D456" s="11" t="str">
        <f aca="false">IF(C456="","",IFERROR(INDEX('Cư dân'!$C$2:$C$2000,MATCH(C456,'Cư dân'!$A$2:$A$2000,0)),"Mã không tồn tại"))</f>
        <v/>
      </c>
      <c r="E456" s="6"/>
      <c r="F456" s="6"/>
      <c r="G456" s="6"/>
    </row>
    <row r="457" customFormat="false" ht="15" hidden="false" customHeight="true" outlineLevel="0" collapsed="false">
      <c r="A457" s="13"/>
      <c r="B457" s="6"/>
      <c r="C457" s="6"/>
      <c r="D457" s="11" t="str">
        <f aca="false">IF(C457="","",IFERROR(INDEX('Cư dân'!$C$2:$C$2000,MATCH(C457,'Cư dân'!$A$2:$A$2000,0)),"Mã không tồn tại"))</f>
        <v/>
      </c>
      <c r="E457" s="6"/>
      <c r="F457" s="6"/>
      <c r="G457" s="6"/>
    </row>
    <row r="458" customFormat="false" ht="15" hidden="false" customHeight="true" outlineLevel="0" collapsed="false">
      <c r="A458" s="13"/>
      <c r="B458" s="6"/>
      <c r="C458" s="6"/>
      <c r="D458" s="11" t="str">
        <f aca="false">IF(C458="","",IFERROR(INDEX('Cư dân'!$C$2:$C$2000,MATCH(C458,'Cư dân'!$A$2:$A$2000,0)),"Mã không tồn tại"))</f>
        <v/>
      </c>
      <c r="E458" s="6"/>
      <c r="F458" s="6"/>
      <c r="G458" s="6"/>
    </row>
    <row r="459" customFormat="false" ht="15" hidden="false" customHeight="true" outlineLevel="0" collapsed="false">
      <c r="A459" s="13"/>
      <c r="B459" s="6"/>
      <c r="C459" s="6"/>
      <c r="D459" s="11" t="str">
        <f aca="false">IF(C459="","",IFERROR(INDEX('Cư dân'!$C$2:$C$2000,MATCH(C459,'Cư dân'!$A$2:$A$2000,0)),"Mã không tồn tại"))</f>
        <v/>
      </c>
      <c r="E459" s="6"/>
      <c r="F459" s="6"/>
      <c r="G459" s="6"/>
    </row>
    <row r="460" customFormat="false" ht="15" hidden="false" customHeight="true" outlineLevel="0" collapsed="false">
      <c r="A460" s="13"/>
      <c r="B460" s="6"/>
      <c r="C460" s="6"/>
      <c r="D460" s="11" t="str">
        <f aca="false">IF(C460="","",IFERROR(INDEX('Cư dân'!$C$2:$C$2000,MATCH(C460,'Cư dân'!$A$2:$A$2000,0)),"Mã không tồn tại"))</f>
        <v/>
      </c>
      <c r="E460" s="6"/>
      <c r="F460" s="6"/>
      <c r="G460" s="6"/>
    </row>
    <row r="461" customFormat="false" ht="15" hidden="false" customHeight="true" outlineLevel="0" collapsed="false">
      <c r="A461" s="13"/>
      <c r="B461" s="6"/>
      <c r="C461" s="6"/>
      <c r="D461" s="11" t="str">
        <f aca="false">IF(C461="","",IFERROR(INDEX('Cư dân'!$C$2:$C$2000,MATCH(C461,'Cư dân'!$A$2:$A$2000,0)),"Mã không tồn tại"))</f>
        <v/>
      </c>
      <c r="E461" s="6"/>
      <c r="F461" s="6"/>
      <c r="G461" s="6"/>
    </row>
    <row r="462" customFormat="false" ht="15" hidden="false" customHeight="true" outlineLevel="0" collapsed="false">
      <c r="A462" s="13"/>
      <c r="B462" s="6"/>
      <c r="C462" s="6"/>
      <c r="D462" s="11" t="str">
        <f aca="false">IF(C462="","",IFERROR(INDEX('Cư dân'!$C$2:$C$2000,MATCH(C462,'Cư dân'!$A$2:$A$2000,0)),"Mã không tồn tại"))</f>
        <v/>
      </c>
      <c r="E462" s="6"/>
      <c r="F462" s="6"/>
      <c r="G462" s="6"/>
    </row>
    <row r="463" customFormat="false" ht="15" hidden="false" customHeight="true" outlineLevel="0" collapsed="false">
      <c r="A463" s="13"/>
      <c r="B463" s="6"/>
      <c r="C463" s="6"/>
      <c r="D463" s="11" t="str">
        <f aca="false">IF(C463="","",IFERROR(INDEX('Cư dân'!$C$2:$C$2000,MATCH(C463,'Cư dân'!$A$2:$A$2000,0)),"Mã không tồn tại"))</f>
        <v/>
      </c>
      <c r="E463" s="6"/>
      <c r="F463" s="6"/>
      <c r="G463" s="6"/>
    </row>
    <row r="464" customFormat="false" ht="15" hidden="false" customHeight="true" outlineLevel="0" collapsed="false">
      <c r="A464" s="13"/>
      <c r="B464" s="6"/>
      <c r="C464" s="6"/>
      <c r="D464" s="11" t="str">
        <f aca="false">IF(C464="","",IFERROR(INDEX('Cư dân'!$C$2:$C$2000,MATCH(C464,'Cư dân'!$A$2:$A$2000,0)),"Mã không tồn tại"))</f>
        <v/>
      </c>
      <c r="E464" s="6"/>
      <c r="F464" s="6"/>
      <c r="G464" s="6"/>
    </row>
    <row r="465" customFormat="false" ht="15" hidden="false" customHeight="true" outlineLevel="0" collapsed="false">
      <c r="A465" s="13"/>
      <c r="B465" s="6"/>
      <c r="C465" s="6"/>
      <c r="D465" s="11" t="str">
        <f aca="false">IF(C465="","",IFERROR(INDEX('Cư dân'!$C$2:$C$2000,MATCH(C465,'Cư dân'!$A$2:$A$2000,0)),"Mã không tồn tại"))</f>
        <v/>
      </c>
      <c r="E465" s="6"/>
      <c r="F465" s="6"/>
      <c r="G465" s="6"/>
    </row>
    <row r="466" customFormat="false" ht="15" hidden="false" customHeight="true" outlineLevel="0" collapsed="false">
      <c r="A466" s="13"/>
      <c r="B466" s="6"/>
      <c r="C466" s="6"/>
      <c r="D466" s="11" t="str">
        <f aca="false">IF(C466="","",IFERROR(INDEX('Cư dân'!$C$2:$C$2000,MATCH(C466,'Cư dân'!$A$2:$A$2000,0)),"Mã không tồn tại"))</f>
        <v/>
      </c>
      <c r="E466" s="6"/>
      <c r="F466" s="6"/>
      <c r="G466" s="6"/>
    </row>
    <row r="467" customFormat="false" ht="15" hidden="false" customHeight="true" outlineLevel="0" collapsed="false">
      <c r="A467" s="13"/>
      <c r="B467" s="6"/>
      <c r="C467" s="6"/>
      <c r="D467" s="11" t="str">
        <f aca="false">IF(C467="","",IFERROR(INDEX('Cư dân'!$C$2:$C$2000,MATCH(C467,'Cư dân'!$A$2:$A$2000,0)),"Mã không tồn tại"))</f>
        <v/>
      </c>
      <c r="E467" s="6"/>
      <c r="F467" s="6"/>
      <c r="G467" s="6"/>
    </row>
    <row r="468" customFormat="false" ht="15" hidden="false" customHeight="true" outlineLevel="0" collapsed="false">
      <c r="A468" s="13"/>
      <c r="B468" s="6"/>
      <c r="C468" s="6"/>
      <c r="D468" s="11" t="str">
        <f aca="false">IF(C468="","",IFERROR(INDEX('Cư dân'!$C$2:$C$2000,MATCH(C468,'Cư dân'!$A$2:$A$2000,0)),"Mã không tồn tại"))</f>
        <v/>
      </c>
      <c r="E468" s="6"/>
      <c r="F468" s="6"/>
      <c r="G468" s="6"/>
    </row>
    <row r="469" customFormat="false" ht="15" hidden="false" customHeight="true" outlineLevel="0" collapsed="false">
      <c r="A469" s="13"/>
      <c r="B469" s="6"/>
      <c r="C469" s="6"/>
      <c r="D469" s="11" t="str">
        <f aca="false">IF(C469="","",IFERROR(INDEX('Cư dân'!$C$2:$C$2000,MATCH(C469,'Cư dân'!$A$2:$A$2000,0)),"Mã không tồn tại"))</f>
        <v/>
      </c>
      <c r="E469" s="6"/>
      <c r="F469" s="6"/>
      <c r="G469" s="6"/>
    </row>
    <row r="470" customFormat="false" ht="15" hidden="false" customHeight="true" outlineLevel="0" collapsed="false">
      <c r="A470" s="13"/>
      <c r="B470" s="6"/>
      <c r="C470" s="6"/>
      <c r="D470" s="11" t="str">
        <f aca="false">IF(C470="","",IFERROR(INDEX('Cư dân'!$C$2:$C$2000,MATCH(C470,'Cư dân'!$A$2:$A$2000,0)),"Mã không tồn tại"))</f>
        <v/>
      </c>
      <c r="E470" s="6"/>
      <c r="F470" s="6"/>
      <c r="G470" s="6"/>
    </row>
    <row r="471" customFormat="false" ht="15" hidden="false" customHeight="true" outlineLevel="0" collapsed="false">
      <c r="A471" s="13"/>
      <c r="B471" s="6"/>
      <c r="C471" s="6"/>
      <c r="D471" s="11" t="str">
        <f aca="false">IF(C471="","",IFERROR(INDEX('Cư dân'!$C$2:$C$2000,MATCH(C471,'Cư dân'!$A$2:$A$2000,0)),"Mã không tồn tại"))</f>
        <v/>
      </c>
      <c r="E471" s="6"/>
      <c r="F471" s="6"/>
      <c r="G471" s="6"/>
    </row>
    <row r="472" customFormat="false" ht="15" hidden="false" customHeight="true" outlineLevel="0" collapsed="false">
      <c r="A472" s="13"/>
      <c r="B472" s="6"/>
      <c r="C472" s="6"/>
      <c r="D472" s="11" t="str">
        <f aca="false">IF(C472="","",IFERROR(INDEX('Cư dân'!$C$2:$C$2000,MATCH(C472,'Cư dân'!$A$2:$A$2000,0)),"Mã không tồn tại"))</f>
        <v/>
      </c>
      <c r="E472" s="6"/>
      <c r="F472" s="6"/>
      <c r="G472" s="6"/>
    </row>
    <row r="473" customFormat="false" ht="15" hidden="false" customHeight="true" outlineLevel="0" collapsed="false">
      <c r="A473" s="13"/>
      <c r="B473" s="6"/>
      <c r="C473" s="6"/>
      <c r="D473" s="11" t="str">
        <f aca="false">IF(C473="","",IFERROR(INDEX('Cư dân'!$C$2:$C$2000,MATCH(C473,'Cư dân'!$A$2:$A$2000,0)),"Mã không tồn tại"))</f>
        <v/>
      </c>
      <c r="E473" s="6"/>
      <c r="F473" s="6"/>
      <c r="G473" s="6"/>
    </row>
    <row r="474" customFormat="false" ht="15" hidden="false" customHeight="true" outlineLevel="0" collapsed="false">
      <c r="A474" s="13"/>
      <c r="B474" s="6"/>
      <c r="C474" s="6"/>
      <c r="D474" s="11" t="str">
        <f aca="false">IF(C474="","",IFERROR(INDEX('Cư dân'!$C$2:$C$2000,MATCH(C474,'Cư dân'!$A$2:$A$2000,0)),"Mã không tồn tại"))</f>
        <v/>
      </c>
      <c r="E474" s="6"/>
      <c r="F474" s="6"/>
      <c r="G474" s="6"/>
    </row>
    <row r="475" customFormat="false" ht="15" hidden="false" customHeight="true" outlineLevel="0" collapsed="false">
      <c r="A475" s="13"/>
      <c r="B475" s="6"/>
      <c r="C475" s="6"/>
      <c r="D475" s="11" t="str">
        <f aca="false">IF(C475="","",IFERROR(INDEX('Cư dân'!$C$2:$C$2000,MATCH(C475,'Cư dân'!$A$2:$A$2000,0)),"Mã không tồn tại"))</f>
        <v/>
      </c>
      <c r="E475" s="6"/>
      <c r="F475" s="6"/>
      <c r="G475" s="6"/>
    </row>
    <row r="476" customFormat="false" ht="15" hidden="false" customHeight="true" outlineLevel="0" collapsed="false">
      <c r="A476" s="13"/>
      <c r="B476" s="6"/>
      <c r="C476" s="6"/>
      <c r="D476" s="11" t="str">
        <f aca="false">IF(C476="","",IFERROR(INDEX('Cư dân'!$C$2:$C$2000,MATCH(C476,'Cư dân'!$A$2:$A$2000,0)),"Mã không tồn tại"))</f>
        <v/>
      </c>
      <c r="E476" s="6"/>
      <c r="F476" s="6"/>
      <c r="G476" s="6"/>
    </row>
    <row r="477" customFormat="false" ht="15" hidden="false" customHeight="true" outlineLevel="0" collapsed="false">
      <c r="A477" s="13"/>
      <c r="B477" s="6"/>
      <c r="C477" s="6"/>
      <c r="D477" s="11" t="str">
        <f aca="false">IF(C477="","",IFERROR(INDEX('Cư dân'!$C$2:$C$2000,MATCH(C477,'Cư dân'!$A$2:$A$2000,0)),"Mã không tồn tại"))</f>
        <v/>
      </c>
      <c r="E477" s="6"/>
      <c r="F477" s="6"/>
      <c r="G477" s="6"/>
    </row>
    <row r="478" customFormat="false" ht="15" hidden="false" customHeight="true" outlineLevel="0" collapsed="false">
      <c r="A478" s="13"/>
      <c r="B478" s="6"/>
      <c r="C478" s="6"/>
      <c r="D478" s="11" t="str">
        <f aca="false">IF(C478="","",IFERROR(INDEX('Cư dân'!$C$2:$C$2000,MATCH(C478,'Cư dân'!$A$2:$A$2000,0)),"Mã không tồn tại"))</f>
        <v/>
      </c>
      <c r="E478" s="6"/>
      <c r="F478" s="6"/>
      <c r="G478" s="6"/>
    </row>
    <row r="479" customFormat="false" ht="15" hidden="false" customHeight="true" outlineLevel="0" collapsed="false">
      <c r="A479" s="13"/>
      <c r="B479" s="6"/>
      <c r="C479" s="6"/>
      <c r="D479" s="11" t="str">
        <f aca="false">IF(C479="","",IFERROR(INDEX('Cư dân'!$C$2:$C$2000,MATCH(C479,'Cư dân'!$A$2:$A$2000,0)),"Mã không tồn tại"))</f>
        <v/>
      </c>
      <c r="E479" s="6"/>
      <c r="F479" s="6"/>
      <c r="G479" s="6"/>
    </row>
    <row r="480" customFormat="false" ht="15" hidden="false" customHeight="true" outlineLevel="0" collapsed="false">
      <c r="A480" s="13"/>
      <c r="B480" s="6"/>
      <c r="C480" s="6"/>
      <c r="D480" s="11" t="str">
        <f aca="false">IF(C480="","",IFERROR(INDEX('Cư dân'!$C$2:$C$2000,MATCH(C480,'Cư dân'!$A$2:$A$2000,0)),"Mã không tồn tại"))</f>
        <v/>
      </c>
      <c r="E480" s="6"/>
      <c r="F480" s="6"/>
      <c r="G480" s="6"/>
    </row>
    <row r="481" customFormat="false" ht="15" hidden="false" customHeight="true" outlineLevel="0" collapsed="false">
      <c r="A481" s="13"/>
      <c r="B481" s="6"/>
      <c r="C481" s="6"/>
      <c r="D481" s="11" t="str">
        <f aca="false">IF(C481="","",IFERROR(INDEX('Cư dân'!$C$2:$C$2000,MATCH(C481,'Cư dân'!$A$2:$A$2000,0)),"Mã không tồn tại"))</f>
        <v/>
      </c>
      <c r="E481" s="6"/>
      <c r="F481" s="6"/>
      <c r="G481" s="6"/>
    </row>
    <row r="482" customFormat="false" ht="15" hidden="false" customHeight="true" outlineLevel="0" collapsed="false">
      <c r="A482" s="13"/>
      <c r="B482" s="6"/>
      <c r="C482" s="6"/>
      <c r="D482" s="11" t="str">
        <f aca="false">IF(C482="","",IFERROR(INDEX('Cư dân'!$C$2:$C$2000,MATCH(C482,'Cư dân'!$A$2:$A$2000,0)),"Mã không tồn tại"))</f>
        <v/>
      </c>
      <c r="E482" s="6"/>
      <c r="F482" s="6"/>
      <c r="G482" s="6"/>
    </row>
    <row r="483" customFormat="false" ht="15" hidden="false" customHeight="true" outlineLevel="0" collapsed="false">
      <c r="A483" s="13"/>
      <c r="B483" s="6"/>
      <c r="C483" s="6"/>
      <c r="D483" s="11" t="str">
        <f aca="false">IF(C483="","",IFERROR(INDEX('Cư dân'!$C$2:$C$2000,MATCH(C483,'Cư dân'!$A$2:$A$2000,0)),"Mã không tồn tại"))</f>
        <v/>
      </c>
      <c r="E483" s="6"/>
      <c r="F483" s="6"/>
      <c r="G483" s="6"/>
    </row>
    <row r="484" customFormat="false" ht="15" hidden="false" customHeight="true" outlineLevel="0" collapsed="false">
      <c r="A484" s="13"/>
      <c r="B484" s="6"/>
      <c r="C484" s="6"/>
      <c r="D484" s="11" t="str">
        <f aca="false">IF(C484="","",IFERROR(INDEX('Cư dân'!$C$2:$C$2000,MATCH(C484,'Cư dân'!$A$2:$A$2000,0)),"Mã không tồn tại"))</f>
        <v/>
      </c>
      <c r="E484" s="6"/>
      <c r="F484" s="6"/>
      <c r="G484" s="6"/>
    </row>
    <row r="485" customFormat="false" ht="15" hidden="false" customHeight="true" outlineLevel="0" collapsed="false">
      <c r="A485" s="13"/>
      <c r="B485" s="6"/>
      <c r="C485" s="6"/>
      <c r="D485" s="11" t="str">
        <f aca="false">IF(C485="","",IFERROR(INDEX('Cư dân'!$C$2:$C$2000,MATCH(C485,'Cư dân'!$A$2:$A$2000,0)),"Mã không tồn tại"))</f>
        <v/>
      </c>
      <c r="E485" s="6"/>
      <c r="F485" s="6"/>
      <c r="G485" s="6"/>
    </row>
    <row r="486" customFormat="false" ht="15" hidden="false" customHeight="true" outlineLevel="0" collapsed="false">
      <c r="A486" s="13"/>
      <c r="B486" s="6"/>
      <c r="C486" s="6"/>
      <c r="D486" s="11" t="str">
        <f aca="false">IF(C486="","",IFERROR(INDEX('Cư dân'!$C$2:$C$2000,MATCH(C486,'Cư dân'!$A$2:$A$2000,0)),"Mã không tồn tại"))</f>
        <v/>
      </c>
      <c r="E486" s="6"/>
      <c r="F486" s="6"/>
      <c r="G486" s="6"/>
    </row>
    <row r="487" customFormat="false" ht="15" hidden="false" customHeight="true" outlineLevel="0" collapsed="false">
      <c r="A487" s="13"/>
      <c r="B487" s="6"/>
      <c r="C487" s="6"/>
      <c r="D487" s="11" t="str">
        <f aca="false">IF(C487="","",IFERROR(INDEX('Cư dân'!$C$2:$C$2000,MATCH(C487,'Cư dân'!$A$2:$A$2000,0)),"Mã không tồn tại"))</f>
        <v/>
      </c>
      <c r="E487" s="6"/>
      <c r="F487" s="6"/>
      <c r="G487" s="6"/>
    </row>
    <row r="488" customFormat="false" ht="15" hidden="false" customHeight="true" outlineLevel="0" collapsed="false">
      <c r="A488" s="13"/>
      <c r="B488" s="6"/>
      <c r="C488" s="6"/>
      <c r="D488" s="11" t="str">
        <f aca="false">IF(C488="","",IFERROR(INDEX('Cư dân'!$C$2:$C$2000,MATCH(C488,'Cư dân'!$A$2:$A$2000,0)),"Mã không tồn tại"))</f>
        <v/>
      </c>
      <c r="E488" s="6"/>
      <c r="F488" s="6"/>
      <c r="G488" s="6"/>
    </row>
    <row r="489" customFormat="false" ht="15" hidden="false" customHeight="true" outlineLevel="0" collapsed="false">
      <c r="A489" s="13"/>
      <c r="B489" s="6"/>
      <c r="C489" s="6"/>
      <c r="D489" s="11" t="str">
        <f aca="false">IF(C489="","",IFERROR(INDEX('Cư dân'!$C$2:$C$2000,MATCH(C489,'Cư dân'!$A$2:$A$2000,0)),"Mã không tồn tại"))</f>
        <v/>
      </c>
      <c r="E489" s="6"/>
      <c r="F489" s="6"/>
      <c r="G489" s="6"/>
    </row>
    <row r="490" customFormat="false" ht="15" hidden="false" customHeight="true" outlineLevel="0" collapsed="false">
      <c r="A490" s="13"/>
      <c r="B490" s="6"/>
      <c r="C490" s="6"/>
      <c r="D490" s="11" t="str">
        <f aca="false">IF(C490="","",IFERROR(INDEX('Cư dân'!$C$2:$C$2000,MATCH(C490,'Cư dân'!$A$2:$A$2000,0)),"Mã không tồn tại"))</f>
        <v/>
      </c>
      <c r="E490" s="6"/>
      <c r="F490" s="6"/>
      <c r="G490" s="6"/>
    </row>
    <row r="491" customFormat="false" ht="15" hidden="false" customHeight="true" outlineLevel="0" collapsed="false">
      <c r="A491" s="13"/>
      <c r="B491" s="6"/>
      <c r="C491" s="6"/>
      <c r="D491" s="11" t="str">
        <f aca="false">IF(C491="","",IFERROR(INDEX('Cư dân'!$C$2:$C$2000,MATCH(C491,'Cư dân'!$A$2:$A$2000,0)),"Mã không tồn tại"))</f>
        <v/>
      </c>
      <c r="E491" s="6"/>
      <c r="F491" s="6"/>
      <c r="G491" s="6"/>
    </row>
    <row r="492" customFormat="false" ht="15" hidden="false" customHeight="true" outlineLevel="0" collapsed="false">
      <c r="A492" s="13"/>
      <c r="B492" s="6"/>
      <c r="C492" s="6"/>
      <c r="D492" s="11" t="str">
        <f aca="false">IF(C492="","",IFERROR(INDEX('Cư dân'!$C$2:$C$2000,MATCH(C492,'Cư dân'!$A$2:$A$2000,0)),"Mã không tồn tại"))</f>
        <v/>
      </c>
      <c r="E492" s="6"/>
      <c r="F492" s="6"/>
      <c r="G492" s="6"/>
    </row>
    <row r="493" customFormat="false" ht="15" hidden="false" customHeight="true" outlineLevel="0" collapsed="false">
      <c r="A493" s="13"/>
      <c r="B493" s="6"/>
      <c r="C493" s="6"/>
      <c r="D493" s="11" t="str">
        <f aca="false">IF(C493="","",IFERROR(INDEX('Cư dân'!$C$2:$C$2000,MATCH(C493,'Cư dân'!$A$2:$A$2000,0)),"Mã không tồn tại"))</f>
        <v/>
      </c>
      <c r="E493" s="6"/>
      <c r="F493" s="6"/>
      <c r="G493" s="6"/>
    </row>
    <row r="494" customFormat="false" ht="15" hidden="false" customHeight="true" outlineLevel="0" collapsed="false">
      <c r="A494" s="13"/>
      <c r="B494" s="6"/>
      <c r="C494" s="6"/>
      <c r="D494" s="11" t="str">
        <f aca="false">IF(C494="","",IFERROR(INDEX('Cư dân'!$C$2:$C$2000,MATCH(C494,'Cư dân'!$A$2:$A$2000,0)),"Mã không tồn tại"))</f>
        <v/>
      </c>
      <c r="E494" s="6"/>
      <c r="F494" s="6"/>
      <c r="G494" s="6"/>
    </row>
    <row r="495" customFormat="false" ht="15" hidden="false" customHeight="true" outlineLevel="0" collapsed="false">
      <c r="A495" s="13"/>
      <c r="B495" s="6"/>
      <c r="C495" s="6"/>
      <c r="D495" s="11" t="str">
        <f aca="false">IF(C495="","",IFERROR(INDEX('Cư dân'!$C$2:$C$2000,MATCH(C495,'Cư dân'!$A$2:$A$2000,0)),"Mã không tồn tại"))</f>
        <v/>
      </c>
      <c r="E495" s="6"/>
      <c r="F495" s="6"/>
      <c r="G495" s="6"/>
    </row>
    <row r="496" customFormat="false" ht="15" hidden="false" customHeight="true" outlineLevel="0" collapsed="false">
      <c r="A496" s="13"/>
      <c r="B496" s="6"/>
      <c r="C496" s="6"/>
      <c r="D496" s="11" t="str">
        <f aca="false">IF(C496="","",IFERROR(INDEX('Cư dân'!$C$2:$C$2000,MATCH(C496,'Cư dân'!$A$2:$A$2000,0)),"Mã không tồn tại"))</f>
        <v/>
      </c>
      <c r="E496" s="6"/>
      <c r="F496" s="6"/>
      <c r="G496" s="6"/>
    </row>
    <row r="497" customFormat="false" ht="15" hidden="false" customHeight="true" outlineLevel="0" collapsed="false">
      <c r="A497" s="13"/>
      <c r="B497" s="6"/>
      <c r="C497" s="6"/>
      <c r="D497" s="11" t="str">
        <f aca="false">IF(C497="","",IFERROR(INDEX('Cư dân'!$C$2:$C$2000,MATCH(C497,'Cư dân'!$A$2:$A$2000,0)),"Mã không tồn tại"))</f>
        <v/>
      </c>
      <c r="E497" s="6"/>
      <c r="F497" s="6"/>
      <c r="G497" s="6"/>
    </row>
    <row r="498" customFormat="false" ht="15" hidden="false" customHeight="true" outlineLevel="0" collapsed="false">
      <c r="A498" s="13"/>
      <c r="B498" s="6"/>
      <c r="C498" s="6"/>
      <c r="D498" s="11" t="str">
        <f aca="false">IF(C498="","",IFERROR(INDEX('Cư dân'!$C$2:$C$2000,MATCH(C498,'Cư dân'!$A$2:$A$2000,0)),"Mã không tồn tại"))</f>
        <v/>
      </c>
      <c r="E498" s="6"/>
      <c r="F498" s="6"/>
      <c r="G498" s="6"/>
    </row>
    <row r="499" customFormat="false" ht="15" hidden="false" customHeight="true" outlineLevel="0" collapsed="false">
      <c r="A499" s="13"/>
      <c r="B499" s="6"/>
      <c r="C499" s="6"/>
      <c r="D499" s="11" t="str">
        <f aca="false">IF(C499="","",IFERROR(INDEX('Cư dân'!$C$2:$C$2000,MATCH(C499,'Cư dân'!$A$2:$A$2000,0)),"Mã không tồn tại"))</f>
        <v/>
      </c>
      <c r="E499" s="6"/>
      <c r="F499" s="6"/>
      <c r="G499" s="6"/>
    </row>
  </sheetData>
  <dataValidations count="1">
    <dataValidation allowBlank="true" error="Chọn một giá trị trong danh sách." errorStyle="stop" errorTitle="Giá trị không hợp lệ" operator="between" showDropDown="false" showErrorMessage="true" showInputMessage="false" sqref="B2:B500" type="list">
      <formula1>"Sinh,Chuyển đến,Chuyển đi,Mất,Tạm vắng,Tách hộ,Sửa thông tin"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2026-09-25T20:50:01Z</dcterms:created>
  <dc:creator>openpyxl</dc:creator>
  <dc:description/>
  <dc:language>en-US</dc:language>
  <cp:lastModifiedBy/>
  <dcterms:modified xsi:type="dcterms:W3CDTF">2026-09-26T23:13:09Z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